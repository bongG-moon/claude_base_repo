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686069ef545fe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집계" sheetId="1" ns1:id="Rf0562e48a7b743de"/>
    <ns0:sheet name="수식처리" sheetId="2" ns1:id="R587d6369ce224cf7"/>
    <ns0:sheet name="신청원본" sheetId="3" ns1:id="Rd9878602b2eb492e"/>
    <ns0:sheet name="출결원본" sheetId="4" ns1:id="Rd76d8ac3756f431f"/>
    <ns0:sheet name="평가원본" sheetId="5" ns1:id="R4c9305a6a0f447ea"/>
    <ns0:sheet name="사원기준" sheetId="6" ns1:id="Rd6c146e172e24d33"/>
    <ns0:sheet name="교육기준" sheetId="7" ns1:id="R44439c6d1b6f49c4"/>
    <ns0:sheet name="정책" sheetId="8" ns1:id="R61115f8629584ca0" state="hidden"/>
    <ns0:sheet name="비정형" sheetId="9" ns1:id="Rc75f26fd2b1345e1"/>
    <ns0:sheet name="예외신청" sheetId="10" ns1:id="Rd0db3d8cbaf94ed2"/>
    <ns0:sheet name="오류수식" sheetId="11" ns1:id="R21ae03b6680f4b06"/>
    <ns0:sheet name="매크로출력" sheetId="12" ns1:id="R0d76cb31cbed42ee"/>
  </ns0:sheets>
  <ns0:definedNames>
    <ns0:definedName name="RequiredAttendance">'정책'!$C$6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%"/>
    <x:numFmt numFmtId="203" formatCode="#,##0"/>
  </x:numFmts>
  <x:fonts count="7">
    <x:font>
      <x:sz val="11"/>
      <x:name val="Carlito"/>
    </x:font>
    <x:font>
      <x:sz val="10"/>
      <x:color rgb="FF24374B"/>
      <x:name val="Noto Sans KR"/>
    </x:font>
    <x:font>
      <x:b/>
      <x:sz val="15"/>
      <x:color rgb="FF24374B"/>
      <x:name val="Noto Sans KR"/>
    </x:font>
    <x:font>
      <x:b/>
      <x:sz val="10"/>
      <x:color rgb="FFFFFFFF"/>
      <x:name val="Noto Sans KR"/>
    </x:font>
    <x:font>
      <x:sz val="11"/>
      <x:name val="Noto Sans KR"/>
    </x:font>
    <x:font>
      <x:sz val="10"/>
      <x:name val="Noto Sans KR"/>
    </x:font>
    <x:font>
      <x:sz val="10"/>
      <x:color rgb="FF53677B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314E72"/>
      </x:patternFill>
    </x:fill>
    <x:fill>
      <x:patternFill patternType="solid">
        <x:fgColor rgb="FFED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5b25ac29e426e" /><Relationship Type="http://schemas.openxmlformats.org/officeDocument/2006/relationships/theme" Target="/xl/theme/theme1.xml" Id="R5e55f4da3bec42a9" /><Relationship Type="http://schemas.openxmlformats.org/officeDocument/2006/relationships/sharedStrings" Target="/xl/sharedStrings.xml" Id="R23c03a99361b46c7" /><Relationship Type="http://schemas.openxmlformats.org/officeDocument/2006/relationships/worksheet" Target="/xl/worksheets/sheet1.xml" Id="Rf0562e48a7b743de" /><Relationship Type="http://schemas.openxmlformats.org/officeDocument/2006/relationships/worksheet" Target="/xl/worksheets/sheet2.xml" Id="R587d6369ce224cf7" /><Relationship Type="http://schemas.openxmlformats.org/officeDocument/2006/relationships/worksheet" Target="/xl/worksheets/sheet3.xml" Id="Rd9878602b2eb492e" /><Relationship Type="http://schemas.openxmlformats.org/officeDocument/2006/relationships/worksheet" Target="/xl/worksheets/sheet4.xml" Id="Rd76d8ac3756f431f" /><Relationship Type="http://schemas.openxmlformats.org/officeDocument/2006/relationships/worksheet" Target="/xl/worksheets/sheet5.xml" Id="R4c9305a6a0f447ea" /><Relationship Type="http://schemas.openxmlformats.org/officeDocument/2006/relationships/worksheet" Target="/xl/worksheets/sheet6.xml" Id="Rd6c146e172e24d33" /><Relationship Type="http://schemas.openxmlformats.org/officeDocument/2006/relationships/worksheet" Target="/xl/worksheets/sheet7.xml" Id="R44439c6d1b6f49c4" /><Relationship Type="http://schemas.openxmlformats.org/officeDocument/2006/relationships/worksheet" Target="/xl/worksheets/sheet8.xml" Id="R61115f8629584ca0" /><Relationship Type="http://schemas.openxmlformats.org/officeDocument/2006/relationships/worksheet" Target="/xl/worksheets/sheet9.xml" Id="Rc75f26fd2b1345e1" /><Relationship Type="http://schemas.openxmlformats.org/officeDocument/2006/relationships/worksheet" Target="/xl/worksheets/sheet10.xml" Id="Rd0db3d8cbaf94ed2" /><Relationship Type="http://schemas.openxmlformats.org/officeDocument/2006/relationships/worksheet" Target="/xl/worksheets/sheet11.xml" Id="R21ae03b6680f4b06" /><Relationship Type="http://schemas.openxmlformats.org/officeDocument/2006/relationships/worksheet" Target="/xl/worksheets/sheet12.xml" Id="R0d76cb31cbed42ee" /></Relationships>
</file>

<file path=xl/tables/table1.xml><?xml version="1.0" encoding="utf-8"?>
<x:table xmlns:x="http://schemas.openxmlformats.org/spreadsheetml/2006/main" id="1" name="RawApplications" displayName="RawApplications" ref="B5:M485" headerRowCount="1" totalsRowCount="0" totalsRowShown="0">
  <x:tableColumns count="12">
    <x:tableColumn id="1" name="신청ID"/>
    <x:tableColumn id="2" name="사번"/>
    <x:tableColumn id="3" name="부서"/>
    <x:tableColumn id="4" name="과정코드"/>
    <x:tableColumn id="5" name="교육일"/>
    <x:tableColumn id="6" name="수량"/>
    <x:tableColumn id="7" name="상태"/>
    <x:tableColumn id="8" name="할인율"/>
    <x:tableColumn id="9" name="수동금액"/>
    <x:tableColumn id="10" name="갱신순번"/>
    <x:tableColumn id="11" name="메모"/>
    <x:tableColumn id="12" name="회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Attendance" displayName="RawAttendance" ref="B5:E1445" headerRowCount="1" totalsRowCount="0" totalsRowShown="0">
  <x:tableColumns count="4">
    <x:tableColumn id="1" name="신청ID"/>
    <x:tableColumn id="2" name="차시"/>
    <x:tableColumn id="3" name="참석"/>
    <x:tableColumn id="4" name="시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Evaluation" displayName="RawEvaluation" ref="B5:D485" headerRowCount="1" totalsRowCount="0" totalsRowShown="0">
  <x:tableColumns count="3">
    <x:tableColumn id="1" name="신청ID"/>
    <x:tableColumn id="2" name="점수"/>
    <x:tableColumn id="3" name="응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mployeeMaster" displayName="EmployeeMaster" ref="B5:F165" headerRowCount="1" totalsRowCount="0" totalsRowShown="0">
  <x:tableColumns count="5">
    <x:tableColumn id="1" name="사번"/>
    <x:tableColumn id="2" name="이름"/>
    <x:tableColumn id="3" name="부서"/>
    <x:tableColumn id="4" name="직급"/>
    <x:tableColumn id="5" name="활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urseMaster" displayName="CourseMaster" ref="B5:F17" headerRowCount="1" totalsRowCount="0" totalsRowShown="0">
  <x:tableColumns count="5">
    <x:tableColumn id="1" name="과정코드"/>
    <x:tableColumn id="2" name="과정명"/>
    <x:tableColumn id="3" name="단가"/>
    <x:tableColumn id="4" name="교육시간"/>
    <x:tableColumn id="5" name="수료점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partmentBudget" displayName="DepartmentBudget" ref="H5:J11" headerRowCount="1" totalsRowCount="0" totalsRowShown="0">
  <x:tableColumns count="3">
    <x:tableColumn id="1" name="부서"/>
    <x:tableColumn id="2" name="예산"/>
    <x:tableColumn id="3" name="담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" displayName="Policy" ref="B5:C8" headerRowCount="1" totalsRowCount="0" totalsRowShown="0">
  <x:tableColumns count="2">
    <x:tableColumn id="1" name="항목"/>
    <x:tableColumn id="2" name="값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RaggedNativeTable" displayName="RaggedNativeTable" ref="B17:E23" headerRowCount="1" totalsRowCount="0" totalsRowShown="0">
  <x:tableColumns count="4">
    <x:tableColumn id="1" name="분류"/>
    <x:tableColumn id="2" name="세부"/>
    <x:tableColumn id="3" name="값"/>
    <x:tableColumn id="4" name="설명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ExceptionalApplications" displayName="ExceptionalApplications" ref="B5:M20" headerRowCount="1" totalsRowCount="0" totalsRowShown="0">
  <x:tableColumns count="12">
    <x:tableColumn id="1" name="신청ID"/>
    <x:tableColumn id="2" name="사번"/>
    <x:tableColumn id="3" name="부서"/>
    <x:tableColumn id="4" name="과정코드"/>
    <x:tableColumn id="5" name="교육일"/>
    <x:tableColumn id="6" name="수량"/>
    <x:tableColumn id="7" name="상태"/>
    <x:tableColumn id="8" name="할인율"/>
    <x:tableColumn id="9" name="수동금액"/>
    <x:tableColumn id="10" name="갱신순번"/>
    <x:tableColumn id="11" name="메모"/>
    <x:tableColumn id="12" name="회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8da2fe597440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6bb785ab5bb44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edf6202f3ac45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f18d854ef2940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fe333715a664afa" /><Relationship Type="http://schemas.openxmlformats.org/officeDocument/2006/relationships/table" Target="/xl/tables/table6.xml" Id="R28d4aec1bf2d4e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50028f40a14a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4b48f25b7249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b94b77fbd084a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21" hidden="0" customWidth="1"/>
    <x:col min="5" max="5" width="16" hidden="0" customWidth="1"/>
    <x:col min="6" max="6" width="16" hidden="0" customWidth="1"/>
    <x:col min="7" max="7" width="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집계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0" t="str">
        <x:v>정상 원본 480건 기준. 예외신청 반영 결과는 Python 처리 결과에서 별도 확인.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6" t="str">
        <x:v>부서</x:v>
      </x:c>
      <x:c r="C5" s="6" t="str">
        <x:v>승인건수</x:v>
      </x:c>
      <x:c r="D5" s="6" t="str">
        <x:v>총액</x:v>
      </x:c>
      <x:c r="E5" s="6" t="str">
        <x:v>수료건수</x:v>
      </x:c>
      <x:c r="F5" s="6" t="str">
        <x:v>평균금액</x:v>
      </x:c>
      <x:c r="G5" s="2"/>
      <x:c r="H5" s="6" t="str">
        <x:v>과정</x:v>
      </x:c>
      <x:c r="I5" s="6" t="str">
        <x:v>승인건수</x:v>
      </x:c>
      <x:c r="J5" s="6" t="str">
        <x:v>총액</x:v>
      </x:c>
      <x:c r="K5" s="6" t="str">
        <x:v>수료건수</x:v>
      </x:c>
      <x:c r="L5" s="2"/>
      <x:c r="M5" s="2"/>
      <x:c r="N5" s="2"/>
      <x:c r="O5" s="2"/>
      <x:c r="P5" s="2"/>
    </x:row>
    <x:row r="6" ht="24" customHeight="1">
      <x:c r="A6" s="2"/>
      <x:c r="B6" s="2" t="str">
        <x:v>개발</x:v>
      </x:c>
      <x:c r="C6" s="2" t="n">
        <x:f>COUNTIFS('수식처리'!$D$6:$D$485,B6,'수식처리'!$F$6:$F$485,"승인")</x:f>
        <x:v>64</x:v>
      </x:c>
      <x:c r="D6" s="15" t="n">
        <x:f>SUMIFS('수식처리'!$J$6:$J$485,'수식처리'!$D$6:$D$485,B6)</x:f>
        <x:v>25413715</x:v>
      </x:c>
      <x:c r="E6" s="15" t="n">
        <x:f>SUMIFS('수식처리'!$O$6:$O$485,'수식처리'!$D$6:$D$485,B6)</x:f>
        <x:v>30</x:v>
      </x:c>
      <x:c r="F6" s="15" t="n">
        <x:f>IF(C6=0,0,ROUND(D6/C6,0))</x:f>
        <x:v>397089</x:v>
      </x:c>
      <x:c r="G6" s="2"/>
      <x:c r="H6" s="2" t="str">
        <x:v>C01</x:v>
      </x:c>
      <x:c r="I6" s="2" t="n">
        <x:f>COUNTIFS('수식처리'!$E$6:$E$485,H6,'수식처리'!$F$6:$F$485,"승인")</x:f>
        <x:v>31</x:v>
      </x:c>
      <x:c r="J6" s="15" t="n">
        <x:f>SUMIFS('수식처리'!$J$6:$J$485,'수식처리'!$E$6:$E$485,H6)</x:f>
        <x:v>0</x:v>
      </x:c>
      <x:c r="K6" s="2" t="n">
        <x:f>SUMIFS('수식처리'!$O$6:$O$485,'수식처리'!$E$6:$E$485,H6)</x:f>
        <x:v>11</x:v>
      </x:c>
      <x:c r="L6" s="2"/>
      <x:c r="M6" s="2"/>
      <x:c r="N6" s="2"/>
      <x:c r="O6" s="2"/>
      <x:c r="P6" s="2"/>
    </x:row>
    <x:row r="7" ht="24" customHeight="1">
      <x:c r="A7" s="2"/>
      <x:c r="B7" s="2" t="str">
        <x:v>생산</x:v>
      </x:c>
      <x:c r="C7" s="2" t="n">
        <x:f>COUNTIFS('수식처리'!$D$6:$D$485,B7,'수식처리'!$F$6:$F$485,"승인")</x:f>
        <x:v>64</x:v>
      </x:c>
      <x:c r="D7" s="15" t="n">
        <x:f>SUMIFS('수식처리'!$J$6:$J$485,'수식처리'!$D$6:$D$485,B7)</x:f>
        <x:v>38532668</x:v>
      </x:c>
      <x:c r="E7" s="15" t="n">
        <x:f>SUMIFS('수식처리'!$O$6:$O$485,'수식처리'!$D$6:$D$485,B7)</x:f>
        <x:v>29</x:v>
      </x:c>
      <x:c r="F7" s="15" t="n">
        <x:f>IF(C7=0,0,ROUND(D7/C7,0))</x:f>
        <x:v>602073</x:v>
      </x:c>
      <x:c r="G7" s="2"/>
      <x:c r="H7" s="2" t="str">
        <x:v>C02</x:v>
      </x:c>
      <x:c r="I7" s="2" t="n">
        <x:f>COUNTIFS('수식처리'!$E$6:$E$485,H7,'수식처리'!$F$6:$F$485,"승인")</x:f>
        <x:v>30</x:v>
      </x:c>
      <x:c r="J7" s="15" t="n">
        <x:f>SUMIFS('수식처리'!$J$6:$J$485,'수식처리'!$E$6:$E$485,H7)</x:f>
        <x:v>2994067</x:v>
      </x:c>
      <x:c r="K7" s="2" t="n">
        <x:f>SUMIFS('수식처리'!$O$6:$O$485,'수식처리'!$E$6:$E$485,H7)</x:f>
        <x:v>14</x:v>
      </x:c>
      <x:c r="L7" s="2"/>
      <x:c r="M7" s="2"/>
      <x:c r="N7" s="2"/>
      <x:c r="O7" s="2"/>
      <x:c r="P7" s="2"/>
    </x:row>
    <x:row r="8" ht="24" customHeight="1">
      <x:c r="A8" s="2"/>
      <x:c r="B8" s="2" t="str">
        <x:v>품질</x:v>
      </x:c>
      <x:c r="C8" s="2" t="n">
        <x:f>COUNTIFS('수식처리'!$D$6:$D$485,B8,'수식처리'!$F$6:$F$485,"승인")</x:f>
        <x:v>63</x:v>
      </x:c>
      <x:c r="D8" s="15" t="n">
        <x:f>SUMIFS('수식처리'!$J$6:$J$485,'수식처리'!$D$6:$D$485,B8)</x:f>
        <x:v>24253653</x:v>
      </x:c>
      <x:c r="E8" s="15" t="n">
        <x:f>SUMIFS('수식처리'!$O$6:$O$485,'수식처리'!$D$6:$D$485,B8)</x:f>
        <x:v>30</x:v>
      </x:c>
      <x:c r="F8" s="15" t="n">
        <x:f>IF(C8=0,0,ROUND(D8/C8,0))</x:f>
        <x:v>384979</x:v>
      </x:c>
      <x:c r="G8" s="2"/>
      <x:c r="H8" s="2" t="str">
        <x:v>C03</x:v>
      </x:c>
      <x:c r="I8" s="2" t="n">
        <x:f>COUNTIFS('수식처리'!$E$6:$E$485,H8,'수식처리'!$F$6:$F$485,"승인")</x:f>
        <x:v>31</x:v>
      </x:c>
      <x:c r="J8" s="15" t="n">
        <x:f>SUMIFS('수식처리'!$J$6:$J$485,'수식처리'!$E$6:$E$485,H8)</x:f>
        <x:v>7302735</x:v>
      </x:c>
      <x:c r="K8" s="2" t="n">
        <x:f>SUMIFS('수식처리'!$O$6:$O$485,'수식처리'!$E$6:$E$485,H8)</x:f>
        <x:v>14</x:v>
      </x:c>
      <x:c r="L8" s="2"/>
      <x:c r="M8" s="2"/>
      <x:c r="N8" s="2"/>
      <x:c r="O8" s="2"/>
      <x:c r="P8" s="2"/>
    </x:row>
    <x:row r="9" ht="24" customHeight="1">
      <x:c r="A9" s="2"/>
      <x:c r="B9" s="2" t="str">
        <x:v>기획</x:v>
      </x:c>
      <x:c r="C9" s="2" t="n">
        <x:f>COUNTIFS('수식처리'!$D$6:$D$485,B9,'수식처리'!$F$6:$F$485,"승인")</x:f>
        <x:v>61</x:v>
      </x:c>
      <x:c r="D9" s="15" t="n">
        <x:f>SUMIFS('수식처리'!$J$6:$J$485,'수식처리'!$D$6:$D$485,B9)</x:f>
        <x:v>34757838</x:v>
      </x:c>
      <x:c r="E9" s="15" t="n">
        <x:f>SUMIFS('수식처리'!$O$6:$O$485,'수식처리'!$D$6:$D$485,B9)</x:f>
        <x:v>24</x:v>
      </x:c>
      <x:c r="F9" s="15" t="n">
        <x:f>IF(C9=0,0,ROUND(D9/C9,0))</x:f>
        <x:v>569801</x:v>
      </x:c>
      <x:c r="G9" s="2"/>
      <x:c r="H9" s="2" t="str">
        <x:v>C04</x:v>
      </x:c>
      <x:c r="I9" s="2" t="n">
        <x:f>COUNTIFS('수식처리'!$E$6:$E$485,H9,'수식처리'!$F$6:$F$485,"승인")</x:f>
        <x:v>30</x:v>
      </x:c>
      <x:c r="J9" s="15" t="n">
        <x:f>SUMIFS('수식처리'!$J$6:$J$485,'수식처리'!$E$6:$E$485,H9)</x:f>
        <x:v>12182489</x:v>
      </x:c>
      <x:c r="K9" s="2" t="n">
        <x:f>SUMIFS('수식처리'!$O$6:$O$485,'수식처리'!$E$6:$E$485,H9)</x:f>
        <x:v>14</x:v>
      </x:c>
      <x:c r="L9" s="2"/>
      <x:c r="M9" s="2"/>
      <x:c r="N9" s="2"/>
      <x:c r="O9" s="2"/>
      <x:c r="P9" s="2"/>
    </x:row>
    <x:row r="10" ht="24" customHeight="1">
      <x:c r="A10" s="2"/>
      <x:c r="B10" s="2" t="str">
        <x:v>영업</x:v>
      </x:c>
      <x:c r="C10" s="2" t="n">
        <x:f>COUNTIFS('수식처리'!$D$6:$D$485,B10,'수식처리'!$F$6:$F$485,"승인")</x:f>
        <x:v>60</x:v>
      </x:c>
      <x:c r="D10" s="15" t="n">
        <x:f>SUMIFS('수식처리'!$J$6:$J$485,'수식처리'!$D$6:$D$485,B10)</x:f>
        <x:v>22473555</x:v>
      </x:c>
      <x:c r="E10" s="15" t="n">
        <x:f>SUMIFS('수식처리'!$O$6:$O$485,'수식처리'!$D$6:$D$485,B10)</x:f>
        <x:v>23</x:v>
      </x:c>
      <x:c r="F10" s="15" t="n">
        <x:f>IF(C10=0,0,ROUND(D10/C10,0))</x:f>
        <x:v>374559</x:v>
      </x:c>
      <x:c r="G10" s="2"/>
      <x:c r="H10" s="2" t="str">
        <x:v>C05</x:v>
      </x:c>
      <x:c r="I10" s="2" t="n">
        <x:f>COUNTIFS('수식처리'!$E$6:$E$485,H10,'수식처리'!$F$6:$F$485,"승인")</x:f>
        <x:v>31</x:v>
      </x:c>
      <x:c r="J10" s="15" t="n">
        <x:f>SUMIFS('수식처리'!$J$6:$J$485,'수식처리'!$E$6:$E$485,H10)</x:f>
        <x:v>19733389</x:v>
      </x:c>
      <x:c r="K10" s="2" t="n">
        <x:f>SUMIFS('수식처리'!$O$6:$O$485,'수식처리'!$E$6:$E$485,H10)</x:f>
        <x:v>16</x:v>
      </x:c>
      <x:c r="L10" s="2"/>
      <x:c r="M10" s="2"/>
      <x:c r="N10" s="2"/>
      <x:c r="O10" s="2"/>
      <x:c r="P10" s="2"/>
    </x:row>
    <x:row r="11" ht="24" customHeight="1">
      <x:c r="A11" s="2"/>
      <x:c r="B11" s="2" t="str">
        <x:v>지원</x:v>
      </x:c>
      <x:c r="C11" s="2" t="n">
        <x:f>COUNTIFS('수식처리'!$D$6:$D$485,B11,'수식처리'!$F$6:$F$485,"승인")</x:f>
        <x:v>62</x:v>
      </x:c>
      <x:c r="D11" s="15" t="n">
        <x:f>SUMIFS('수식처리'!$J$6:$J$485,'수식처리'!$D$6:$D$485,B11)</x:f>
        <x:v>36945834</x:v>
      </x:c>
      <x:c r="E11" s="15" t="n">
        <x:f>SUMIFS('수식처리'!$O$6:$O$485,'수식처리'!$D$6:$D$485,B11)</x:f>
        <x:v>26</x:v>
      </x:c>
      <x:c r="F11" s="15" t="n">
        <x:f>IF(C11=0,0,ROUND(D11/C11,0))</x:f>
        <x:v>595901</x:v>
      </x:c>
      <x:c r="G11" s="2"/>
      <x:c r="H11" s="2" t="str">
        <x:v>C06</x:v>
      </x:c>
      <x:c r="I11" s="2" t="n">
        <x:f>COUNTIFS('수식처리'!$E$6:$E$485,H11,'수식처리'!$F$6:$F$485,"승인")</x:f>
        <x:v>30</x:v>
      </x:c>
      <x:c r="J11" s="15" t="n">
        <x:f>SUMIFS('수식처리'!$J$6:$J$485,'수식처리'!$E$6:$E$485,H11)</x:f>
        <x:v>23802669</x:v>
      </x:c>
      <x:c r="K11" s="2" t="n">
        <x:f>SUMIFS('수식처리'!$O$6:$O$485,'수식처리'!$E$6:$E$485,H11)</x:f>
        <x:v>10</x:v>
      </x:c>
      <x:c r="L11" s="2"/>
      <x:c r="M11" s="2"/>
      <x:c r="N11" s="2"/>
      <x:c r="O11" s="2"/>
      <x:c r="P11" s="2"/>
    </x:row>
    <x:row r="12" ht="24" customHeight="1">
      <x:c r="A12" s="2"/>
      <x:c r="B12" s="21" t="str">
        <x:v>합계</x:v>
      </x:c>
      <x:c r="C12" s="21" t="n">
        <x:f>SUM(C6:C11)</x:f>
        <x:v>374</x:v>
      </x:c>
      <x:c r="D12" s="22" t="n">
        <x:f>SUM(D6:D11)</x:f>
        <x:v>182377263</x:v>
      </x:c>
      <x:c r="E12" s="22" t="n">
        <x:f>SUM(E6:E11)</x:f>
        <x:v>162</x:v>
      </x:c>
      <x:c r="F12" s="22"/>
      <x:c r="G12" s="2"/>
      <x:c r="H12" s="2" t="str">
        <x:v>C07</x:v>
      </x:c>
      <x:c r="I12" s="2" t="n">
        <x:f>COUNTIFS('수식처리'!$E$6:$E$485,H12,'수식처리'!$F$6:$F$485,"승인")</x:f>
        <x:v>31</x:v>
      </x:c>
      <x:c r="J12" s="15" t="n">
        <x:f>SUMIFS('수식처리'!$J$6:$J$485,'수식처리'!$E$6:$E$485,H12)</x:f>
        <x:v>12345</x:v>
      </x:c>
      <x:c r="K12" s="2" t="n">
        <x:f>SUMIFS('수식처리'!$O$6:$O$485,'수식처리'!$E$6:$E$485,H12)</x:f>
        <x:v>13</x:v>
      </x:c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 t="str">
        <x:v>C08</x:v>
      </x:c>
      <x:c r="I13" s="2" t="n">
        <x:f>COUNTIFS('수식처리'!$E$6:$E$485,H13,'수식처리'!$F$6:$F$485,"승인")</x:f>
        <x:v>32</x:v>
      </x:c>
      <x:c r="J13" s="15" t="n">
        <x:f>SUMIFS('수식처리'!$J$6:$J$485,'수식처리'!$E$6:$E$485,H13)</x:f>
        <x:v>6552966</x:v>
      </x:c>
      <x:c r="K13" s="2" t="n">
        <x:f>SUMIFS('수식처리'!$O$6:$O$485,'수식처리'!$E$6:$E$485,H13)</x:f>
        <x:v>15</x:v>
      </x:c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 t="str">
        <x:v>C09</x:v>
      </x:c>
      <x:c r="I14" s="2" t="n">
        <x:f>COUNTIFS('수식처리'!$E$6:$E$485,H14,'수식처리'!$F$6:$F$485,"승인")</x:f>
        <x:v>31</x:v>
      </x:c>
      <x:c r="J14" s="15" t="n">
        <x:f>SUMIFS('수식처리'!$J$6:$J$485,'수식처리'!$E$6:$E$485,H14)</x:f>
        <x:v>14400780</x:v>
      </x:c>
      <x:c r="K14" s="2" t="n">
        <x:f>SUMIFS('수식처리'!$O$6:$O$485,'수식처리'!$E$6:$E$485,H14)</x:f>
        <x:v>11</x:v>
      </x:c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 t="str">
        <x:v>C10</x:v>
      </x:c>
      <x:c r="I15" s="2" t="n">
        <x:f>COUNTIFS('수식처리'!$E$6:$E$485,H15,'수식처리'!$F$6:$F$485,"승인")</x:f>
        <x:v>33</x:v>
      </x:c>
      <x:c r="J15" s="15" t="n">
        <x:f>SUMIFS('수식처리'!$J$6:$J$485,'수식처리'!$E$6:$E$485,H15)</x:f>
        <x:v>21631168</x:v>
      </x:c>
      <x:c r="K15" s="2" t="n">
        <x:f>SUMIFS('수식처리'!$O$6:$O$485,'수식처리'!$E$6:$E$485,H15)</x:f>
        <x:v>16</x:v>
      </x:c>
      <x:c r="L15" s="2"/>
      <x:c r="M15" s="2"/>
      <x:c r="N15" s="2"/>
      <x:c r="O15" s="2"/>
      <x:c r="P15" s="2"/>
    </x:row>
    <x:row r="16" ht="24" customHeight="1">
      <x:c r="A16" s="2"/>
      <x:c r="B16" s="6" t="str">
        <x:v>상태</x:v>
      </x:c>
      <x:c r="C16" s="6" t="str">
        <x:v>건수</x:v>
      </x:c>
      <x:c r="D16" s="6" t="str">
        <x:v>수량</x:v>
      </x:c>
      <x:c r="E16" s="2"/>
      <x:c r="F16" s="2"/>
      <x:c r="G16" s="2"/>
      <x:c r="H16" s="2" t="str">
        <x:v>C11</x:v>
      </x:c>
      <x:c r="I16" s="2" t="n">
        <x:f>COUNTIFS('수식처리'!$E$6:$E$485,H16,'수식처리'!$F$6:$F$485,"승인")</x:f>
        <x:v>32</x:v>
      </x:c>
      <x:c r="J16" s="15" t="n">
        <x:f>SUMIFS('수식처리'!$J$6:$J$485,'수식처리'!$E$6:$E$485,H16)</x:f>
        <x:v>30691674</x:v>
      </x:c>
      <x:c r="K16" s="2" t="n">
        <x:f>SUMIFS('수식처리'!$O$6:$O$485,'수식처리'!$E$6:$E$485,H16)</x:f>
        <x:v>18</x:v>
      </x:c>
      <x:c r="L16" s="2"/>
      <x:c r="M16" s="2"/>
      <x:c r="N16" s="2"/>
      <x:c r="O16" s="2"/>
      <x:c r="P16" s="2"/>
    </x:row>
    <x:row r="17" ht="24" customHeight="1">
      <x:c r="A17" s="2"/>
      <x:c r="B17" s="2" t="str">
        <x:v>승인</x:v>
      </x:c>
      <x:c r="C17" s="2" t="n">
        <x:f>COUNTIFS('수식처리'!$F$6:$F$485,B17)</x:f>
        <x:v>374</x:v>
      </x:c>
      <x:c r="D17" s="2" t="n">
        <x:f>SUMIFS('수식처리'!$H$6:$H$485,'수식처리'!$F$6:$F$485,B17)</x:f>
        <x:v>937</x:v>
      </x:c>
      <x:c r="E17" s="2"/>
      <x:c r="F17" s="2"/>
      <x:c r="G17" s="2"/>
      <x:c r="H17" s="2" t="str">
        <x:v>C12</x:v>
      </x:c>
      <x:c r="I17" s="2" t="n">
        <x:f>COUNTIFS('수식처리'!$E$6:$E$485,H17,'수식처리'!$F$6:$F$485,"승인")</x:f>
        <x:v>32</x:v>
      </x:c>
      <x:c r="J17" s="15" t="n">
        <x:f>SUMIFS('수식처리'!$J$6:$J$485,'수식처리'!$E$6:$E$485,H17)</x:f>
        <x:v>43072981</x:v>
      </x:c>
      <x:c r="K17" s="2" t="n">
        <x:f>SUMIFS('수식처리'!$O$6:$O$485,'수식처리'!$E$6:$E$485,H17)</x:f>
        <x:v>10</x:v>
      </x:c>
      <x:c r="L17" s="2"/>
      <x:c r="M17" s="2"/>
      <x:c r="N17" s="2"/>
      <x:c r="O17" s="2"/>
      <x:c r="P17" s="2"/>
    </x:row>
    <x:row r="18" ht="24" customHeight="1">
      <x:c r="A18" s="2"/>
      <x:c r="B18" s="2" t="str">
        <x:v>대기</x:v>
      </x:c>
      <x:c r="C18" s="2" t="n">
        <x:f>COUNTIFS('수식처리'!$F$6:$F$485,B18)</x:f>
        <x:v>62</x:v>
      </x:c>
      <x:c r="D18" s="2" t="n">
        <x:f>SUMIFS('수식처리'!$H$6:$H$485,'수식처리'!$F$6:$F$485,B18)</x:f>
        <x:v>153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 t="str">
        <x:v>취소</x:v>
      </x:c>
      <x:c r="C19" s="2" t="n">
        <x:f>COUNTIFS('수식처리'!$F$6:$F$485,B19)</x:f>
        <x:v>44</x:v>
      </x:c>
      <x:c r="D19" s="2" t="n">
        <x:f>SUMIFS('수식처리'!$H$6:$H$485,'수식처리'!$F$6:$F$485,B19)</x:f>
        <x:v>110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</ns0:cols>
  <ns0:sheetData>
    <ns0:row r="1" ht="24" customHeight="1">
      <ns0:c r="A1" s="2"/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  <ns0:c r="O1" s="2"/>
      <ns0:c r="P1" s="2"/>
    </ns0:row>
    <ns0:row r="2" ht="24" customHeight="1">
      <ns0:c r="A2" s="2"/>
      <ns0:c r="B2" s="3" t="str">
        <ns0:v>수식처리 (가상 시험 자료)</ns0:v>
      </ns0:c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  <ns0:c r="O2" s="2"/>
      <ns0:c r="P2" s="2"/>
    </ns0:row>
    <ns0:row r="3" ht="24" customHeight="1">
      <ns0:c r="A3" s="2"/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  <ns0:c r="O3" s="2"/>
      <ns0:c r="P3" s="2"/>
    </ns0:row>
    <ns0:row r="4" ht="24" customHeight="1">
      <ns0:c r="A4" s="2"/>
      <ns0:c r="B4" s="2"/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  <ns0:c r="O4" s="2"/>
      <ns0:c r="P4" s="2"/>
    </ns0:row>
    <ns0:row r="5" ht="24" customHeight="1">
      <ns0:c r="A5" s="2"/>
      <ns0:c r="B5" s="6" t="str">
        <ns0:v>신청ID</ns0:v>
      </ns0:c>
      <ns0:c r="C5" s="6" t="str">
        <ns0:v>사번</ns0:v>
      </ns0:c>
      <ns0:c r="D5" s="6" t="str">
        <ns0:v>부서</ns0:v>
      </ns0:c>
      <ns0:c r="E5" s="6" t="str">
        <ns0:v>과정코드</ns0:v>
      </ns0:c>
      <ns0:c r="F5" s="6" t="str">
        <ns0:v>상태</ns0:v>
      </ns0:c>
      <ns0:c r="G5" s="6" t="str">
        <ns0:v>단가</ns0:v>
      </ns0:c>
      <ns0:c r="H5" s="6" t="str">
        <ns0:v>수량</ns0:v>
      </ns0:c>
      <ns0:c r="I5" s="6" t="str">
        <ns0:v>할인율</ns0:v>
      </ns0:c>
      <ns0:c r="J5" s="6" t="str">
        <ns0:v>금액</ns0:v>
      </ns0:c>
      <ns0:c r="K5" s="6" t="str">
        <ns0:v>참석차시</ns0:v>
      </ns0:c>
      <ns0:c r="L5" s="6" t="str">
        <ns0:v>점수</ns0:v>
      </ns0:c>
      <ns0:c r="M5" s="6" t="str">
        <ns0:v>응시</ns0:v>
      </ns0:c>
      <ns0:c r="N5" s="6" t="str">
        <ns0:v>수료점수</ns0:v>
      </ns0:c>
      <ns0:c r="O5" s="6" t="str">
        <ns0:v>수료여부</ns0:v>
      </ns0:c>
      <ns0:c r="P5" s="2"/>
    </ns0:row>
    <ns0:row r="6" ht="24" customHeight="1">
      <ns0:c r="A6" s="2"/>
      <ns0:c r="B6" s="9" t="str">
        <ns0:f>'신청원본'!B6</ns0:f>
        <ns0:v>APP000001</ns0:v>
      </ns0:c>
      <ns0:c r="C6" s="9" t="str">
        <ns0:f>'신청원본'!C6</ns0:f>
        <ns0:v>000001</ns0:v>
      </ns0:c>
      <ns0:c r="D6" s="2" t="str">
        <ns0:f>'신청원본'!D6</ns0:f>
        <ns0:v>개발</ns0:v>
      </ns0:c>
      <ns0:c r="E6" s="2" t="str">
        <ns0:f>'신청원본'!E6</ns0:f>
        <ns0:v>C01</ns0:v>
      </ns0:c>
      <ns0:c r="F6" s="2" t="str">
        <ns0:f>'신청원본'!H6</ns0:f>
        <ns0:v>취소</ns0:v>
      </ns0:c>
      <ns0:c r="G6" s="15" t="n">
        <ns0:f>VLOOKUP(E6,'교육기준'!$B$6:$F$17,3,FALSE)</ns0:f>
        <ns0:v>100005</ns0:v>
      </ns0:c>
      <ns0:c r="H6" s="15" t="n">
        <ns0:f>'신청원본'!G6</ns0:f>
        <ns0:v>0</ns0:v>
      </ns0:c>
      <ns0:c r="I6" s="13" t="n">
        <ns0:f>'신청원본'!I6</ns0:f>
        <ns0:v>0</ns0:v>
      </ns0:c>
      <ns0:c r="J6" s="15" t="n">
        <ns0:f>IF(F6="승인",IF(COUNTA('신청원본'!J6)=0,ROUND(G6*H6*(1-I6),'정책'!$C$8),'신청원본'!J6),0)</ns0:f>
      </ns0:c>
      <ns0:c r="K6" s="2" t="n">
        <ns0:f>SUMIFS('출결원본'!$D$6:$D$1445,'출결원본'!$B$6:$B$1445,B6)</ns0:f>
        <ns0:v>1</ns0:v>
      </ns0:c>
      <ns0:c r="L6" s="2" t="n">
        <ns0:f>VLOOKUP(B6,'평가원본'!$B$6:$D$485,2,FALSE)</ns0:f>
        <ns0:v>50</ns0:v>
      </ns0:c>
      <ns0:c r="M6" s="2" t="n">
        <ns0:f>VLOOKUP(B6,'평가원본'!$B$6:$D$485,3,FALSE)</ns0:f>
        <ns0:v>0</ns0:v>
      </ns0:c>
      <ns0:c r="N6" s="2" t="n">
        <ns0:f>VLOOKUP(E6,'교육기준'!$B$6:$F$17,5,FALSE)</ns0:f>
        <ns0:v>60</ns0:v>
      </ns0:c>
      <ns0:c r="O6" s="2" t="n">
        <ns0:f>IF(AND(F6="승인",K6&gt;=RequiredAttendance,M6=1,L6&gt;=N6),1,0)</ns0:f>
        <ns0:v>0</ns0:v>
      </ns0:c>
      <ns0:c r="P6" s="2"/>
    </ns0:row>
    <ns0:row r="7" ht="24" customHeight="1">
      <ns0:c r="A7" s="2"/>
      <ns0:c r="B7" s="9" t="str">
        <ns0:f>'신청원본'!B7</ns0:f>
        <ns0:v>APP000002</ns0:v>
      </ns0:c>
      <ns0:c r="C7" s="9" t="str">
        <ns0:f>'신청원본'!C7</ns0:f>
        <ns0:v>000002</ns0:v>
      </ns0:c>
      <ns0:c r="D7" s="2" t="str">
        <ns0:f>'신청원본'!D7</ns0:f>
        <ns0:v>생산</ns0:v>
      </ns0:c>
      <ns0:c r="E7" s="2" t="str">
        <ns0:f>'신청원본'!E7</ns0:f>
        <ns0:v>C08</ns0:v>
      </ns0:c>
      <ns0:c r="F7" s="2" t="str">
        <ns0:f>'신청원본'!H7</ns0:f>
        <ns0:v>승인</ns0:v>
      </ns0:c>
      <ns0:c r="G7" s="15" t="n">
        <ns0:f>VLOOKUP(E7,'교육기준'!$B$6:$F$17,3,FALSE)</ns0:f>
        <ns0:v>222512</ns0:v>
      </ns0:c>
      <ns0:c r="H7" s="15" t="n">
        <ns0:f>'신청원본'!G7</ns0:f>
        <ns0:v>1</ns0:v>
      </ns0:c>
      <ns0:c r="I7" s="13" t="n">
        <ns0:f>'신청원본'!I7</ns0:f>
        <ns0:v>0.05</ns0:v>
      </ns0:c>
      <ns0:c r="J7" s="15" t="n">
        <ns0:f>IF(F7="승인",IF(COUNTA('신청원본'!J7)=0,ROUND(G7*H7*(1-I7),'정책'!$C$8),'신청원본'!J7),0)</ns0:f>
        <ns0:v>211386</ns0:v>
      </ns0:c>
      <ns0:c r="K7" s="2" t="n">
        <ns0:f>SUMIFS('출결원본'!$D$6:$D$1445,'출결원본'!$B$6:$B$1445,B7)</ns0:f>
        <ns0:v>3</ns0:v>
      </ns0:c>
      <ns0:c r="L7" s="2" t="n">
        <ns0:f>VLOOKUP(B7,'평가원본'!$B$6:$D$485,2,FALSE)</ns0:f>
        <ns0:v>57</ns0:v>
      </ns0:c>
      <ns0:c r="M7" s="2" t="n">
        <ns0:f>VLOOKUP(B7,'평가원본'!$B$6:$D$485,3,FALSE)</ns0:f>
        <ns0:v>1</ns0:v>
      </ns0:c>
      <ns0:c r="N7" s="2" t="n">
        <ns0:f>VLOOKUP(E7,'교육기준'!$B$6:$F$17,5,FALSE)</ns0:f>
        <ns0:v>70</ns0:v>
      </ns0:c>
      <ns0:c r="O7" s="2" t="n">
        <ns0:f>IF(AND(F7="승인",K7&gt;='정책'!$C$6,M7=1,L7&gt;=N7),1,0)</ns0:f>
        <ns0:v>0</ns0:v>
      </ns0:c>
      <ns0:c r="P7" s="2"/>
    </ns0:row>
    <ns0:row r="8" ht="24" customHeight="1">
      <ns0:c r="A8" s="2"/>
      <ns0:c r="B8" s="9" t="str">
        <ns0:f>'신청원본'!B8</ns0:f>
        <ns0:v>APP000003</ns0:v>
      </ns0:c>
      <ns0:c r="C8" s="9" t="str">
        <ns0:f>'신청원본'!C8</ns0:f>
        <ns0:v>000003</ns0:v>
      </ns0:c>
      <ns0:c r="D8" s="2" t="str">
        <ns0:f>'신청원본'!D8</ns0:f>
        <ns0:v>품질</ns0:v>
      </ns0:c>
      <ns0:c r="E8" s="2" t="str">
        <ns0:f>'신청원본'!E8</ns0:f>
        <ns0:v>C03</ns0:v>
      </ns0:c>
      <ns0:c r="F8" s="2" t="str">
        <ns0:f>'신청원본'!H8</ns0:f>
        <ns0:v>승인</ns0:v>
      </ns0:c>
      <ns0:c r="G8" s="15" t="n">
        <ns0:f>VLOOKUP(E8,'교육기준'!$B$6:$F$17,3,FALSE)</ns0:f>
        <ns0:v>135007</ns0:v>
      </ns0:c>
      <ns0:c r="H8" s="15" t="n">
        <ns0:f>'신청원본'!G8</ns0:f>
        <ns0:v>2</ns0:v>
      </ns0:c>
      <ns0:c r="I8" s="13" t="n">
        <ns0:f>'신청원본'!I8</ns0:f>
        <ns0:v>0.1</ns0:v>
      </ns0:c>
      <ns0:c r="J8" s="15" t="n">
        <ns0:f>IF(F8="승인",IF(COUNTA('신청원본'!J8)=0,ROUND(G8*H8*(1-I8),'정책'!$C$8),'신청원본'!J8),0)</ns0:f>
        <ns0:v>243013</ns0:v>
      </ns0:c>
      <ns0:c r="K8" s="2" t="n">
        <ns0:f>SUMIFS('출결원본'!$D$6:$D$1445,'출결원본'!$B$6:$B$1445,B8)</ns0:f>
        <ns0:v>3</ns0:v>
      </ns0:c>
      <ns0:c r="L8" s="2" t="n">
        <ns0:f>VLOOKUP(B8,'평가원본'!$B$6:$D$485,2,FALSE)</ns0:f>
        <ns0:v>64</ns0:v>
      </ns0:c>
      <ns0:c r="M8" s="2" t="n">
        <ns0:f>VLOOKUP(B8,'평가원본'!$B$6:$D$485,3,FALSE)</ns0:f>
        <ns0:v>1</ns0:v>
      </ns0:c>
      <ns0:c r="N8" s="2" t="n">
        <ns0:f>VLOOKUP(E8,'교육기준'!$B$6:$F$17,5,FALSE)</ns0:f>
        <ns0:v>80</ns0:v>
      </ns0:c>
      <ns0:c r="O8" s="2" t="n">
        <ns0:f>IF(AND(F8="승인",K8&gt;='정책'!$C$6,M8=1,L8&gt;=N8),1,0)</ns0:f>
        <ns0:v>0</ns0:v>
      </ns0:c>
      <ns0:c r="P8" s="2"/>
    </ns0:row>
    <ns0:row r="9" ht="24" customHeight="1">
      <ns0:c r="A9" s="2"/>
      <ns0:c r="B9" s="9" t="str">
        <ns0:f>'신청원본'!B9</ns0:f>
        <ns0:v>APP000004</ns0:v>
      </ns0:c>
      <ns0:c r="C9" s="9" t="str">
        <ns0:f>'신청원본'!C9</ns0:f>
        <ns0:v>000004</ns0:v>
      </ns0:c>
      <ns0:c r="D9" s="2" t="str">
        <ns0:f>'신청원본'!D9</ns0:f>
        <ns0:v>기획</ns0:v>
      </ns0:c>
      <ns0:c r="E9" s="2" t="str">
        <ns0:f>'신청원본'!E9</ns0:f>
        <ns0:v>C10</ns0:v>
      </ns0:c>
      <ns0:c r="F9" s="2" t="str">
        <ns0:f>'신청원본'!H9</ns0:f>
        <ns0:v>승인</ns0:v>
      </ns0:c>
      <ns0:c r="G9" s="15" t="n">
        <ns0:f>VLOOKUP(E9,'교육기준'!$B$6:$F$17,3,FALSE)</ns0:f>
        <ns0:v>257514</ns0:v>
      </ns0:c>
      <ns0:c r="H9" s="15" t="n">
        <ns0:f>'신청원본'!G9</ns0:f>
        <ns0:v>3</ns0:v>
      </ns0:c>
      <ns0:c r="I9" s="13" t="n">
        <ns0:f>'신청원본'!I9</ns0:f>
        <ns0:v>0.125</ns0:v>
      </ns0:c>
      <ns0:c r="J9" s="15" t="n">
        <ns0:f>IF(F9="승인",IF(COUNTA('신청원본'!J9)=0,ROUND(G9*H9*(1-I9),'정책'!$C$8),'신청원본'!J9),0)</ns0:f>
        <ns0:v>675974</ns0:v>
      </ns0:c>
      <ns0:c r="K9" s="2" t="n">
        <ns0:f>SUMIFS('출결원본'!$D$6:$D$1445,'출결원본'!$B$6:$B$1445,B9)</ns0:f>
        <ns0:v>3</ns0:v>
      </ns0:c>
      <ns0:c r="L9" s="2" t="n">
        <ns0:f>VLOOKUP(B9,'평가원본'!$B$6:$D$485,2,FALSE)</ns0:f>
        <ns0:v>71</ns0:v>
      </ns0:c>
      <ns0:c r="M9" s="2" t="n">
        <ns0:f>VLOOKUP(B9,'평가원본'!$B$6:$D$485,3,FALSE)</ns0:f>
        <ns0:v>1</ns0:v>
      </ns0:c>
      <ns0:c r="N9" s="2" t="n">
        <ns0:f>VLOOKUP(E9,'교육기준'!$B$6:$F$17,5,FALSE)</ns0:f>
        <ns0:v>60</ns0:v>
      </ns0:c>
      <ns0:c r="O9" s="2" t="n">
        <ns0:f>IF(AND(F9="승인",K9&gt;='정책'!$C$6,M9=1,L9&gt;=N9),1,0)</ns0:f>
        <ns0:v>1</ns0:v>
      </ns0:c>
      <ns0:c r="P9" s="2"/>
    </ns0:row>
    <ns0:row r="10" ht="24" customHeight="1">
      <ns0:c r="A10" s="2"/>
      <ns0:c r="B10" s="9" t="str">
        <ns0:f>'신청원본'!B10</ns0:f>
        <ns0:v>APP000005</ns0:v>
      </ns0:c>
      <ns0:c r="C10" s="9" t="str">
        <ns0:f>'신청원본'!C10</ns0:f>
        <ns0:v>000005</ns0:v>
      </ns0:c>
      <ns0:c r="D10" s="2" t="str">
        <ns0:f>'신청원본'!D10</ns0:f>
        <ns0:v>영업</ns0:v>
      </ns0:c>
      <ns0:c r="E10" s="2" t="str">
        <ns0:f>'신청원본'!E10</ns0:f>
        <ns0:v>C05</ns0:v>
      </ns0:c>
      <ns0:c r="F10" s="2" t="str">
        <ns0:f>'신청원본'!H10</ns0:f>
        <ns0:v>승인</ns0:v>
      </ns0:c>
      <ns0:c r="G10" s="15" t="n">
        <ns0:f>VLOOKUP(E10,'교육기준'!$B$6:$F$17,3,FALSE)</ns0:f>
        <ns0:v>170009</ns0:v>
      </ns0:c>
      <ns0:c r="H10" s="15" t="n">
        <ns0:f>'신청원본'!G10</ns0:f>
        <ns0:v>4</ns0:v>
      </ns0:c>
      <ns0:c r="I10" s="13" t="n">
        <ns0:f>'신청원본'!I10</ns0:f>
        <ns0:v>0</ns0:v>
      </ns0:c>
      <ns0:c r="J10" s="15" t="n">
        <ns0:f>IF(F10="승인",IF(COUNTA('신청원본'!J10)=0,ROUND(G10*H10*(1-I10),'정책'!$C$8),'신청원본'!J10),0)</ns0:f>
        <ns0:v>680036</ns0:v>
      </ns0:c>
      <ns0:c r="K10" s="2" t="n">
        <ns0:f>SUMIFS('출결원본'!$D$6:$D$1445,'출결원본'!$B$6:$B$1445,B10)</ns0:f>
        <ns0:v>3</ns0:v>
      </ns0:c>
      <ns0:c r="L10" s="2" t="n">
        <ns0:f>VLOOKUP(B10,'평가원본'!$B$6:$D$485,2,FALSE)</ns0:f>
        <ns0:v>78</ns0:v>
      </ns0:c>
      <ns0:c r="M10" s="2" t="n">
        <ns0:f>VLOOKUP(B10,'평가원본'!$B$6:$D$485,3,FALSE)</ns0:f>
        <ns0:v>1</ns0:v>
      </ns0:c>
      <ns0:c r="N10" s="2" t="n">
        <ns0:f>VLOOKUP(E10,'교육기준'!$B$6:$F$17,5,FALSE)</ns0:f>
        <ns0:v>70</ns0:v>
      </ns0:c>
      <ns0:c r="O10" s="2" t="n">
        <ns0:f>IF(AND(F10="승인",K10&gt;='정책'!$C$6,M10=1,L10&gt;=N10),1,0)</ns0:f>
        <ns0:v>1</ns0:v>
      </ns0:c>
      <ns0:c r="P10" s="2"/>
    </ns0:row>
    <ns0:row r="11" ht="24" customHeight="1">
      <ns0:c r="A11" s="2"/>
      <ns0:c r="B11" s="9" t="str">
        <ns0:f>'신청원본'!B11</ns0:f>
        <ns0:v>APP000006</ns0:v>
      </ns0:c>
      <ns0:c r="C11" s="9" t="str">
        <ns0:f>'신청원본'!C11</ns0:f>
        <ns0:v>000006</ns0:v>
      </ns0:c>
      <ns0:c r="D11" s="2" t="str">
        <ns0:f>'신청원본'!D11</ns0:f>
        <ns0:v>지원</ns0:v>
      </ns0:c>
      <ns0:c r="E11" s="2" t="str">
        <ns0:f>'신청원본'!E11</ns0:f>
        <ns0:v>C12</ns0:v>
      </ns0:c>
      <ns0:c r="F11" s="2" t="str">
        <ns0:f>'신청원본'!H11</ns0:f>
        <ns0:v>승인</ns0:v>
      </ns0:c>
      <ns0:c r="G11" s="15" t="n">
        <ns0:f>VLOOKUP(E11,'교육기준'!$B$6:$F$17,3,FALSE)</ns0:f>
        <ns0:v>292516</ns0:v>
      </ns0:c>
      <ns0:c r="H11" s="15" t="n">
        <ns0:f>'신청원본'!G11</ns0:f>
        <ns0:v>5</ns0:v>
      </ns0:c>
      <ns0:c r="I11" s="13" t="n">
        <ns0:f>'신청원본'!I11</ns0:f>
        <ns0:v>0.05</ns0:v>
      </ns0:c>
      <ns0:c r="J11" s="15" t="n">
        <ns0:f>IF(F11="승인",IF(COUNTA('신청원본'!J11)=0,ROUND(G11*H11*(1-I11),'정책'!$C$8),'신청원본'!J11),0)</ns0:f>
        <ns0:v>1389451</ns0:v>
      </ns0:c>
      <ns0:c r="K11" s="2" t="n">
        <ns0:f>SUMIFS('출결원본'!$D$6:$D$1445,'출결원본'!$B$6:$B$1445,B11)</ns0:f>
        <ns0:v>3</ns0:v>
      </ns0:c>
      <ns0:c r="L11" s="2" t="n">
        <ns0:f>VLOOKUP(B11,'평가원본'!$B$6:$D$485,2,FALSE)</ns0:f>
        <ns0:v>85</ns0:v>
      </ns0:c>
      <ns0:c r="M11" s="2" t="n">
        <ns0:f>VLOOKUP(B11,'평가원본'!$B$6:$D$485,3,FALSE)</ns0:f>
        <ns0:v>1</ns0:v>
      </ns0:c>
      <ns0:c r="N11" s="2" t="n">
        <ns0:f>VLOOKUP(E11,'교육기준'!$B$6:$F$17,5,FALSE)</ns0:f>
        <ns0:v>80</ns0:v>
      </ns0:c>
      <ns0:c r="O11" s="2" t="n">
        <ns0:f>IF(AND(F11="승인",K11&gt;='정책'!$C$6,M11=1,L11&gt;=N11),1,0)</ns0:f>
        <ns0:v>1</ns0:v>
      </ns0:c>
      <ns0:c r="P11" s="2"/>
    </ns0:row>
    <ns0:row r="12" ht="24" customHeight="1">
      <ns0:c r="A12" s="2"/>
      <ns0:c r="B12" s="9" t="str">
        <ns0:f>'신청원본'!B12</ns0:f>
        <ns0:v>APP000007</ns0:v>
      </ns0:c>
      <ns0:c r="C12" s="9" t="str">
        <ns0:f>'신청원본'!C12</ns0:f>
        <ns0:v>000007</ns0:v>
      </ns0:c>
      <ns0:c r="D12" s="2" t="str">
        <ns0:f>'신청원본'!D12</ns0:f>
        <ns0:v>개발</ns0:v>
      </ns0:c>
      <ns0:c r="E12" s="2" t="str">
        <ns0:f>'신청원본'!E12</ns0:f>
        <ns0:v>C07</ns0:v>
      </ns0:c>
      <ns0:c r="F12" s="2" t="str">
        <ns0:f>'신청원본'!H12</ns0:f>
        <ns0:v>승인</ns0:v>
      </ns0:c>
      <ns0:c r="G12" s="15" t="n">
        <ns0:f>VLOOKUP(E12,'교육기준'!$B$6:$F$17,3,FALSE)</ns0:f>
        <ns0:v>205011</ns0:v>
      </ns0:c>
      <ns0:c r="H12" s="15" t="n">
        <ns0:f>'신청원본'!G12</ns0:f>
        <ns0:v>0</ns0:v>
      </ns0:c>
      <ns0:c r="I12" s="13" t="n">
        <ns0:f>'신청원본'!I12</ns0:f>
        <ns0:v>0.1</ns0:v>
      </ns0:c>
      <ns0:c r="J12" s="15" t="n">
        <ns0:f>IF(F12="승인",IF(COUNTA('신청원본'!J12)=0,ROUND(G12*H12*(1-I12),'정책'!$C$8),'신청원본'!J12),0)</ns0:f>
        <ns0:v>0</ns0:v>
      </ns0:c>
      <ns0:c r="K12" s="2" t="n">
        <ns0:f>SUMIFS('출결원본'!$D$6:$D$1445,'출결원본'!$B$6:$B$1445,B12)</ns0:f>
        <ns0:v>3</ns0:v>
      </ns0:c>
      <ns0:c r="L12" s="2" t="n">
        <ns0:f>VLOOKUP(B12,'평가원본'!$B$6:$D$485,2,FALSE)</ns0:f>
        <ns0:v>92</ns0:v>
      </ns0:c>
      <ns0:c r="M12" s="2" t="n">
        <ns0:f>VLOOKUP(B12,'평가원본'!$B$6:$D$485,3,FALSE)</ns0:f>
        <ns0:v>1</ns0:v>
      </ns0:c>
      <ns0:c r="N12" s="2" t="n">
        <ns0:f>VLOOKUP(E12,'교육기준'!$B$6:$F$17,5,FALSE)</ns0:f>
        <ns0:v>60</ns0:v>
      </ns0:c>
      <ns0:c r="O12" s="2" t="n">
        <ns0:f>IF(AND(F12="승인",K12&gt;='정책'!$C$6,M12=1,L12&gt;=N12),1,0)</ns0:f>
        <ns0:v>1</ns0:v>
      </ns0:c>
      <ns0:c r="P12" s="2"/>
    </ns0:row>
    <ns0:row r="13" ht="24" customHeight="1">
      <ns0:c r="A13" s="2"/>
      <ns0:c r="B13" s="9" t="str">
        <ns0:f>'신청원본'!B13</ns0:f>
        <ns0:v>APP000008</ns0:v>
      </ns0:c>
      <ns0:c r="C13" s="9" t="str">
        <ns0:f>'신청원본'!C13</ns0:f>
        <ns0:v>000008</ns0:v>
      </ns0:c>
      <ns0:c r="D13" s="2" t="str">
        <ns0:f>'신청원본'!D13</ns0:f>
        <ns0:v>생산</ns0:v>
      </ns0:c>
      <ns0:c r="E13" s="2" t="str">
        <ns0:f>'신청원본'!E13</ns0:f>
        <ns0:v>C02</ns0:v>
      </ns0:c>
      <ns0:c r="F13" s="2" t="str">
        <ns0:f>'신청원본'!H13</ns0:f>
        <ns0:v>대기</ns0:v>
      </ns0:c>
      <ns0:c r="G13" s="15" t="n">
        <ns0:f>VLOOKUP(E13,'교육기준'!$B$6:$F$17,3,FALSE)</ns0:f>
        <ns0:v>117506</ns0:v>
      </ns0:c>
      <ns0:c r="H13" s="15" t="n">
        <ns0:f>'신청원본'!G13</ns0:f>
        <ns0:v>1</ns0:v>
      </ns0:c>
      <ns0:c r="I13" s="13" t="n">
        <ns0:f>'신청원본'!I13</ns0:f>
        <ns0:v>0.125</ns0:v>
      </ns0:c>
      <ns0:c r="J13" s="15" t="n">
        <ns0:f>IF(F13="승인",IF(COUNTA('신청원본'!J13)=0,ROUND(G13*H13*(1-I13),'정책'!$C$8),'신청원본'!J13),0)</ns0:f>
        <ns0:v>0</ns0:v>
      </ns0:c>
      <ns0:c r="K13" s="2" t="n">
        <ns0:f>SUMIFS('출결원본'!$D$6:$D$1445,'출결원본'!$B$6:$B$1445,B13)</ns0:f>
        <ns0:v>3</ns0:v>
      </ns0:c>
      <ns0:c r="L13" s="2" t="n">
        <ns0:f>VLOOKUP(B13,'평가원본'!$B$6:$D$485,2,FALSE)</ns0:f>
        <ns0:v>99</ns0:v>
      </ns0:c>
      <ns0:c r="M13" s="2" t="n">
        <ns0:f>VLOOKUP(B13,'평가원본'!$B$6:$D$485,3,FALSE)</ns0:f>
        <ns0:v>1</ns0:v>
      </ns0:c>
      <ns0:c r="N13" s="2" t="n">
        <ns0:f>VLOOKUP(E13,'교육기준'!$B$6:$F$17,5,FALSE)</ns0:f>
        <ns0:v>70</ns0:v>
      </ns0:c>
      <ns0:c r="O13" s="2" t="n">
        <ns0:f>IF(AND(F13="승인",K13&gt;='정책'!$C$6,M13=1,L13&gt;=N13),1,0)</ns0:f>
        <ns0:v>0</ns0:v>
      </ns0:c>
      <ns0:c r="P13" s="2"/>
    </ns0:row>
    <ns0:row r="14" ht="24" customHeight="1">
      <ns0:c r="A14" s="2"/>
      <ns0:c r="B14" s="9" t="str">
        <ns0:f>'신청원본'!B14</ns0:f>
        <ns0:v>APP000009</ns0:v>
      </ns0:c>
      <ns0:c r="C14" s="9" t="str">
        <ns0:f>'신청원본'!C14</ns0:f>
        <ns0:v>000009</ns0:v>
      </ns0:c>
      <ns0:c r="D14" s="2" t="str">
        <ns0:f>'신청원본'!D14</ns0:f>
        <ns0:v>품질</ns0:v>
      </ns0:c>
      <ns0:c r="E14" s="2" t="str">
        <ns0:f>'신청원본'!E14</ns0:f>
        <ns0:v>C09</ns0:v>
      </ns0:c>
      <ns0:c r="F14" s="2" t="str">
        <ns0:f>'신청원본'!H14</ns0:f>
        <ns0:v>승인</ns0:v>
      </ns0:c>
      <ns0:c r="G14" s="15" t="n">
        <ns0:f>VLOOKUP(E14,'교육기준'!$B$6:$F$17,3,FALSE)</ns0:f>
        <ns0:v>240013</ns0:v>
      </ns0:c>
      <ns0:c r="H14" s="15" t="n">
        <ns0:f>'신청원본'!G14</ns0:f>
        <ns0:v>2</ns0:v>
      </ns0:c>
      <ns0:c r="I14" s="13" t="n">
        <ns0:f>'신청원본'!I14</ns0:f>
        <ns0:v>0</ns0:v>
      </ns0:c>
      <ns0:c r="J14" s="15" t="n">
        <ns0:f>IF(F14="승인",IF(COUNTA('신청원본'!J14)=0,ROUND(G14*H14*(1-I14),'정책'!$C$8),'신청원본'!J14),0)</ns0:f>
        <ns0:v>480026</ns0:v>
      </ns0:c>
      <ns0:c r="K14" s="2" t="n">
        <ns0:f>SUMIFS('출결원본'!$D$6:$D$1445,'출결원본'!$B$6:$B$1445,B14)</ns0:f>
        <ns0:v>3</ns0:v>
      </ns0:c>
      <ns0:c r="L14" s="2" t="n">
        <ns0:f>VLOOKUP(B14,'평가원본'!$B$6:$D$485,2,FALSE)</ns0:f>
        <ns0:v>55</ns0:v>
      </ns0:c>
      <ns0:c r="M14" s="2" t="n">
        <ns0:f>VLOOKUP(B14,'평가원본'!$B$6:$D$485,3,FALSE)</ns0:f>
        <ns0:v>1</ns0:v>
      </ns0:c>
      <ns0:c r="N14" s="2" t="n">
        <ns0:f>VLOOKUP(E14,'교육기준'!$B$6:$F$17,5,FALSE)</ns0:f>
        <ns0:v>80</ns0:v>
      </ns0:c>
      <ns0:c r="O14" s="2" t="n">
        <ns0:f>IF(AND(F14="승인",K14&gt;='정책'!$C$6,M14=1,L14&gt;=N14),1,0)</ns0:f>
        <ns0:v>0</ns0:v>
      </ns0:c>
      <ns0:c r="P14" s="2"/>
    </ns0:row>
    <ns0:row r="15" ht="24" customHeight="1">
      <ns0:c r="A15" s="2"/>
      <ns0:c r="B15" s="9" t="str">
        <ns0:f>'신청원본'!B15</ns0:f>
        <ns0:v>APP000010</ns0:v>
      </ns0:c>
      <ns0:c r="C15" s="9" t="str">
        <ns0:f>'신청원본'!C15</ns0:f>
        <ns0:v>000010</ns0:v>
      </ns0:c>
      <ns0:c r="D15" s="2" t="str">
        <ns0:f>'신청원본'!D15</ns0:f>
        <ns0:v>기획</ns0:v>
      </ns0:c>
      <ns0:c r="E15" s="2" t="str">
        <ns0:f>'신청원본'!E15</ns0:f>
        <ns0:v>C04</ns0:v>
      </ns0:c>
      <ns0:c r="F15" s="2" t="str">
        <ns0:f>'신청원본'!H15</ns0:f>
        <ns0:v>승인</ns0:v>
      </ns0:c>
      <ns0:c r="G15" s="15" t="n">
        <ns0:f>VLOOKUP(E15,'교육기준'!$B$6:$F$17,3,FALSE)</ns0:f>
        <ns0:v>152508</ns0:v>
      </ns0:c>
      <ns0:c r="H15" s="15" t="n">
        <ns0:f>'신청원본'!G15</ns0:f>
        <ns0:v>3</ns0:v>
      </ns0:c>
      <ns0:c r="I15" s="13" t="n">
        <ns0:f>'신청원본'!I15</ns0:f>
        <ns0:v>0.05</ns0:v>
      </ns0:c>
      <ns0:c r="J15" s="15" t="n">
        <ns0:f>IF(F15="승인",IF(COUNTA('신청원본'!J15)=0,ROUND(G15*H15*(1-I15),'정책'!$C$8),'신청원본'!J15),0)</ns0:f>
        <ns0:v>434648</ns0:v>
      </ns0:c>
      <ns0:c r="K15" s="2" t="n">
        <ns0:f>SUMIFS('출결원본'!$D$6:$D$1445,'출결원본'!$B$6:$B$1445,B15)</ns0:f>
        <ns0:v>2</ns0:v>
      </ns0:c>
      <ns0:c r="L15" s="2" t="n">
        <ns0:f>VLOOKUP(B15,'평가원본'!$B$6:$D$485,2,FALSE)</ns0:f>
        <ns0:v>62</ns0:v>
      </ns0:c>
      <ns0:c r="M15" s="2" t="n">
        <ns0:f>VLOOKUP(B15,'평가원본'!$B$6:$D$485,3,FALSE)</ns0:f>
        <ns0:v>1</ns0:v>
      </ns0:c>
      <ns0:c r="N15" s="2" t="n">
        <ns0:f>VLOOKUP(E15,'교육기준'!$B$6:$F$17,5,FALSE)</ns0:f>
        <ns0:v>60</ns0:v>
      </ns0:c>
      <ns0:c r="O15" s="2" t="n">
        <ns0:f>IF(AND(F15="승인",K15&gt;='정책'!$C$6,M15=1,L15&gt;=N15),1,0)</ns0:f>
        <ns0:v>0</ns0:v>
      </ns0:c>
      <ns0:c r="P15" s="2"/>
    </ns0:row>
    <ns0:row r="16" ht="24" customHeight="1">
      <ns0:c r="A16" s="2"/>
      <ns0:c r="B16" s="9" t="str">
        <ns0:f>'신청원본'!B16</ns0:f>
        <ns0:v>APP000011</ns0:v>
      </ns0:c>
      <ns0:c r="C16" s="9" t="str">
        <ns0:f>'신청원본'!C16</ns0:f>
        <ns0:v>000011</ns0:v>
      </ns0:c>
      <ns0:c r="D16" s="2" t="str">
        <ns0:f>'신청원본'!D16</ns0:f>
        <ns0:v>영업</ns0:v>
      </ns0:c>
      <ns0:c r="E16" s="2" t="str">
        <ns0:f>'신청원본'!E16</ns0:f>
        <ns0:v>C11</ns0:v>
      </ns0:c>
      <ns0:c r="F16" s="2" t="str">
        <ns0:f>'신청원본'!H16</ns0:f>
        <ns0:v>승인</ns0:v>
      </ns0:c>
      <ns0:c r="G16" s="15" t="n">
        <ns0:f>VLOOKUP(E16,'교육기준'!$B$6:$F$17,3,FALSE)</ns0:f>
        <ns0:v>275015</ns0:v>
      </ns0:c>
      <ns0:c r="H16" s="15" t="n">
        <ns0:f>'신청원본'!G16</ns0:f>
        <ns0:v>4</ns0:v>
      </ns0:c>
      <ns0:c r="I16" s="13" t="n">
        <ns0:f>'신청원본'!I16</ns0:f>
        <ns0:v>0.1</ns0:v>
      </ns0:c>
      <ns0:c r="J16" s="15" t="n">
        <ns0:f>IF(F16="승인",IF(COUNTA('신청원본'!J16)=0,ROUND(G16*H16*(1-I16),'정책'!$C$8),'신청원본'!J16),0)</ns0:f>
        <ns0:v>990054</ns0:v>
      </ns0:c>
      <ns0:c r="K16" s="2" t="n">
        <ns0:f>SUMIFS('출결원본'!$D$6:$D$1445,'출결원본'!$B$6:$B$1445,B16)</ns0:f>
        <ns0:v>3</ns0:v>
      </ns0:c>
      <ns0:c r="L16" s="2" t="n">
        <ns0:f>VLOOKUP(B16,'평가원본'!$B$6:$D$485,2,FALSE)</ns0:f>
        <ns0:v>69</ns0:v>
      </ns0:c>
      <ns0:c r="M16" s="2" t="n">
        <ns0:f>VLOOKUP(B16,'평가원본'!$B$6:$D$485,3,FALSE)</ns0:f>
        <ns0:v>1</ns0:v>
      </ns0:c>
      <ns0:c r="N16" s="2" t="n">
        <ns0:f>VLOOKUP(E16,'교육기준'!$B$6:$F$17,5,FALSE)</ns0:f>
        <ns0:v>70</ns0:v>
      </ns0:c>
      <ns0:c r="O16" s="2" t="n">
        <ns0:f>IF(AND(F16="승인",K16&gt;='정책'!$C$6,M16=1,L16&gt;=N16),1,0)</ns0:f>
        <ns0:v>0</ns0:v>
      </ns0:c>
      <ns0:c r="P16" s="2"/>
    </ns0:row>
    <ns0:row r="17" ht="24" customHeight="1">
      <ns0:c r="A17" s="2"/>
      <ns0:c r="B17" s="9" t="str">
        <ns0:f>'신청원본'!B17</ns0:f>
        <ns0:v>APP000012</ns0:v>
      </ns0:c>
      <ns0:c r="C17" s="9" t="str">
        <ns0:f>'신청원본'!C17</ns0:f>
        <ns0:v>000012</ns0:v>
      </ns0:c>
      <ns0:c r="D17" s="2" t="str">
        <ns0:f>'신청원본'!D17</ns0:f>
        <ns0:v>지원</ns0:v>
      </ns0:c>
      <ns0:c r="E17" s="2" t="str">
        <ns0:f>'신청원본'!E17</ns0:f>
        <ns0:v>C06</ns0:v>
      </ns0:c>
      <ns0:c r="F17" s="2" t="str">
        <ns0:f>'신청원본'!H17</ns0:f>
        <ns0:v>취소</ns0:v>
      </ns0:c>
      <ns0:c r="G17" s="15" t="n">
        <ns0:f>VLOOKUP(E17,'교육기준'!$B$6:$F$17,3,FALSE)</ns0:f>
        <ns0:v>187510</ns0:v>
      </ns0:c>
      <ns0:c r="H17" s="15" t="n">
        <ns0:f>'신청원본'!G17</ns0:f>
        <ns0:v>5</ns0:v>
      </ns0:c>
      <ns0:c r="I17" s="13" t="n">
        <ns0:f>'신청원본'!I17</ns0:f>
        <ns0:v>0.125</ns0:v>
      </ns0:c>
      <ns0:c r="J17" s="15" t="n">
        <ns0:f>IF(F17="승인",IF(COUNTA('신청원본'!J17)=0,ROUND(G17*H17*(1-I17),'정책'!$C$8),'신청원본'!J17),0)</ns0:f>
        <ns0:v>0</ns0:v>
      </ns0:c>
      <ns0:c r="K17" s="2" t="n">
        <ns0:f>SUMIFS('출결원본'!$D$6:$D$1445,'출결원본'!$B$6:$B$1445,B17)</ns0:f>
        <ns0:v>3</ns0:v>
      </ns0:c>
      <ns0:c r="L17" s="2" t="n">
        <ns0:f>VLOOKUP(B17,'평가원본'!$B$6:$D$485,2,FALSE)</ns0:f>
        <ns0:v>76</ns0:v>
      </ns0:c>
      <ns0:c r="M17" s="2" t="n">
        <ns0:f>VLOOKUP(B17,'평가원본'!$B$6:$D$485,3,FALSE)</ns0:f>
        <ns0:v>1</ns0:v>
      </ns0:c>
      <ns0:c r="N17" s="2" t="n">
        <ns0:f>VLOOKUP(E17,'교육기준'!$B$6:$F$17,5,FALSE)</ns0:f>
        <ns0:v>80</ns0:v>
      </ns0:c>
      <ns0:c r="O17" s="2" t="n">
        <ns0:f>IF(AND(F17="승인",K17&gt;='정책'!$C$6,M17=1,L17&gt;=N17),1,0)</ns0:f>
        <ns0:v>0</ns0:v>
      </ns0:c>
      <ns0:c r="P17" s="2"/>
    </ns0:row>
    <ns0:row r="18" ht="24" customHeight="1">
      <ns0:c r="A18" s="2"/>
      <ns0:c r="B18" s="9" t="str">
        <ns0:f>'신청원본'!B18</ns0:f>
        <ns0:v>APP000013</ns0:v>
      </ns0:c>
      <ns0:c r="C18" s="9" t="str">
        <ns0:f>'신청원본'!C18</ns0:f>
        <ns0:v>000013</ns0:v>
      </ns0:c>
      <ns0:c r="D18" s="2" t="str">
        <ns0:f>'신청원본'!D18</ns0:f>
        <ns0:v>개발</ns0:v>
      </ns0:c>
      <ns0:c r="E18" s="2" t="str">
        <ns0:f>'신청원본'!E18</ns0:f>
        <ns0:v>C01</ns0:v>
      </ns0:c>
      <ns0:c r="F18" s="2" t="str">
        <ns0:f>'신청원본'!H18</ns0:f>
        <ns0:v>승인</ns0:v>
      </ns0:c>
      <ns0:c r="G18" s="15" t="n">
        <ns0:f>VLOOKUP(E18,'교육기준'!$B$6:$F$17,3,FALSE)</ns0:f>
        <ns0:v>100005</ns0:v>
      </ns0:c>
      <ns0:c r="H18" s="15" t="n">
        <ns0:f>'신청원본'!G18</ns0:f>
        <ns0:v>0</ns0:v>
      </ns0:c>
      <ns0:c r="I18" s="13" t="n">
        <ns0:f>'신청원본'!I18</ns0:f>
        <ns0:v>0</ns0:v>
      </ns0:c>
      <ns0:c r="J18" s="15" t="n">
        <ns0:f>IF(F18="승인",IF(COUNTA('신청원본'!J18)=0,ROUND(G18*H18*(1-I18),'정책'!$C$8),'신청원본'!J18),0)</ns0:f>
        <ns0:v>0</ns0:v>
      </ns0:c>
      <ns0:c r="K18" s="2" t="n">
        <ns0:f>SUMIFS('출결원본'!$D$6:$D$1445,'출결원본'!$B$6:$B$1445,B18)</ns0:f>
        <ns0:v>3</ns0:v>
      </ns0:c>
      <ns0:c r="L18" s="2" t="n">
        <ns0:f>VLOOKUP(B18,'평가원본'!$B$6:$D$485,2,FALSE)</ns0:f>
        <ns0:v>83</ns0:v>
      </ns0:c>
      <ns0:c r="M18" s="2" t="n">
        <ns0:f>VLOOKUP(B18,'평가원본'!$B$6:$D$485,3,FALSE)</ns0:f>
        <ns0:v>1</ns0:v>
      </ns0:c>
      <ns0:c r="N18" s="2" t="n">
        <ns0:f>VLOOKUP(E18,'교육기준'!$B$6:$F$17,5,FALSE)</ns0:f>
        <ns0:v>60</ns0:v>
      </ns0:c>
      <ns0:c r="O18" s="2" t="n">
        <ns0:f>IF(AND(F18="승인",K18&gt;='정책'!$C$6,M18=1,L18&gt;=N18),1,0)</ns0:f>
        <ns0:v>1</ns0:v>
      </ns0:c>
      <ns0:c r="P18" s="2"/>
    </ns0:row>
    <ns0:row r="19" ht="24" customHeight="1">
      <ns0:c r="A19" s="2"/>
      <ns0:c r="B19" s="9" t="str">
        <ns0:f>'신청원본'!B19</ns0:f>
        <ns0:v>APP000014</ns0:v>
      </ns0:c>
      <ns0:c r="C19" s="9" t="str">
        <ns0:f>'신청원본'!C19</ns0:f>
        <ns0:v>000014</ns0:v>
      </ns0:c>
      <ns0:c r="D19" s="2" t="str">
        <ns0:f>'신청원본'!D19</ns0:f>
        <ns0:v>생산</ns0:v>
      </ns0:c>
      <ns0:c r="E19" s="2" t="str">
        <ns0:f>'신청원본'!E19</ns0:f>
        <ns0:v>C08</ns0:v>
      </ns0:c>
      <ns0:c r="F19" s="2" t="str">
        <ns0:f>'신청원본'!H19</ns0:f>
        <ns0:v>승인</ns0:v>
      </ns0:c>
      <ns0:c r="G19" s="15" t="n">
        <ns0:f>VLOOKUP(E19,'교육기준'!$B$6:$F$17,3,FALSE)</ns0:f>
        <ns0:v>222512</ns0:v>
      </ns0:c>
      <ns0:c r="H19" s="15" t="n">
        <ns0:f>'신청원본'!G19</ns0:f>
        <ns0:v>1</ns0:v>
      </ns0:c>
      <ns0:c r="I19" s="13" t="n">
        <ns0:f>'신청원본'!I19</ns0:f>
        <ns0:v>0.05</ns0:v>
      </ns0:c>
      <ns0:c r="J19" s="15" t="n">
        <ns0:f>IF(F19="승인",IF(COUNTA('신청원본'!J19)=0,ROUND(G19*H19*(1-I19),'정책'!$C$8),'신청원본'!J19),0)</ns0:f>
        <ns0:v>211386</ns0:v>
      </ns0:c>
      <ns0:c r="K19" s="2" t="n">
        <ns0:f>SUMIFS('출결원본'!$D$6:$D$1445,'출결원본'!$B$6:$B$1445,B19)</ns0:f>
        <ns0:v>2</ns0:v>
      </ns0:c>
      <ns0:c r="L19" s="2" t="n">
        <ns0:f>VLOOKUP(B19,'평가원본'!$B$6:$D$485,2,FALSE)</ns0:f>
        <ns0:v>90</ns0:v>
      </ns0:c>
      <ns0:c r="M19" s="2" t="n">
        <ns0:f>VLOOKUP(B19,'평가원본'!$B$6:$D$485,3,FALSE)</ns0:f>
        <ns0:v>1</ns0:v>
      </ns0:c>
      <ns0:c r="N19" s="2" t="n">
        <ns0:f>VLOOKUP(E19,'교육기준'!$B$6:$F$17,5,FALSE)</ns0:f>
        <ns0:v>70</ns0:v>
      </ns0:c>
      <ns0:c r="O19" s="2" t="n">
        <ns0:f>IF(AND(F19="승인",K19&gt;='정책'!$C$6,M19=1,L19&gt;=N19),1,0)</ns0:f>
        <ns0:v>0</ns0:v>
      </ns0:c>
      <ns0:c r="P19" s="2"/>
    </ns0:row>
    <ns0:row r="20" ht="24" customHeight="1">
      <ns0:c r="A20" s="2"/>
      <ns0:c r="B20" s="9" t="str">
        <ns0:f>'신청원본'!B20</ns0:f>
        <ns0:v>APP000015</ns0:v>
      </ns0:c>
      <ns0:c r="C20" s="9" t="str">
        <ns0:f>'신청원본'!C20</ns0:f>
        <ns0:v>000015</ns0:v>
      </ns0:c>
      <ns0:c r="D20" s="2" t="str">
        <ns0:f>'신청원본'!D20</ns0:f>
        <ns0:v>품질</ns0:v>
      </ns0:c>
      <ns0:c r="E20" s="2" t="str">
        <ns0:f>'신청원본'!E20</ns0:f>
        <ns0:v>C03</ns0:v>
      </ns0:c>
      <ns0:c r="F20" s="2" t="str">
        <ns0:f>'신청원본'!H20</ns0:f>
        <ns0:v>대기</ns0:v>
      </ns0:c>
      <ns0:c r="G20" s="15" t="n">
        <ns0:f>VLOOKUP(E20,'교육기준'!$B$6:$F$17,3,FALSE)</ns0:f>
        <ns0:v>135007</ns0:v>
      </ns0:c>
      <ns0:c r="H20" s="15" t="n">
        <ns0:f>'신청원본'!G20</ns0:f>
        <ns0:v>2</ns0:v>
      </ns0:c>
      <ns0:c r="I20" s="13" t="n">
        <ns0:f>'신청원본'!I20</ns0:f>
        <ns0:v>0.1</ns0:v>
      </ns0:c>
      <ns0:c r="J20" s="15" t="n">
        <ns0:f>IF(F20="승인",IF(COUNTA('신청원본'!J20)=0,ROUND(G20*H20*(1-I20),'정책'!$C$8),'신청원본'!J20),0)</ns0:f>
        <ns0:v>0</ns0:v>
      </ns0:c>
      <ns0:c r="K20" s="2" t="n">
        <ns0:f>SUMIFS('출결원본'!$D$6:$D$1445,'출결원본'!$B$6:$B$1445,B20)</ns0:f>
        <ns0:v>3</ns0:v>
      </ns0:c>
      <ns0:c r="L20" s="2" t="n">
        <ns0:f>VLOOKUP(B20,'평가원본'!$B$6:$D$485,2,FALSE)</ns0:f>
        <ns0:v>97</ns0:v>
      </ns0:c>
      <ns0:c r="M20" s="2" t="n">
        <ns0:f>VLOOKUP(B20,'평가원본'!$B$6:$D$485,3,FALSE)</ns0:f>
        <ns0:v>1</ns0:v>
      </ns0:c>
      <ns0:c r="N20" s="2" t="n">
        <ns0:f>VLOOKUP(E20,'교육기준'!$B$6:$F$17,5,FALSE)</ns0:f>
        <ns0:v>80</ns0:v>
      </ns0:c>
      <ns0:c r="O20" s="2" t="n">
        <ns0:f>IF(AND(F20="승인",K20&gt;='정책'!$C$6,M20=1,L20&gt;=N20),1,0)</ns0:f>
        <ns0:v>0</ns0:v>
      </ns0:c>
      <ns0:c r="P20" s="2"/>
    </ns0:row>
    <ns0:row r="21" ht="24" customHeight="1">
      <ns0:c r="A21" s="2"/>
      <ns0:c r="B21" s="9" t="str">
        <ns0:f>'신청원본'!B21</ns0:f>
        <ns0:v>APP000016</ns0:v>
      </ns0:c>
      <ns0:c r="C21" s="9" t="str">
        <ns0:f>'신청원본'!C21</ns0:f>
        <ns0:v>000016</ns0:v>
      </ns0:c>
      <ns0:c r="D21" s="2" t="str">
        <ns0:f>'신청원본'!D21</ns0:f>
        <ns0:v>기획</ns0:v>
      </ns0:c>
      <ns0:c r="E21" s="2" t="str">
        <ns0:f>'신청원본'!E21</ns0:f>
        <ns0:v>C10</ns0:v>
      </ns0:c>
      <ns0:c r="F21" s="2" t="str">
        <ns0:f>'신청원본'!H21</ns0:f>
        <ns0:v>승인</ns0:v>
      </ns0:c>
      <ns0:c r="G21" s="15" t="n">
        <ns0:f>VLOOKUP(E21,'교육기준'!$B$6:$F$17,3,FALSE)</ns0:f>
        <ns0:v>257514</ns0:v>
      </ns0:c>
      <ns0:c r="H21" s="15" t="n">
        <ns0:f>'신청원본'!G21</ns0:f>
        <ns0:v>3</ns0:v>
      </ns0:c>
      <ns0:c r="I21" s="13" t="n">
        <ns0:f>'신청원본'!I21</ns0:f>
        <ns0:v>0.125</ns0:v>
      </ns0:c>
      <ns0:c r="J21" s="15" t="n">
        <ns0:f>IF(F21="승인",IF(COUNTA('신청원본'!J21)=0,ROUND(G21*H21*(1-I21),'정책'!$C$8),'신청원본'!J21),0)</ns0:f>
        <ns0:v>675974</ns0:v>
      </ns0:c>
      <ns0:c r="K21" s="2" t="n">
        <ns0:f>SUMIFS('출결원본'!$D$6:$D$1445,'출결원본'!$B$6:$B$1445,B21)</ns0:f>
        <ns0:v>3</ns0:v>
      </ns0:c>
      <ns0:c r="L21" s="2" t="n">
        <ns0:f>VLOOKUP(B21,'평가원본'!$B$6:$D$485,2,FALSE)</ns0:f>
        <ns0:v>53</ns0:v>
      </ns0:c>
      <ns0:c r="M21" s="2" t="n">
        <ns0:f>VLOOKUP(B21,'평가원본'!$B$6:$D$485,3,FALSE)</ns0:f>
        <ns0:v>1</ns0:v>
      </ns0:c>
      <ns0:c r="N21" s="2" t="n">
        <ns0:f>VLOOKUP(E21,'교육기준'!$B$6:$F$17,5,FALSE)</ns0:f>
        <ns0:v>60</ns0:v>
      </ns0:c>
      <ns0:c r="O21" s="2" t="n">
        <ns0:f>IF(AND(F21="승인",K21&gt;='정책'!$C$6,M21=1,L21&gt;=N21),1,0)</ns0:f>
        <ns0:v>0</ns0:v>
      </ns0:c>
      <ns0:c r="P21" s="2"/>
    </ns0:row>
    <ns0:row r="22" ht="24" customHeight="1">
      <ns0:c r="A22" s="2"/>
      <ns0:c r="B22" s="9" t="str">
        <ns0:f>'신청원본'!B22</ns0:f>
        <ns0:v>APP000017</ns0:v>
      </ns0:c>
      <ns0:c r="C22" s="9" t="str">
        <ns0:f>'신청원본'!C22</ns0:f>
        <ns0:v>000017</ns0:v>
      </ns0:c>
      <ns0:c r="D22" s="2" t="str">
        <ns0:f>'신청원본'!D22</ns0:f>
        <ns0:v>영업</ns0:v>
      </ns0:c>
      <ns0:c r="E22" s="2" t="str">
        <ns0:f>'신청원본'!E22</ns0:f>
        <ns0:v>C05</ns0:v>
      </ns0:c>
      <ns0:c r="F22" s="2" t="str">
        <ns0:f>'신청원본'!H22</ns0:f>
        <ns0:v>승인</ns0:v>
      </ns0:c>
      <ns0:c r="G22" s="15" t="n">
        <ns0:f>VLOOKUP(E22,'교육기준'!$B$6:$F$17,3,FALSE)</ns0:f>
        <ns0:v>170009</ns0:v>
      </ns0:c>
      <ns0:c r="H22" s="15" t="n">
        <ns0:f>'신청원본'!G22</ns0:f>
        <ns0:v>4</ns0:v>
      </ns0:c>
      <ns0:c r="I22" s="13" t="n">
        <ns0:f>'신청원본'!I22</ns0:f>
        <ns0:v>0</ns0:v>
      </ns0:c>
      <ns0:c r="J22" s="15" t="n">
        <ns0:f>IF(F22="승인",IF(COUNTA('신청원본'!J22)=0,ROUND(G22*H22*(1-I22),'정책'!$C$8),'신청원본'!J22),0)</ns0:f>
        <ns0:v>680036</ns0:v>
      </ns0:c>
      <ns0:c r="K22" s="2" t="n">
        <ns0:f>SUMIFS('출결원본'!$D$6:$D$1445,'출결원본'!$B$6:$B$1445,B22)</ns0:f>
        <ns0:v>3</ns0:v>
      </ns0:c>
      <ns0:c r="L22" s="2" t="n">
        <ns0:f>VLOOKUP(B22,'평가원본'!$B$6:$D$485,2,FALSE)</ns0:f>
        <ns0:v>60</ns0:v>
      </ns0:c>
      <ns0:c r="M22" s="2" t="n">
        <ns0:f>VLOOKUP(B22,'평가원본'!$B$6:$D$485,3,FALSE)</ns0:f>
        <ns0:v>1</ns0:v>
      </ns0:c>
      <ns0:c r="N22" s="2" t="n">
        <ns0:f>VLOOKUP(E22,'교육기준'!$B$6:$F$17,5,FALSE)</ns0:f>
        <ns0:v>70</ns0:v>
      </ns0:c>
      <ns0:c r="O22" s="2" t="n">
        <ns0:f>IF(AND(F22="승인",K22&gt;='정책'!$C$6,M22=1,L22&gt;=N22),1,0)</ns0:f>
        <ns0:v>0</ns0:v>
      </ns0:c>
      <ns0:c r="P22" s="2"/>
    </ns0:row>
    <ns0:row r="23" ht="24" customHeight="1">
      <ns0:c r="A23" s="2"/>
      <ns0:c r="B23" s="9" t="str">
        <ns0:f>'신청원본'!B23</ns0:f>
        <ns0:v>APP000018</ns0:v>
      </ns0:c>
      <ns0:c r="C23" s="9" t="str">
        <ns0:f>'신청원본'!C23</ns0:f>
        <ns0:v>000018</ns0:v>
      </ns0:c>
      <ns0:c r="D23" s="2" t="str">
        <ns0:f>'신청원본'!D23</ns0:f>
        <ns0:v>지원</ns0:v>
      </ns0:c>
      <ns0:c r="E23" s="2" t="str">
        <ns0:f>'신청원본'!E23</ns0:f>
        <ns0:v>C12</ns0:v>
      </ns0:c>
      <ns0:c r="F23" s="2" t="str">
        <ns0:f>'신청원본'!H23</ns0:f>
        <ns0:v>승인</ns0:v>
      </ns0:c>
      <ns0:c r="G23" s="15" t="n">
        <ns0:f>VLOOKUP(E23,'교육기준'!$B$6:$F$17,3,FALSE)</ns0:f>
        <ns0:v>292516</ns0:v>
      </ns0:c>
      <ns0:c r="H23" s="15" t="n">
        <ns0:f>'신청원본'!G23</ns0:f>
        <ns0:v>5</ns0:v>
      </ns0:c>
      <ns0:c r="I23" s="13" t="n">
        <ns0:f>'신청원본'!I23</ns0:f>
        <ns0:v>0.05</ns0:v>
      </ns0:c>
      <ns0:c r="J23" s="15" t="n">
        <ns0:f>IF(F23="승인",IF(COUNTA('신청원본'!J23)=0,ROUND(G23*H23*(1-I23),'정책'!$C$8),'신청원본'!J23),0)</ns0:f>
        <ns0:v>1389451</ns0:v>
      </ns0:c>
      <ns0:c r="K23" s="2" t="n">
        <ns0:f>SUMIFS('출결원본'!$D$6:$D$1445,'출결원본'!$B$6:$B$1445,B23)</ns0:f>
        <ns0:v>3</ns0:v>
      </ns0:c>
      <ns0:c r="L23" s="2" t="n">
        <ns0:f>VLOOKUP(B23,'평가원본'!$B$6:$D$485,2,FALSE)</ns0:f>
        <ns0:v>67</ns0:v>
      </ns0:c>
      <ns0:c r="M23" s="2" t="n">
        <ns0:f>VLOOKUP(B23,'평가원본'!$B$6:$D$485,3,FALSE)</ns0:f>
        <ns0:v>1</ns0:v>
      </ns0:c>
      <ns0:c r="N23" s="2" t="n">
        <ns0:f>VLOOKUP(E23,'교육기준'!$B$6:$F$17,5,FALSE)</ns0:f>
        <ns0:v>80</ns0:v>
      </ns0:c>
      <ns0:c r="O23" s="2" t="n">
        <ns0:f>IF(AND(F23="승인",K23&gt;='정책'!$C$6,M23=1,L23&gt;=N23),1,0)</ns0:f>
        <ns0:v>0</ns0:v>
      </ns0:c>
      <ns0:c r="P23" s="2"/>
    </ns0:row>
    <ns0:row r="24" ht="24" customHeight="1">
      <ns0:c r="A24" s="2"/>
      <ns0:c r="B24" s="9" t="str">
        <ns0:f>'신청원본'!B24</ns0:f>
        <ns0:v>APP000019</ns0:v>
      </ns0:c>
      <ns0:c r="C24" s="9" t="str">
        <ns0:f>'신청원본'!C24</ns0:f>
        <ns0:v>000019</ns0:v>
      </ns0:c>
      <ns0:c r="D24" s="2" t="str">
        <ns0:f>'신청원본'!D24</ns0:f>
        <ns0:v>개발</ns0:v>
      </ns0:c>
      <ns0:c r="E24" s="2" t="str">
        <ns0:f>'신청원본'!E24</ns0:f>
        <ns0:v>C07</ns0:v>
      </ns0:c>
      <ns0:c r="F24" s="2" t="str">
        <ns0:f>'신청원본'!H24</ns0:f>
        <ns0:v>승인</ns0:v>
      </ns0:c>
      <ns0:c r="G24" s="15" t="n">
        <ns0:f>VLOOKUP(E24,'교육기준'!$B$6:$F$17,3,FALSE)</ns0:f>
        <ns0:v>205011</ns0:v>
      </ns0:c>
      <ns0:c r="H24" s="15" t="n">
        <ns0:f>'신청원본'!G24</ns0:f>
        <ns0:v>0</ns0:v>
      </ns0:c>
      <ns0:c r="I24" s="13" t="n">
        <ns0:f>'신청원본'!I24</ns0:f>
        <ns0:v>0.1</ns0:v>
      </ns0:c>
      <ns0:c r="J24" s="15" t="n">
        <ns0:f>IF(F24="승인",IF(COUNTA('신청원본'!J24)=0,ROUND(G24*H24*(1-I24),'정책'!$C$8),'신청원본'!J24),0)</ns0:f>
        <ns0:v>0</ns0:v>
      </ns0:c>
      <ns0:c r="K24" s="2" t="n">
        <ns0:f>SUMIFS('출결원본'!$D$6:$D$1445,'출결원본'!$B$6:$B$1445,B24)</ns0:f>
        <ns0:v>2</ns0:v>
      </ns0:c>
      <ns0:c r="L24" s="2" t="n">
        <ns0:f>VLOOKUP(B24,'평가원본'!$B$6:$D$485,2,FALSE)</ns0:f>
        <ns0:v>74</ns0:v>
      </ns0:c>
      <ns0:c r="M24" s="2" t="n">
        <ns0:f>VLOOKUP(B24,'평가원본'!$B$6:$D$485,3,FALSE)</ns0:f>
        <ns0:v>1</ns0:v>
      </ns0:c>
      <ns0:c r="N24" s="2" t="n">
        <ns0:f>VLOOKUP(E24,'교육기준'!$B$6:$F$17,5,FALSE)</ns0:f>
        <ns0:v>60</ns0:v>
      </ns0:c>
      <ns0:c r="O24" s="2" t="n">
        <ns0:f>IF(AND(F24="승인",K24&gt;='정책'!$C$6,M24=1,L24&gt;=N24),1,0)</ns0:f>
        <ns0:v>0</ns0:v>
      </ns0:c>
      <ns0:c r="P24" s="2"/>
    </ns0:row>
    <ns0:row r="25">
      <ns0:c r="B25" s="17" t="str">
        <ns0:f>'신청원본'!B25</ns0:f>
        <ns0:v>APP000020</ns0:v>
      </ns0:c>
      <ns0:c r="C25" s="17" t="str">
        <ns0:f>'신청원본'!C25</ns0:f>
        <ns0:v>000020</ns0:v>
      </ns0:c>
      <ns0:c r="D25" t="str">
        <ns0:f>'신청원본'!D25</ns0:f>
        <ns0:v>생산</ns0:v>
      </ns0:c>
      <ns0:c r="E25" t="str">
        <ns0:f>'신청원본'!E25</ns0:f>
        <ns0:v>C02</ns0:v>
      </ns0:c>
      <ns0:c r="F25" t="str">
        <ns0:f>'신청원본'!H25</ns0:f>
        <ns0:v>승인</ns0:v>
      </ns0:c>
      <ns0:c r="G25" s="18" t="n">
        <ns0:f>VLOOKUP(E25,'교육기준'!$B$6:$F$17,3,FALSE)</ns0:f>
        <ns0:v>117506</ns0:v>
      </ns0:c>
      <ns0:c r="H25" s="18" t="n">
        <ns0:f>'신청원본'!G25</ns0:f>
        <ns0:v>1</ns0:v>
      </ns0:c>
      <ns0:c r="I25" s="19" t="n">
        <ns0:f>'신청원본'!I25</ns0:f>
        <ns0:v>0.125</ns0:v>
      </ns0:c>
      <ns0:c r="J25" s="18" t="n">
        <ns0:f>IF(F25="승인",IF(COUNTA('신청원본'!J25)=0,ROUND(G25*H25*(1-I25),'정책'!$C$8),'신청원본'!J25),0)</ns0:f>
        <ns0:v>102818</ns0:v>
      </ns0:c>
      <ns0:c r="K25" t="n">
        <ns0:f>SUMIFS('출결원본'!$D$6:$D$1445,'출결원본'!$B$6:$B$1445,B25)</ns0:f>
        <ns0:v>3</ns0:v>
      </ns0:c>
      <ns0:c r="L25" t="n">
        <ns0:f>VLOOKUP(B25,'평가원본'!$B$6:$D$485,2,FALSE)</ns0:f>
        <ns0:v>81</ns0:v>
      </ns0:c>
      <ns0:c r="M25" t="n">
        <ns0:f>VLOOKUP(B25,'평가원본'!$B$6:$D$485,3,FALSE)</ns0:f>
        <ns0:v>0</ns0:v>
      </ns0:c>
      <ns0:c r="N25" t="n">
        <ns0:f>VLOOKUP(E25,'교육기준'!$B$6:$F$17,5,FALSE)</ns0:f>
        <ns0:v>70</ns0:v>
      </ns0:c>
      <ns0:c r="O25" t="n">
        <ns0:f>IF(AND(F25="승인",K25&gt;='정책'!$C$6,M25=1,L25&gt;=N25),1,0)</ns0:f>
        <ns0:v>0</ns0:v>
      </ns0:c>
    </ns0:row>
    <ns0:row r="26">
      <ns0:c r="B26" s="17" t="str">
        <ns0:f>'신청원본'!B26</ns0:f>
        <ns0:v>APP000021</ns0:v>
      </ns0:c>
      <ns0:c r="C26" s="17" t="str">
        <ns0:f>'신청원본'!C26</ns0:f>
        <ns0:v>000021</ns0:v>
      </ns0:c>
      <ns0:c r="D26" t="str">
        <ns0:f>'신청원본'!D26</ns0:f>
        <ns0:v>품질</ns0:v>
      </ns0:c>
      <ns0:c r="E26" t="str">
        <ns0:f>'신청원본'!E26</ns0:f>
        <ns0:v>C09</ns0:v>
      </ns0:c>
      <ns0:c r="F26" t="str">
        <ns0:f>'신청원본'!H26</ns0:f>
        <ns0:v>승인</ns0:v>
      </ns0:c>
      <ns0:c r="G26" s="18" t="n">
        <ns0:f>VLOOKUP(E26,'교육기준'!$B$6:$F$17,3,FALSE)</ns0:f>
        <ns0:v>240013</ns0:v>
      </ns0:c>
      <ns0:c r="H26" s="18" t="n">
        <ns0:f>'신청원본'!G26</ns0:f>
        <ns0:v>2</ns0:v>
      </ns0:c>
      <ns0:c r="I26" s="19" t="n">
        <ns0:f>'신청원본'!I26</ns0:f>
        <ns0:v>0</ns0:v>
      </ns0:c>
      <ns0:c r="J26" s="18" t="n">
        <ns0:f>IF(F26="승인",IF(COUNTA('신청원본'!J26)=0,ROUND(G26*H26*(1-I26),'정책'!$C$8),'신청원본'!J26),0)</ns0:f>
        <ns0:v>480026</ns0:v>
      </ns0:c>
      <ns0:c r="K26" t="n">
        <ns0:f>SUMIFS('출결원본'!$D$6:$D$1445,'출결원본'!$B$6:$B$1445,B26)</ns0:f>
        <ns0:v>3</ns0:v>
      </ns0:c>
      <ns0:c r="L26" t="n">
        <ns0:f>VLOOKUP(B26,'평가원본'!$B$6:$D$485,2,FALSE)</ns0:f>
        <ns0:v>88</ns0:v>
      </ns0:c>
      <ns0:c r="M26" t="n">
        <ns0:f>VLOOKUP(B26,'평가원본'!$B$6:$D$485,3,FALSE)</ns0:f>
        <ns0:v>1</ns0:v>
      </ns0:c>
      <ns0:c r="N26" t="n">
        <ns0:f>VLOOKUP(E26,'교육기준'!$B$6:$F$17,5,FALSE)</ns0:f>
        <ns0:v>80</ns0:v>
      </ns0:c>
      <ns0:c r="O26" t="n">
        <ns0:f>IF(AND(F26="승인",K26&gt;='정책'!$C$6,M26=1,L26&gt;=N26),1,0)</ns0:f>
        <ns0:v>1</ns0:v>
      </ns0:c>
    </ns0:row>
    <ns0:row r="27">
      <ns0:c r="B27" s="17" t="str">
        <ns0:f>'신청원본'!B27</ns0:f>
        <ns0:v>APP000022</ns0:v>
      </ns0:c>
      <ns0:c r="C27" s="17" t="str">
        <ns0:f>'신청원본'!C27</ns0:f>
        <ns0:v>000022</ns0:v>
      </ns0:c>
      <ns0:c r="D27" t="str">
        <ns0:f>'신청원본'!D27</ns0:f>
        <ns0:v>기획</ns0:v>
      </ns0:c>
      <ns0:c r="E27" t="str">
        <ns0:f>'신청원본'!E27</ns0:f>
        <ns0:v>C04</ns0:v>
      </ns0:c>
      <ns0:c r="F27" t="str">
        <ns0:f>'신청원본'!H27</ns0:f>
        <ns0:v>대기</ns0:v>
      </ns0:c>
      <ns0:c r="G27" s="18" t="n">
        <ns0:f>VLOOKUP(E27,'교육기준'!$B$6:$F$17,3,FALSE)</ns0:f>
        <ns0:v>152508</ns0:v>
      </ns0:c>
      <ns0:c r="H27" s="18" t="n">
        <ns0:f>'신청원본'!G27</ns0:f>
        <ns0:v>3</ns0:v>
      </ns0:c>
      <ns0:c r="I27" s="19" t="n">
        <ns0:f>'신청원본'!I27</ns0:f>
        <ns0:v>0.05</ns0:v>
      </ns0:c>
      <ns0:c r="J27" s="18" t="n">
        <ns0:f>IF(F27="승인",IF(COUNTA('신청원본'!J27)=0,ROUND(G27*H27*(1-I27),'정책'!$C$8),'신청원본'!J27),0)</ns0:f>
        <ns0:v>0</ns0:v>
      </ns0:c>
      <ns0:c r="K27" t="n">
        <ns0:f>SUMIFS('출결원본'!$D$6:$D$1445,'출결원본'!$B$6:$B$1445,B27)</ns0:f>
        <ns0:v>3</ns0:v>
      </ns0:c>
      <ns0:c r="L27" t="n">
        <ns0:f>VLOOKUP(B27,'평가원본'!$B$6:$D$485,2,FALSE)</ns0:f>
        <ns0:v>95</ns0:v>
      </ns0:c>
      <ns0:c r="M27" t="n">
        <ns0:f>VLOOKUP(B27,'평가원본'!$B$6:$D$485,3,FALSE)</ns0:f>
        <ns0:v>1</ns0:v>
      </ns0:c>
      <ns0:c r="N27" t="n">
        <ns0:f>VLOOKUP(E27,'교육기준'!$B$6:$F$17,5,FALSE)</ns0:f>
        <ns0:v>60</ns0:v>
      </ns0:c>
      <ns0:c r="O27" t="n">
        <ns0:f>IF(AND(F27="승인",K27&gt;='정책'!$C$6,M27=1,L27&gt;=N27),1,0)</ns0:f>
        <ns0:v>0</ns0:v>
      </ns0:c>
    </ns0:row>
    <ns0:row r="28">
      <ns0:c r="B28" s="17" t="str">
        <ns0:f>'신청원본'!B28</ns0:f>
        <ns0:v>APP000023</ns0:v>
      </ns0:c>
      <ns0:c r="C28" s="17" t="str">
        <ns0:f>'신청원본'!C28</ns0:f>
        <ns0:v>000023</ns0:v>
      </ns0:c>
      <ns0:c r="D28" t="str">
        <ns0:f>'신청원본'!D28</ns0:f>
        <ns0:v>영업</ns0:v>
      </ns0:c>
      <ns0:c r="E28" t="str">
        <ns0:f>'신청원본'!E28</ns0:f>
        <ns0:v>C11</ns0:v>
      </ns0:c>
      <ns0:c r="F28" t="str">
        <ns0:f>'신청원본'!H28</ns0:f>
        <ns0:v>취소</ns0:v>
      </ns0:c>
      <ns0:c r="G28" s="18" t="n">
        <ns0:f>VLOOKUP(E28,'교육기준'!$B$6:$F$17,3,FALSE)</ns0:f>
        <ns0:v>275015</ns0:v>
      </ns0:c>
      <ns0:c r="H28" s="18" t="n">
        <ns0:f>'신청원본'!G28</ns0:f>
        <ns0:v>4</ns0:v>
      </ns0:c>
      <ns0:c r="I28" s="19" t="n">
        <ns0:f>'신청원본'!I28</ns0:f>
        <ns0:v>0.1</ns0:v>
      </ns0:c>
      <ns0:c r="J28" s="18" t="n">
        <ns0:f>IF(F28="승인",IF(COUNTA('신청원본'!J28)=0,ROUND(G28*H28*(1-I28),'정책'!$C$8),'신청원본'!J28),0)</ns0:f>
        <ns0:v>0</ns0:v>
      </ns0:c>
      <ns0:c r="K28" t="n">
        <ns0:f>SUMIFS('출결원본'!$D$6:$D$1445,'출결원본'!$B$6:$B$1445,B28)</ns0:f>
        <ns0:v>3</ns0:v>
      </ns0:c>
      <ns0:c r="L28" t="n">
        <ns0:f>VLOOKUP(B28,'평가원본'!$B$6:$D$485,2,FALSE)</ns0:f>
        <ns0:v>51</ns0:v>
      </ns0:c>
      <ns0:c r="M28" t="n">
        <ns0:f>VLOOKUP(B28,'평가원본'!$B$6:$D$485,3,FALSE)</ns0:f>
        <ns0:v>1</ns0:v>
      </ns0:c>
      <ns0:c r="N28" t="n">
        <ns0:f>VLOOKUP(E28,'교육기준'!$B$6:$F$17,5,FALSE)</ns0:f>
        <ns0:v>70</ns0:v>
      </ns0:c>
      <ns0:c r="O28" t="n">
        <ns0:f>IF(AND(F28="승인",K28&gt;='정책'!$C$6,M28=1,L28&gt;=N28),1,0)</ns0:f>
        <ns0:v>0</ns0:v>
      </ns0:c>
    </ns0:row>
    <ns0:row r="29">
      <ns0:c r="B29" s="17" t="str">
        <ns0:f>'신청원본'!B29</ns0:f>
        <ns0:v>APP000024</ns0:v>
      </ns0:c>
      <ns0:c r="C29" s="17" t="str">
        <ns0:f>'신청원본'!C29</ns0:f>
        <ns0:v>000024</ns0:v>
      </ns0:c>
      <ns0:c r="D29" t="str">
        <ns0:f>'신청원본'!D29</ns0:f>
        <ns0:v>지원</ns0:v>
      </ns0:c>
      <ns0:c r="E29" t="str">
        <ns0:f>'신청원본'!E29</ns0:f>
        <ns0:v>C06</ns0:v>
      </ns0:c>
      <ns0:c r="F29" t="str">
        <ns0:f>'신청원본'!H29</ns0:f>
        <ns0:v>승인</ns0:v>
      </ns0:c>
      <ns0:c r="G29" s="18" t="n">
        <ns0:f>VLOOKUP(E29,'교육기준'!$B$6:$F$17,3,FALSE)</ns0:f>
        <ns0:v>187510</ns0:v>
      </ns0:c>
      <ns0:c r="H29" s="18" t="n">
        <ns0:f>'신청원본'!G29</ns0:f>
        <ns0:v>5</ns0:v>
      </ns0:c>
      <ns0:c r="I29" s="19" t="n">
        <ns0:f>'신청원본'!I29</ns0:f>
        <ns0:v>0.125</ns0:v>
      </ns0:c>
      <ns0:c r="J29" s="18" t="n">
        <ns0:f>IF(F29="승인",IF(COUNTA('신청원본'!J29)=0,ROUND(G29*H29*(1-I29),'정책'!$C$8),'신청원본'!J29),0)</ns0:f>
        <ns0:v>820356</ns0:v>
      </ns0:c>
      <ns0:c r="K29" t="n">
        <ns0:f>SUMIFS('출결원본'!$D$6:$D$1445,'출결원본'!$B$6:$B$1445,B29)</ns0:f>
        <ns0:v>3</ns0:v>
      </ns0:c>
      <ns0:c r="L29" t="n">
        <ns0:f>VLOOKUP(B29,'평가원본'!$B$6:$D$485,2,FALSE)</ns0:f>
        <ns0:v>58</ns0:v>
      </ns0:c>
      <ns0:c r="M29" t="n">
        <ns0:f>VLOOKUP(B29,'평가원본'!$B$6:$D$485,3,FALSE)</ns0:f>
        <ns0:v>1</ns0:v>
      </ns0:c>
      <ns0:c r="N29" t="n">
        <ns0:f>VLOOKUP(E29,'교육기준'!$B$6:$F$17,5,FALSE)</ns0:f>
        <ns0:v>80</ns0:v>
      </ns0:c>
      <ns0:c r="O29" t="n">
        <ns0:f>IF(AND(F29="승인",K29&gt;='정책'!$C$6,M29=1,L29&gt;=N29),1,0)</ns0:f>
        <ns0:v>0</ns0:v>
      </ns0:c>
    </ns0:row>
    <ns0:row r="30">
      <ns0:c r="B30" s="17" t="str">
        <ns0:f>'신청원본'!B30</ns0:f>
        <ns0:v>APP000025</ns0:v>
      </ns0:c>
      <ns0:c r="C30" s="17" t="str">
        <ns0:f>'신청원본'!C30</ns0:f>
        <ns0:v>000025</ns0:v>
      </ns0:c>
      <ns0:c r="D30" t="str">
        <ns0:f>'신청원본'!D30</ns0:f>
        <ns0:v>개발</ns0:v>
      </ns0:c>
      <ns0:c r="E30" t="str">
        <ns0:f>'신청원본'!E30</ns0:f>
        <ns0:v>C01</ns0:v>
      </ns0:c>
      <ns0:c r="F30" t="str">
        <ns0:f>'신청원본'!H30</ns0:f>
        <ns0:v>승인</ns0:v>
      </ns0:c>
      <ns0:c r="G30" s="18" t="n">
        <ns0:f>VLOOKUP(E30,'교육기준'!$B$6:$F$17,3,FALSE)</ns0:f>
        <ns0:v>100005</ns0:v>
      </ns0:c>
      <ns0:c r="H30" s="18" t="n">
        <ns0:f>'신청원본'!G30</ns0:f>
        <ns0:v>0</ns0:v>
      </ns0:c>
      <ns0:c r="I30" s="19" t="n">
        <ns0:f>'신청원본'!I30</ns0:f>
        <ns0:v>0</ns0:v>
      </ns0:c>
      <ns0:c r="J30" s="18" t="n">
        <ns0:f>IF(F30="승인",IF(COUNTA('신청원본'!J30)=0,ROUND(G30*H30*(1-I30),'정책'!$C$8),'신청원본'!J30),0)</ns0:f>
        <ns0:v>0</ns0:v>
      </ns0:c>
      <ns0:c r="K30" t="n">
        <ns0:f>SUMIFS('출결원본'!$D$6:$D$1445,'출결원본'!$B$6:$B$1445,B30)</ns0:f>
        <ns0:v>3</ns0:v>
      </ns0:c>
      <ns0:c r="L30" t="n">
        <ns0:f>VLOOKUP(B30,'평가원본'!$B$6:$D$485,2,FALSE)</ns0:f>
        <ns0:v>65</ns0:v>
      </ns0:c>
      <ns0:c r="M30" t="n">
        <ns0:f>VLOOKUP(B30,'평가원본'!$B$6:$D$485,3,FALSE)</ns0:f>
        <ns0:v>1</ns0:v>
      </ns0:c>
      <ns0:c r="N30" t="n">
        <ns0:f>VLOOKUP(E30,'교육기준'!$B$6:$F$17,5,FALSE)</ns0:f>
        <ns0:v>60</ns0:v>
      </ns0:c>
      <ns0:c r="O30" t="n">
        <ns0:f>IF(AND(F30="승인",K30&gt;='정책'!$C$6,M30=1,L30&gt;=N30),1,0)</ns0:f>
        <ns0:v>1</ns0:v>
      </ns0:c>
    </ns0:row>
    <ns0:row r="31">
      <ns0:c r="B31" s="17" t="str">
        <ns0:f>'신청원본'!B31</ns0:f>
        <ns0:v>APP000026</ns0:v>
      </ns0:c>
      <ns0:c r="C31" s="17" t="str">
        <ns0:f>'신청원본'!C31</ns0:f>
        <ns0:v>000026</ns0:v>
      </ns0:c>
      <ns0:c r="D31" t="str">
        <ns0:f>'신청원본'!D31</ns0:f>
        <ns0:v>생산</ns0:v>
      </ns0:c>
      <ns0:c r="E31" t="str">
        <ns0:f>'신청원본'!E31</ns0:f>
        <ns0:v>C08</ns0:v>
      </ns0:c>
      <ns0:c r="F31" t="str">
        <ns0:f>'신청원본'!H31</ns0:f>
        <ns0:v>승인</ns0:v>
      </ns0:c>
      <ns0:c r="G31" s="18" t="n">
        <ns0:f>VLOOKUP(E31,'교육기준'!$B$6:$F$17,3,FALSE)</ns0:f>
        <ns0:v>222512</ns0:v>
      </ns0:c>
      <ns0:c r="H31" s="18" t="n">
        <ns0:f>'신청원본'!G31</ns0:f>
        <ns0:v>1</ns0:v>
      </ns0:c>
      <ns0:c r="I31" s="19" t="n">
        <ns0:f>'신청원본'!I31</ns0:f>
        <ns0:v>0.05</ns0:v>
      </ns0:c>
      <ns0:c r="J31" s="18" t="n">
        <ns0:f>IF(F31="승인",IF(COUNTA('신청원본'!J31)=0,ROUND(G31*H31*(1-I31),'정책'!$C$8),'신청원본'!J31),0)</ns0:f>
        <ns0:v>211386</ns0:v>
      </ns0:c>
      <ns0:c r="K31" t="n">
        <ns0:f>SUMIFS('출결원본'!$D$6:$D$1445,'출결원본'!$B$6:$B$1445,B31)</ns0:f>
        <ns0:v>3</ns0:v>
      </ns0:c>
      <ns0:c r="L31" t="n">
        <ns0:f>VLOOKUP(B31,'평가원본'!$B$6:$D$485,2,FALSE)</ns0:f>
        <ns0:v>72</ns0:v>
      </ns0:c>
      <ns0:c r="M31" t="n">
        <ns0:f>VLOOKUP(B31,'평가원본'!$B$6:$D$485,3,FALSE)</ns0:f>
        <ns0:v>1</ns0:v>
      </ns0:c>
      <ns0:c r="N31" t="n">
        <ns0:f>VLOOKUP(E31,'교육기준'!$B$6:$F$17,5,FALSE)</ns0:f>
        <ns0:v>70</ns0:v>
      </ns0:c>
      <ns0:c r="O31" t="n">
        <ns0:f>IF(AND(F31="승인",K31&gt;='정책'!$C$6,M31=1,L31&gt;=N31),1,0)</ns0:f>
        <ns0:v>1</ns0:v>
      </ns0:c>
    </ns0:row>
    <ns0:row r="32">
      <ns0:c r="B32" s="17" t="str">
        <ns0:f>'신청원본'!B32</ns0:f>
        <ns0:v>APP000027</ns0:v>
      </ns0:c>
      <ns0:c r="C32" s="17" t="str">
        <ns0:f>'신청원본'!C32</ns0:f>
        <ns0:v>000027</ns0:v>
      </ns0:c>
      <ns0:c r="D32" t="str">
        <ns0:f>'신청원본'!D32</ns0:f>
        <ns0:v>품질</ns0:v>
      </ns0:c>
      <ns0:c r="E32" t="str">
        <ns0:f>'신청원본'!E32</ns0:f>
        <ns0:v>C03</ns0:v>
      </ns0:c>
      <ns0:c r="F32" t="str">
        <ns0:f>'신청원본'!H32</ns0:f>
        <ns0:v>승인</ns0:v>
      </ns0:c>
      <ns0:c r="G32" s="18" t="n">
        <ns0:f>VLOOKUP(E32,'교육기준'!$B$6:$F$17,3,FALSE)</ns0:f>
        <ns0:v>135007</ns0:v>
      </ns0:c>
      <ns0:c r="H32" s="18" t="n">
        <ns0:f>'신청원본'!G32</ns0:f>
        <ns0:v>2</ns0:v>
      </ns0:c>
      <ns0:c r="I32" s="19" t="n">
        <ns0:f>'신청원본'!I32</ns0:f>
        <ns0:v>0.1</ns0:v>
      </ns0:c>
      <ns0:c r="J32" s="18" t="n">
        <ns0:f>IF(F32="승인",IF(COUNTA('신청원본'!J32)=0,ROUND(G32*H32*(1-I32),'정책'!$C$8),'신청원본'!J32),0)</ns0:f>
        <ns0:v>243013</ns0:v>
      </ns0:c>
      <ns0:c r="K32" t="n">
        <ns0:f>SUMIFS('출결원본'!$D$6:$D$1445,'출결원본'!$B$6:$B$1445,B32)</ns0:f>
        <ns0:v>2</ns0:v>
      </ns0:c>
      <ns0:c r="L32" t="n">
        <ns0:f>VLOOKUP(B32,'평가원본'!$B$6:$D$485,2,FALSE)</ns0:f>
        <ns0:v>79</ns0:v>
      </ns0:c>
      <ns0:c r="M32" t="n">
        <ns0:f>VLOOKUP(B32,'평가원본'!$B$6:$D$485,3,FALSE)</ns0:f>
        <ns0:v>1</ns0:v>
      </ns0:c>
      <ns0:c r="N32" t="n">
        <ns0:f>VLOOKUP(E32,'교육기준'!$B$6:$F$17,5,FALSE)</ns0:f>
        <ns0:v>80</ns0:v>
      </ns0:c>
      <ns0:c r="O32" t="n">
        <ns0:f>IF(AND(F32="승인",K32&gt;='정책'!$C$6,M32=1,L32&gt;=N32),1,0)</ns0:f>
        <ns0:v>0</ns0:v>
      </ns0:c>
    </ns0:row>
    <ns0:row r="33">
      <ns0:c r="B33" s="17" t="str">
        <ns0:f>'신청원본'!B33</ns0:f>
        <ns0:v>APP000028</ns0:v>
      </ns0:c>
      <ns0:c r="C33" s="17" t="str">
        <ns0:f>'신청원본'!C33</ns0:f>
        <ns0:v>000028</ns0:v>
      </ns0:c>
      <ns0:c r="D33" t="str">
        <ns0:f>'신청원본'!D33</ns0:f>
        <ns0:v>기획</ns0:v>
      </ns0:c>
      <ns0:c r="E33" t="str">
        <ns0:f>'신청원본'!E33</ns0:f>
        <ns0:v>C10</ns0:v>
      </ns0:c>
      <ns0:c r="F33" t="str">
        <ns0:f>'신청원본'!H33</ns0:f>
        <ns0:v>승인</ns0:v>
      </ns0:c>
      <ns0:c r="G33" s="18" t="n">
        <ns0:f>VLOOKUP(E33,'교육기준'!$B$6:$F$17,3,FALSE)</ns0:f>
        <ns0:v>257514</ns0:v>
      </ns0:c>
      <ns0:c r="H33" s="18" t="n">
        <ns0:f>'신청원본'!G33</ns0:f>
        <ns0:v>3</ns0:v>
      </ns0:c>
      <ns0:c r="I33" s="19" t="n">
        <ns0:f>'신청원본'!I33</ns0:f>
        <ns0:v>0.125</ns0:v>
      </ns0:c>
      <ns0:c r="J33" s="18" t="n">
        <ns0:f>IF(F33="승인",IF(COUNTA('신청원본'!J33)=0,ROUND(G33*H33*(1-I33),'정책'!$C$8),'신청원본'!J33),0)</ns0:f>
        <ns0:v>675974</ns0:v>
      </ns0:c>
      <ns0:c r="K33" t="n">
        <ns0:f>SUMIFS('출결원본'!$D$6:$D$1445,'출결원본'!$B$6:$B$1445,B33)</ns0:f>
        <ns0:v>2</ns0:v>
      </ns0:c>
      <ns0:c r="L33" t="n">
        <ns0:f>VLOOKUP(B33,'평가원본'!$B$6:$D$485,2,FALSE)</ns0:f>
        <ns0:v>86</ns0:v>
      </ns0:c>
      <ns0:c r="M33" t="n">
        <ns0:f>VLOOKUP(B33,'평가원본'!$B$6:$D$485,3,FALSE)</ns0:f>
        <ns0:v>1</ns0:v>
      </ns0:c>
      <ns0:c r="N33" t="n">
        <ns0:f>VLOOKUP(E33,'교육기준'!$B$6:$F$17,5,FALSE)</ns0:f>
        <ns0:v>60</ns0:v>
      </ns0:c>
      <ns0:c r="O33" t="n">
        <ns0:f>IF(AND(F33="승인",K33&gt;='정책'!$C$6,M33=1,L33&gt;=N33),1,0)</ns0:f>
        <ns0:v>0</ns0:v>
      </ns0:c>
    </ns0:row>
    <ns0:row r="34">
      <ns0:c r="B34" s="17" t="str">
        <ns0:f>'신청원본'!B34</ns0:f>
        <ns0:v>APP000029</ns0:v>
      </ns0:c>
      <ns0:c r="C34" s="17" t="str">
        <ns0:f>'신청원본'!C34</ns0:f>
        <ns0:v>000029</ns0:v>
      </ns0:c>
      <ns0:c r="D34" t="str">
        <ns0:f>'신청원본'!D34</ns0:f>
        <ns0:v>영업</ns0:v>
      </ns0:c>
      <ns0:c r="E34" t="str">
        <ns0:f>'신청원본'!E34</ns0:f>
        <ns0:v>C05</ns0:v>
      </ns0:c>
      <ns0:c r="F34" t="str">
        <ns0:f>'신청원본'!H34</ns0:f>
        <ns0:v>대기</ns0:v>
      </ns0:c>
      <ns0:c r="G34" s="18" t="n">
        <ns0:f>VLOOKUP(E34,'교육기준'!$B$6:$F$17,3,FALSE)</ns0:f>
        <ns0:v>170009</ns0:v>
      </ns0:c>
      <ns0:c r="H34" s="18" t="n">
        <ns0:f>'신청원본'!G34</ns0:f>
        <ns0:v>4</ns0:v>
      </ns0:c>
      <ns0:c r="I34" s="19" t="n">
        <ns0:f>'신청원본'!I34</ns0:f>
        <ns0:v>0</ns0:v>
      </ns0:c>
      <ns0:c r="J34" s="18" t="n">
        <ns0:f>IF(F34="승인",IF(COUNTA('신청원본'!J34)=0,ROUND(G34*H34*(1-I34),'정책'!$C$8),'신청원본'!J34),0)</ns0:f>
        <ns0:v>0</ns0:v>
      </ns0:c>
      <ns0:c r="K34" t="n">
        <ns0:f>SUMIFS('출결원본'!$D$6:$D$1445,'출결원본'!$B$6:$B$1445,B34)</ns0:f>
        <ns0:v>3</ns0:v>
      </ns0:c>
      <ns0:c r="L34" t="n">
        <ns0:f>VLOOKUP(B34,'평가원본'!$B$6:$D$485,2,FALSE)</ns0:f>
        <ns0:v>93</ns0:v>
      </ns0:c>
      <ns0:c r="M34" t="n">
        <ns0:f>VLOOKUP(B34,'평가원본'!$B$6:$D$485,3,FALSE)</ns0:f>
        <ns0:v>1</ns0:v>
      </ns0:c>
      <ns0:c r="N34" t="n">
        <ns0:f>VLOOKUP(E34,'교육기준'!$B$6:$F$17,5,FALSE)</ns0:f>
        <ns0:v>70</ns0:v>
      </ns0:c>
      <ns0:c r="O34" t="n">
        <ns0:f>IF(AND(F34="승인",K34&gt;='정책'!$C$6,M34=1,L34&gt;=N34),1,0)</ns0:f>
        <ns0:v>0</ns0:v>
      </ns0:c>
    </ns0:row>
    <ns0:row r="35">
      <ns0:c r="B35" s="17" t="str">
        <ns0:f>'신청원본'!B35</ns0:f>
        <ns0:v>APP000030</ns0:v>
      </ns0:c>
      <ns0:c r="C35" s="17" t="str">
        <ns0:f>'신청원본'!C35</ns0:f>
        <ns0:v>000030</ns0:v>
      </ns0:c>
      <ns0:c r="D35" t="str">
        <ns0:f>'신청원본'!D35</ns0:f>
        <ns0:v>지원</ns0:v>
      </ns0:c>
      <ns0:c r="E35" t="str">
        <ns0:f>'신청원본'!E35</ns0:f>
        <ns0:v>C12</ns0:v>
      </ns0:c>
      <ns0:c r="F35" t="str">
        <ns0:f>'신청원본'!H35</ns0:f>
        <ns0:v>승인</ns0:v>
      </ns0:c>
      <ns0:c r="G35" s="18" t="n">
        <ns0:f>VLOOKUP(E35,'교육기준'!$B$6:$F$17,3,FALSE)</ns0:f>
        <ns0:v>292516</ns0:v>
      </ns0:c>
      <ns0:c r="H35" s="18" t="n">
        <ns0:f>'신청원본'!G35</ns0:f>
        <ns0:v>5</ns0:v>
      </ns0:c>
      <ns0:c r="I35" s="19" t="n">
        <ns0:f>'신청원본'!I35</ns0:f>
        <ns0:v>0.05</ns0:v>
      </ns0:c>
      <ns0:c r="J35" s="18" t="n">
        <ns0:f>IF(F35="승인",IF(COUNTA('신청원본'!J35)=0,ROUND(G35*H35*(1-I35),'정책'!$C$8),'신청원본'!J35),0)</ns0:f>
        <ns0:v>1389451</ns0:v>
      </ns0:c>
      <ns0:c r="K35" t="n">
        <ns0:f>SUMIFS('출결원본'!$D$6:$D$1445,'출결원본'!$B$6:$B$1445,B35)</ns0:f>
        <ns0:v>3</ns0:v>
      </ns0:c>
      <ns0:c r="L35" t="n">
        <ns0:f>VLOOKUP(B35,'평가원본'!$B$6:$D$485,2,FALSE)</ns0:f>
        <ns0:v>100</ns0:v>
      </ns0:c>
      <ns0:c r="M35" t="n">
        <ns0:f>VLOOKUP(B35,'평가원본'!$B$6:$D$485,3,FALSE)</ns0:f>
        <ns0:v>1</ns0:v>
      </ns0:c>
      <ns0:c r="N35" t="n">
        <ns0:f>VLOOKUP(E35,'교육기준'!$B$6:$F$17,5,FALSE)</ns0:f>
        <ns0:v>80</ns0:v>
      </ns0:c>
      <ns0:c r="O35" t="n">
        <ns0:f>IF(AND(F35="승인",K35&gt;='정책'!$C$6,M35=1,L35&gt;=N35),1,0)</ns0:f>
        <ns0:v>1</ns0:v>
      </ns0:c>
    </ns0:row>
    <ns0:row r="36">
      <ns0:c r="B36" s="17" t="str">
        <ns0:f>'신청원본'!B36</ns0:f>
        <ns0:v>APP000031</ns0:v>
      </ns0:c>
      <ns0:c r="C36" s="17" t="str">
        <ns0:f>'신청원본'!C36</ns0:f>
        <ns0:v>000031</ns0:v>
      </ns0:c>
      <ns0:c r="D36" t="str">
        <ns0:f>'신청원본'!D36</ns0:f>
        <ns0:v>개발</ns0:v>
      </ns0:c>
      <ns0:c r="E36" t="str">
        <ns0:f>'신청원본'!E36</ns0:f>
        <ns0:v>C07</ns0:v>
      </ns0:c>
      <ns0:c r="F36" t="str">
        <ns0:f>'신청원본'!H36</ns0:f>
        <ns0:v>승인</ns0:v>
      </ns0:c>
      <ns0:c r="G36" s="18" t="n">
        <ns0:f>VLOOKUP(E36,'교육기준'!$B$6:$F$17,3,FALSE)</ns0:f>
        <ns0:v>205011</ns0:v>
      </ns0:c>
      <ns0:c r="H36" s="18" t="n">
        <ns0:f>'신청원본'!G36</ns0:f>
        <ns0:v>0</ns0:v>
      </ns0:c>
      <ns0:c r="I36" s="19" t="n">
        <ns0:f>'신청원본'!I36</ns0:f>
        <ns0:v>0.1</ns0:v>
      </ns0:c>
      <ns0:c r="J36" s="18" t="n">
        <ns0:f>IF(F36="승인",IF(COUNTA('신청원본'!J36)=0,ROUND(G36*H36*(1-I36),'정책'!$C$8),'신청원본'!J36),0)</ns0:f>
        <ns0:v>0</ns0:v>
      </ns0:c>
      <ns0:c r="K36" t="n">
        <ns0:f>SUMIFS('출결원본'!$D$6:$D$1445,'출결원본'!$B$6:$B$1445,B36)</ns0:f>
        <ns0:v>3</ns0:v>
      </ns0:c>
      <ns0:c r="L36" t="n">
        <ns0:f>VLOOKUP(B36,'평가원본'!$B$6:$D$485,2,FALSE)</ns0:f>
        <ns0:v>56</ns0:v>
      </ns0:c>
      <ns0:c r="M36" t="n">
        <ns0:f>VLOOKUP(B36,'평가원본'!$B$6:$D$485,3,FALSE)</ns0:f>
        <ns0:v>1</ns0:v>
      </ns0:c>
      <ns0:c r="N36" t="n">
        <ns0:f>VLOOKUP(E36,'교육기준'!$B$6:$F$17,5,FALSE)</ns0:f>
        <ns0:v>60</ns0:v>
      </ns0:c>
      <ns0:c r="O36" t="n">
        <ns0:f>IF(AND(F36="승인",K36&gt;='정책'!$C$6,M36=1,L36&gt;=N36),1,0)</ns0:f>
        <ns0:v>0</ns0:v>
      </ns0:c>
    </ns0:row>
    <ns0:row r="37">
      <ns0:c r="B37" s="17" t="str">
        <ns0:f>'신청원본'!B37</ns0:f>
        <ns0:v>APP000032</ns0:v>
      </ns0:c>
      <ns0:c r="C37" s="17" t="str">
        <ns0:f>'신청원본'!C37</ns0:f>
        <ns0:v>000032</ns0:v>
      </ns0:c>
      <ns0:c r="D37" t="str">
        <ns0:f>'신청원본'!D37</ns0:f>
        <ns0:v>생산</ns0:v>
      </ns0:c>
      <ns0:c r="E37" t="str">
        <ns0:f>'신청원본'!E37</ns0:f>
        <ns0:v>C02</ns0:v>
      </ns0:c>
      <ns0:c r="F37" t="str">
        <ns0:f>'신청원본'!H37</ns0:f>
        <ns0:v>승인</ns0:v>
      </ns0:c>
      <ns0:c r="G37" s="18" t="n">
        <ns0:f>VLOOKUP(E37,'교육기준'!$B$6:$F$17,3,FALSE)</ns0:f>
        <ns0:v>117506</ns0:v>
      </ns0:c>
      <ns0:c r="H37" s="18" t="n">
        <ns0:f>'신청원본'!G37</ns0:f>
        <ns0:v>1</ns0:v>
      </ns0:c>
      <ns0:c r="I37" s="19" t="n">
        <ns0:f>'신청원본'!I37</ns0:f>
        <ns0:v>0.125</ns0:v>
      </ns0:c>
      <ns0:c r="J37" s="18" t="n">
        <ns0:f>IF(F37="승인",IF(COUNTA('신청원본'!J37)=0,ROUND(G37*H37*(1-I37),'정책'!$C$8),'신청원본'!J37),0)</ns0:f>
        <ns0:v>102818</ns0:v>
      </ns0:c>
      <ns0:c r="K37" t="n">
        <ns0:f>SUMIFS('출결원본'!$D$6:$D$1445,'출결원본'!$B$6:$B$1445,B37)</ns0:f>
        <ns0:v>3</ns0:v>
      </ns0:c>
      <ns0:c r="L37" t="n">
        <ns0:f>VLOOKUP(B37,'평가원본'!$B$6:$D$485,2,FALSE)</ns0:f>
        <ns0:v>63</ns0:v>
      </ns0:c>
      <ns0:c r="M37" t="n">
        <ns0:f>VLOOKUP(B37,'평가원본'!$B$6:$D$485,3,FALSE)</ns0:f>
        <ns0:v>1</ns0:v>
      </ns0:c>
      <ns0:c r="N37" t="n">
        <ns0:f>VLOOKUP(E37,'교육기준'!$B$6:$F$17,5,FALSE)</ns0:f>
        <ns0:v>70</ns0:v>
      </ns0:c>
      <ns0:c r="O37" t="n">
        <ns0:f>IF(AND(F37="승인",K37&gt;='정책'!$C$6,M37=1,L37&gt;=N37),1,0)</ns0:f>
        <ns0:v>0</ns0:v>
      </ns0:c>
    </ns0:row>
    <ns0:row r="38">
      <ns0:c r="B38" s="17" t="str">
        <ns0:f>'신청원본'!B38</ns0:f>
        <ns0:v>APP000033</ns0:v>
      </ns0:c>
      <ns0:c r="C38" s="17" t="str">
        <ns0:f>'신청원본'!C38</ns0:f>
        <ns0:v>000033</ns0:v>
      </ns0:c>
      <ns0:c r="D38" t="str">
        <ns0:f>'신청원본'!D38</ns0:f>
        <ns0:v>품질</ns0:v>
      </ns0:c>
      <ns0:c r="E38" t="str">
        <ns0:f>'신청원본'!E38</ns0:f>
        <ns0:v>C09</ns0:v>
      </ns0:c>
      <ns0:c r="F38" t="str">
        <ns0:f>'신청원본'!H38</ns0:f>
        <ns0:v>승인</ns0:v>
      </ns0:c>
      <ns0:c r="G38" s="18" t="n">
        <ns0:f>VLOOKUP(E38,'교육기준'!$B$6:$F$17,3,FALSE)</ns0:f>
        <ns0:v>240013</ns0:v>
      </ns0:c>
      <ns0:c r="H38" s="18" t="n">
        <ns0:f>'신청원본'!G38</ns0:f>
        <ns0:v>2</ns0:v>
      </ns0:c>
      <ns0:c r="I38" s="19" t="n">
        <ns0:f>'신청원본'!I38</ns0:f>
        <ns0:v>0</ns0:v>
      </ns0:c>
      <ns0:c r="J38" s="18" t="n">
        <ns0:f>IF(F38="승인",IF(COUNTA('신청원본'!J38)=0,ROUND(G38*H38*(1-I38),'정책'!$C$8),'신청원본'!J38),0)</ns0:f>
        <ns0:v>480026</ns0:v>
      </ns0:c>
      <ns0:c r="K38" t="n">
        <ns0:f>SUMIFS('출결원본'!$D$6:$D$1445,'출결원본'!$B$6:$B$1445,B38)</ns0:f>
        <ns0:v>3</ns0:v>
      </ns0:c>
      <ns0:c r="L38" t="n">
        <ns0:f>VLOOKUP(B38,'평가원본'!$B$6:$D$485,2,FALSE)</ns0:f>
        <ns0:v>70</ns0:v>
      </ns0:c>
      <ns0:c r="M38" t="n">
        <ns0:f>VLOOKUP(B38,'평가원본'!$B$6:$D$485,3,FALSE)</ns0:f>
        <ns0:v>1</ns0:v>
      </ns0:c>
      <ns0:c r="N38" t="n">
        <ns0:f>VLOOKUP(E38,'교육기준'!$B$6:$F$17,5,FALSE)</ns0:f>
        <ns0:v>80</ns0:v>
      </ns0:c>
      <ns0:c r="O38" t="n">
        <ns0:f>IF(AND(F38="승인",K38&gt;='정책'!$C$6,M38=1,L38&gt;=N38),1,0)</ns0:f>
        <ns0:v>0</ns0:v>
      </ns0:c>
    </ns0:row>
    <ns0:row r="39">
      <ns0:c r="B39" s="17" t="str">
        <ns0:f>'신청원본'!B39</ns0:f>
        <ns0:v>APP000034</ns0:v>
      </ns0:c>
      <ns0:c r="C39" s="17" t="str">
        <ns0:f>'신청원본'!C39</ns0:f>
        <ns0:v>000034</ns0:v>
      </ns0:c>
      <ns0:c r="D39" t="str">
        <ns0:f>'신청원본'!D39</ns0:f>
        <ns0:v>기획</ns0:v>
      </ns0:c>
      <ns0:c r="E39" t="str">
        <ns0:f>'신청원본'!E39</ns0:f>
        <ns0:v>C04</ns0:v>
      </ns0:c>
      <ns0:c r="F39" t="str">
        <ns0:f>'신청원본'!H39</ns0:f>
        <ns0:v>취소</ns0:v>
      </ns0:c>
      <ns0:c r="G39" s="18" t="n">
        <ns0:f>VLOOKUP(E39,'교육기준'!$B$6:$F$17,3,FALSE)</ns0:f>
        <ns0:v>152508</ns0:v>
      </ns0:c>
      <ns0:c r="H39" s="18" t="n">
        <ns0:f>'신청원본'!G39</ns0:f>
        <ns0:v>3</ns0:v>
      </ns0:c>
      <ns0:c r="I39" s="19" t="n">
        <ns0:f>'신청원본'!I39</ns0:f>
        <ns0:v>0.05</ns0:v>
      </ns0:c>
      <ns0:c r="J39" s="18" t="n">
        <ns0:f>IF(F39="승인",IF(COUNTA('신청원본'!J39)=0,ROUND(G39*H39*(1-I39),'정책'!$C$8),'신청원본'!J39),0)</ns0:f>
        <ns0:v>0</ns0:v>
      </ns0:c>
      <ns0:c r="K39" t="n">
        <ns0:f>SUMIFS('출결원본'!$D$6:$D$1445,'출결원본'!$B$6:$B$1445,B39)</ns0:f>
        <ns0:v>3</ns0:v>
      </ns0:c>
      <ns0:c r="L39" t="n">
        <ns0:f>VLOOKUP(B39,'평가원본'!$B$6:$D$485,2,FALSE)</ns0:f>
        <ns0:v>77</ns0:v>
      </ns0:c>
      <ns0:c r="M39" t="n">
        <ns0:f>VLOOKUP(B39,'평가원본'!$B$6:$D$485,3,FALSE)</ns0:f>
        <ns0:v>1</ns0:v>
      </ns0:c>
      <ns0:c r="N39" t="n">
        <ns0:f>VLOOKUP(E39,'교육기준'!$B$6:$F$17,5,FALSE)</ns0:f>
        <ns0:v>60</ns0:v>
      </ns0:c>
      <ns0:c r="O39" t="n">
        <ns0:f>IF(AND(F39="승인",K39&gt;='정책'!$C$6,M39=1,L39&gt;=N39),1,0)</ns0:f>
        <ns0:v>0</ns0:v>
      </ns0:c>
    </ns0:row>
    <ns0:row r="40">
      <ns0:c r="B40" s="17" t="str">
        <ns0:f>'신청원본'!B40</ns0:f>
        <ns0:v>APP000035</ns0:v>
      </ns0:c>
      <ns0:c r="C40" s="17" t="str">
        <ns0:f>'신청원본'!C40</ns0:f>
        <ns0:v>000035</ns0:v>
      </ns0:c>
      <ns0:c r="D40" t="str">
        <ns0:f>'신청원본'!D40</ns0:f>
        <ns0:v>영업</ns0:v>
      </ns0:c>
      <ns0:c r="E40" t="str">
        <ns0:f>'신청원본'!E40</ns0:f>
        <ns0:v>C11</ns0:v>
      </ns0:c>
      <ns0:c r="F40" t="str">
        <ns0:f>'신청원본'!H40</ns0:f>
        <ns0:v>승인</ns0:v>
      </ns0:c>
      <ns0:c r="G40" s="18" t="n">
        <ns0:f>VLOOKUP(E40,'교육기준'!$B$6:$F$17,3,FALSE)</ns0:f>
        <ns0:v>275015</ns0:v>
      </ns0:c>
      <ns0:c r="H40" s="18" t="n">
        <ns0:f>'신청원본'!G40</ns0:f>
        <ns0:v>4</ns0:v>
      </ns0:c>
      <ns0:c r="I40" s="19" t="n">
        <ns0:f>'신청원본'!I40</ns0:f>
        <ns0:v>0.1</ns0:v>
      </ns0:c>
      <ns0:c r="J40" s="18" t="n">
        <ns0:f>IF(F40="승인",IF(COUNTA('신청원본'!J40)=0,ROUND(G40*H40*(1-I40),'정책'!$C$8),'신청원본'!J40),0)</ns0:f>
        <ns0:v>990054</ns0:v>
      </ns0:c>
      <ns0:c r="K40" t="n">
        <ns0:f>SUMIFS('출결원본'!$D$6:$D$1445,'출결원본'!$B$6:$B$1445,B40)</ns0:f>
        <ns0:v>3</ns0:v>
      </ns0:c>
      <ns0:c r="L40" t="n">
        <ns0:f>VLOOKUP(B40,'평가원본'!$B$6:$D$485,2,FALSE)</ns0:f>
        <ns0:v>84</ns0:v>
      </ns0:c>
      <ns0:c r="M40" t="n">
        <ns0:f>VLOOKUP(B40,'평가원본'!$B$6:$D$485,3,FALSE)</ns0:f>
        <ns0:v>1</ns0:v>
      </ns0:c>
      <ns0:c r="N40" t="n">
        <ns0:f>VLOOKUP(E40,'교육기준'!$B$6:$F$17,5,FALSE)</ns0:f>
        <ns0:v>70</ns0:v>
      </ns0:c>
      <ns0:c r="O40" t="n">
        <ns0:f>IF(AND(F40="승인",K40&gt;='정책'!$C$6,M40=1,L40&gt;=N40),1,0)</ns0:f>
        <ns0:v>1</ns0:v>
      </ns0:c>
    </ns0:row>
    <ns0:row r="41">
      <ns0:c r="B41" s="17" t="str">
        <ns0:f>'신청원본'!B41</ns0:f>
        <ns0:v>APP000036</ns0:v>
      </ns0:c>
      <ns0:c r="C41" s="17" t="str">
        <ns0:f>'신청원본'!C41</ns0:f>
        <ns0:v>000036</ns0:v>
      </ns0:c>
      <ns0:c r="D41" t="str">
        <ns0:f>'신청원본'!D41</ns0:f>
        <ns0:v>지원</ns0:v>
      </ns0:c>
      <ns0:c r="E41" t="str">
        <ns0:f>'신청원본'!E41</ns0:f>
        <ns0:v>C06</ns0:v>
      </ns0:c>
      <ns0:c r="F41" t="str">
        <ns0:f>'신청원본'!H41</ns0:f>
        <ns0:v>대기</ns0:v>
      </ns0:c>
      <ns0:c r="G41" s="18" t="n">
        <ns0:f>VLOOKUP(E41,'교육기준'!$B$6:$F$17,3,FALSE)</ns0:f>
        <ns0:v>187510</ns0:v>
      </ns0:c>
      <ns0:c r="H41" s="18" t="n">
        <ns0:f>'신청원본'!G41</ns0:f>
        <ns0:v>5</ns0:v>
      </ns0:c>
      <ns0:c r="I41" s="19" t="n">
        <ns0:f>'신청원본'!I41</ns0:f>
        <ns0:v>0.125</ns0:v>
      </ns0:c>
      <ns0:c r="J41" s="18" t="n">
        <ns0:f>IF(F41="승인",IF(COUNTA('신청원본'!J41)=0,ROUND(G41*H41*(1-I41),'정책'!$C$8),'신청원본'!J41),0)</ns0:f>
        <ns0:v>0</ns0:v>
      </ns0:c>
      <ns0:c r="K41" t="n">
        <ns0:f>SUMIFS('출결원본'!$D$6:$D$1445,'출결원본'!$B$6:$B$1445,B41)</ns0:f>
        <ns0:v>3</ns0:v>
      </ns0:c>
      <ns0:c r="L41" t="n">
        <ns0:f>VLOOKUP(B41,'평가원본'!$B$6:$D$485,2,FALSE)</ns0:f>
        <ns0:v>91</ns0:v>
      </ns0:c>
      <ns0:c r="M41" t="n">
        <ns0:f>VLOOKUP(B41,'평가원본'!$B$6:$D$485,3,FALSE)</ns0:f>
        <ns0:v>1</ns0:v>
      </ns0:c>
      <ns0:c r="N41" t="n">
        <ns0:f>VLOOKUP(E41,'교육기준'!$B$6:$F$17,5,FALSE)</ns0:f>
        <ns0:v>80</ns0:v>
      </ns0:c>
      <ns0:c r="O41" t="n">
        <ns0:f>IF(AND(F41="승인",K41&gt;='정책'!$C$6,M41=1,L41&gt;=N41),1,0)</ns0:f>
        <ns0:v>0</ns0:v>
      </ns0:c>
    </ns0:row>
    <ns0:row r="42">
      <ns0:c r="B42" s="17" t="str">
        <ns0:f>'신청원본'!B42</ns0:f>
        <ns0:v>APP000037</ns0:v>
      </ns0:c>
      <ns0:c r="C42" s="17" t="str">
        <ns0:f>'신청원본'!C42</ns0:f>
        <ns0:v>000037</ns0:v>
      </ns0:c>
      <ns0:c r="D42" t="str">
        <ns0:f>'신청원본'!D42</ns0:f>
        <ns0:v>개발</ns0:v>
      </ns0:c>
      <ns0:c r="E42" t="str">
        <ns0:f>'신청원본'!E42</ns0:f>
        <ns0:v>C01</ns0:v>
      </ns0:c>
      <ns0:c r="F42" t="str">
        <ns0:f>'신청원본'!H42</ns0:f>
        <ns0:v>승인</ns0:v>
      </ns0:c>
      <ns0:c r="G42" s="18" t="n">
        <ns0:f>VLOOKUP(E42,'교육기준'!$B$6:$F$17,3,FALSE)</ns0:f>
        <ns0:v>100005</ns0:v>
      </ns0:c>
      <ns0:c r="H42" s="18" t="n">
        <ns0:f>'신청원본'!G42</ns0:f>
        <ns0:v>0</ns0:v>
      </ns0:c>
      <ns0:c r="I42" s="19" t="n">
        <ns0:f>'신청원본'!I42</ns0:f>
        <ns0:v>0</ns0:v>
      </ns0:c>
      <ns0:c r="J42" s="18" t="n">
        <ns0:f>IF(F42="승인",IF(COUNTA('신청원본'!J42)=0,ROUND(G42*H42*(1-I42),'정책'!$C$8),'신청원본'!J42),0)</ns0:f>
        <ns0:v>0</ns0:v>
      </ns0:c>
      <ns0:c r="K42" t="n">
        <ns0:f>SUMIFS('출결원본'!$D$6:$D$1445,'출결원본'!$B$6:$B$1445,B42)</ns0:f>
        <ns0:v>2</ns0:v>
      </ns0:c>
      <ns0:c r="L42" t="n">
        <ns0:f>VLOOKUP(B42,'평가원본'!$B$6:$D$485,2,FALSE)</ns0:f>
        <ns0:v>98</ns0:v>
      </ns0:c>
      <ns0:c r="M42" t="n">
        <ns0:f>VLOOKUP(B42,'평가원본'!$B$6:$D$485,3,FALSE)</ns0:f>
        <ns0:v>1</ns0:v>
      </ns0:c>
      <ns0:c r="N42" t="n">
        <ns0:f>VLOOKUP(E42,'교육기준'!$B$6:$F$17,5,FALSE)</ns0:f>
        <ns0:v>60</ns0:v>
      </ns0:c>
      <ns0:c r="O42" t="n">
        <ns0:f>IF(AND(F42="승인",K42&gt;='정책'!$C$6,M42=1,L42&gt;=N42),1,0)</ns0:f>
        <ns0:v>0</ns0:v>
      </ns0:c>
    </ns0:row>
    <ns0:row r="43">
      <ns0:c r="B43" s="17" t="str">
        <ns0:f>'신청원본'!B43</ns0:f>
        <ns0:v>APP000038</ns0:v>
      </ns0:c>
      <ns0:c r="C43" s="17" t="str">
        <ns0:f>'신청원본'!C43</ns0:f>
        <ns0:v>000038</ns0:v>
      </ns0:c>
      <ns0:c r="D43" t="str">
        <ns0:f>'신청원본'!D43</ns0:f>
        <ns0:v>생산</ns0:v>
      </ns0:c>
      <ns0:c r="E43" t="str">
        <ns0:f>'신청원본'!E43</ns0:f>
        <ns0:v>C08</ns0:v>
      </ns0:c>
      <ns0:c r="F43" t="str">
        <ns0:f>'신청원본'!H43</ns0:f>
        <ns0:v>승인</ns0:v>
      </ns0:c>
      <ns0:c r="G43" s="18" t="n">
        <ns0:f>VLOOKUP(E43,'교육기준'!$B$6:$F$17,3,FALSE)</ns0:f>
        <ns0:v>222512</ns0:v>
      </ns0:c>
      <ns0:c r="H43" s="18" t="n">
        <ns0:f>'신청원본'!G43</ns0:f>
        <ns0:v>1</ns0:v>
      </ns0:c>
      <ns0:c r="I43" s="19" t="n">
        <ns0:f>'신청원본'!I43</ns0:f>
        <ns0:v>0.05</ns0:v>
      </ns0:c>
      <ns0:c r="J43" s="18" t="n">
        <ns0:f>IF(F43="승인",IF(COUNTA('신청원본'!J43)=0,ROUND(G43*H43*(1-I43),'정책'!$C$8),'신청원본'!J43),0)</ns0:f>
        <ns0:v>211386</ns0:v>
      </ns0:c>
      <ns0:c r="K43" t="n">
        <ns0:f>SUMIFS('출결원본'!$D$6:$D$1445,'출결원본'!$B$6:$B$1445,B43)</ns0:f>
        <ns0:v>3</ns0:v>
      </ns0:c>
      <ns0:c r="L43" t="n">
        <ns0:f>VLOOKUP(B43,'평가원본'!$B$6:$D$485,2,FALSE)</ns0:f>
        <ns0:v>54</ns0:v>
      </ns0:c>
      <ns0:c r="M43" t="n">
        <ns0:f>VLOOKUP(B43,'평가원본'!$B$6:$D$485,3,FALSE)</ns0:f>
        <ns0:v>1</ns0:v>
      </ns0:c>
      <ns0:c r="N43" t="n">
        <ns0:f>VLOOKUP(E43,'교육기준'!$B$6:$F$17,5,FALSE)</ns0:f>
        <ns0:v>70</ns0:v>
      </ns0:c>
      <ns0:c r="O43" t="n">
        <ns0:f>IF(AND(F43="승인",K43&gt;='정책'!$C$6,M43=1,L43&gt;=N43),1,0)</ns0:f>
        <ns0:v>0</ns0:v>
      </ns0:c>
    </ns0:row>
    <ns0:row r="44">
      <ns0:c r="B44" s="17" t="str">
        <ns0:f>'신청원본'!B44</ns0:f>
        <ns0:v>APP000039</ns0:v>
      </ns0:c>
      <ns0:c r="C44" s="17" t="str">
        <ns0:f>'신청원본'!C44</ns0:f>
        <ns0:v>000039</ns0:v>
      </ns0:c>
      <ns0:c r="D44" t="str">
        <ns0:f>'신청원본'!D44</ns0:f>
        <ns0:v>품질</ns0:v>
      </ns0:c>
      <ns0:c r="E44" t="str">
        <ns0:f>'신청원본'!E44</ns0:f>
        <ns0:v>C03</ns0:v>
      </ns0:c>
      <ns0:c r="F44" t="str">
        <ns0:f>'신청원본'!H44</ns0:f>
        <ns0:v>승인</ns0:v>
      </ns0:c>
      <ns0:c r="G44" s="18" t="n">
        <ns0:f>VLOOKUP(E44,'교육기준'!$B$6:$F$17,3,FALSE)</ns0:f>
        <ns0:v>135007</ns0:v>
      </ns0:c>
      <ns0:c r="H44" s="18" t="n">
        <ns0:f>'신청원본'!G44</ns0:f>
        <ns0:v>2</ns0:v>
      </ns0:c>
      <ns0:c r="I44" s="19" t="n">
        <ns0:f>'신청원본'!I44</ns0:f>
        <ns0:v>0.1</ns0:v>
      </ns0:c>
      <ns0:c r="J44" s="18" t="n">
        <ns0:f>IF(F44="승인",IF(COUNTA('신청원본'!J44)=0,ROUND(G44*H44*(1-I44),'정책'!$C$8),'신청원본'!J44),0)</ns0:f>
        <ns0:v>243013</ns0:v>
      </ns0:c>
      <ns0:c r="K44" t="n">
        <ns0:f>SUMIFS('출결원본'!$D$6:$D$1445,'출결원본'!$B$6:$B$1445,B44)</ns0:f>
        <ns0:v>3</ns0:v>
      </ns0:c>
      <ns0:c r="L44" t="n">
        <ns0:f>VLOOKUP(B44,'평가원본'!$B$6:$D$485,2,FALSE)</ns0:f>
        <ns0:v>61</ns0:v>
      </ns0:c>
      <ns0:c r="M44" t="n">
        <ns0:f>VLOOKUP(B44,'평가원본'!$B$6:$D$485,3,FALSE)</ns0:f>
        <ns0:v>0</ns0:v>
      </ns0:c>
      <ns0:c r="N44" t="n">
        <ns0:f>VLOOKUP(E44,'교육기준'!$B$6:$F$17,5,FALSE)</ns0:f>
        <ns0:v>80</ns0:v>
      </ns0:c>
      <ns0:c r="O44" t="n">
        <ns0:f>IF(AND(F44="승인",K44&gt;='정책'!$C$6,M44=1,L44&gt;=N44),1,0)</ns0:f>
        <ns0:v>0</ns0:v>
      </ns0:c>
    </ns0:row>
    <ns0:row r="45">
      <ns0:c r="B45" s="17" t="str">
        <ns0:f>'신청원본'!B45</ns0:f>
        <ns0:v>APP000040</ns0:v>
      </ns0:c>
      <ns0:c r="C45" s="17" t="str">
        <ns0:f>'신청원본'!C45</ns0:f>
        <ns0:v>000040</ns0:v>
      </ns0:c>
      <ns0:c r="D45" t="str">
        <ns0:f>'신청원본'!D45</ns0:f>
        <ns0:v>기획</ns0:v>
      </ns0:c>
      <ns0:c r="E45" t="str">
        <ns0:f>'신청원본'!E45</ns0:f>
        <ns0:v>C10</ns0:v>
      </ns0:c>
      <ns0:c r="F45" t="str">
        <ns0:f>'신청원본'!H45</ns0:f>
        <ns0:v>승인</ns0:v>
      </ns0:c>
      <ns0:c r="G45" s="18" t="n">
        <ns0:f>VLOOKUP(E45,'교육기준'!$B$6:$F$17,3,FALSE)</ns0:f>
        <ns0:v>257514</ns0:v>
      </ns0:c>
      <ns0:c r="H45" s="18" t="n">
        <ns0:f>'신청원본'!G45</ns0:f>
        <ns0:v>3</ns0:v>
      </ns0:c>
      <ns0:c r="I45" s="19" t="n">
        <ns0:f>'신청원본'!I45</ns0:f>
        <ns0:v>0.125</ns0:v>
      </ns0:c>
      <ns0:c r="J45" s="18" t="n">
        <ns0:f>IF(F45="승인",IF(COUNTA('신청원본'!J45)=0,ROUND(G45*H45*(1-I45),'정책'!$C$8),'신청원본'!J45),0)</ns0:f>
        <ns0:v>675974</ns0:v>
      </ns0:c>
      <ns0:c r="K45" t="n">
        <ns0:f>SUMIFS('출결원본'!$D$6:$D$1445,'출결원본'!$B$6:$B$1445,B45)</ns0:f>
        <ns0:v>2</ns0:v>
      </ns0:c>
      <ns0:c r="L45" t="n">
        <ns0:f>VLOOKUP(B45,'평가원본'!$B$6:$D$485,2,FALSE)</ns0:f>
        <ns0:v>68</ns0:v>
      </ns0:c>
      <ns0:c r="M45" t="n">
        <ns0:f>VLOOKUP(B45,'평가원본'!$B$6:$D$485,3,FALSE)</ns0:f>
        <ns0:v>1</ns0:v>
      </ns0:c>
      <ns0:c r="N45" t="n">
        <ns0:f>VLOOKUP(E45,'교육기준'!$B$6:$F$17,5,FALSE)</ns0:f>
        <ns0:v>60</ns0:v>
      </ns0:c>
      <ns0:c r="O45" t="n">
        <ns0:f>IF(AND(F45="승인",K45&gt;='정책'!$C$6,M45=1,L45&gt;=N45),1,0)</ns0:f>
        <ns0:v>0</ns0:v>
      </ns0:c>
    </ns0:row>
    <ns0:row r="46">
      <ns0:c r="B46" s="17" t="str">
        <ns0:f>'신청원본'!B46</ns0:f>
        <ns0:v>APP000041</ns0:v>
      </ns0:c>
      <ns0:c r="C46" s="17" t="str">
        <ns0:f>'신청원본'!C46</ns0:f>
        <ns0:v>000041</ns0:v>
      </ns0:c>
      <ns0:c r="D46" t="str">
        <ns0:f>'신청원본'!D46</ns0:f>
        <ns0:v>영업</ns0:v>
      </ns0:c>
      <ns0:c r="E46" t="str">
        <ns0:f>'신청원본'!E46</ns0:f>
        <ns0:v>C05</ns0:v>
      </ns0:c>
      <ns0:c r="F46" t="str">
        <ns0:f>'신청원본'!H46</ns0:f>
        <ns0:v>승인</ns0:v>
      </ns0:c>
      <ns0:c r="G46" s="18" t="n">
        <ns0:f>VLOOKUP(E46,'교육기준'!$B$6:$F$17,3,FALSE)</ns0:f>
        <ns0:v>170009</ns0:v>
      </ns0:c>
      <ns0:c r="H46" s="18" t="n">
        <ns0:f>'신청원본'!G46</ns0:f>
        <ns0:v>4</ns0:v>
      </ns0:c>
      <ns0:c r="I46" s="19" t="n">
        <ns0:f>'신청원본'!I46</ns0:f>
        <ns0:v>0</ns0:v>
      </ns0:c>
      <ns0:c r="J46" s="18" t="n">
        <ns0:f>IF(F46="승인",IF(COUNTA('신청원본'!J46)=0,ROUND(G46*H46*(1-I46),'정책'!$C$8),'신청원본'!J46),0)</ns0:f>
        <ns0:v>680036</ns0:v>
      </ns0:c>
      <ns0:c r="K46" t="n">
        <ns0:f>SUMIFS('출결원본'!$D$6:$D$1445,'출결원본'!$B$6:$B$1445,B46)</ns0:f>
        <ns0:v>3</ns0:v>
      </ns0:c>
      <ns0:c r="L46" t="n">
        <ns0:f>VLOOKUP(B46,'평가원본'!$B$6:$D$485,2,FALSE)</ns0:f>
        <ns0:v>75</ns0:v>
      </ns0:c>
      <ns0:c r="M46" t="n">
        <ns0:f>VLOOKUP(B46,'평가원본'!$B$6:$D$485,3,FALSE)</ns0:f>
        <ns0:v>1</ns0:v>
      </ns0:c>
      <ns0:c r="N46" t="n">
        <ns0:f>VLOOKUP(E46,'교육기준'!$B$6:$F$17,5,FALSE)</ns0:f>
        <ns0:v>70</ns0:v>
      </ns0:c>
      <ns0:c r="O46" t="n">
        <ns0:f>IF(AND(F46="승인",K46&gt;='정책'!$C$6,M46=1,L46&gt;=N46),1,0)</ns0:f>
        <ns0:v>1</ns0:v>
      </ns0:c>
    </ns0:row>
    <ns0:row r="47">
      <ns0:c r="B47" s="17" t="str">
        <ns0:f>'신청원본'!B47</ns0:f>
        <ns0:v>APP000042</ns0:v>
      </ns0:c>
      <ns0:c r="C47" s="17" t="str">
        <ns0:f>'신청원본'!C47</ns0:f>
        <ns0:v>000042</ns0:v>
      </ns0:c>
      <ns0:c r="D47" t="str">
        <ns0:f>'신청원본'!D47</ns0:f>
        <ns0:v>지원</ns0:v>
      </ns0:c>
      <ns0:c r="E47" t="str">
        <ns0:f>'신청원본'!E47</ns0:f>
        <ns0:v>C12</ns0:v>
      </ns0:c>
      <ns0:c r="F47" t="str">
        <ns0:f>'신청원본'!H47</ns0:f>
        <ns0:v>승인</ns0:v>
      </ns0:c>
      <ns0:c r="G47" s="18" t="n">
        <ns0:f>VLOOKUP(E47,'교육기준'!$B$6:$F$17,3,FALSE)</ns0:f>
        <ns0:v>292516</ns0:v>
      </ns0:c>
      <ns0:c r="H47" s="18" t="n">
        <ns0:f>'신청원본'!G47</ns0:f>
        <ns0:v>5</ns0:v>
      </ns0:c>
      <ns0:c r="I47" s="19" t="n">
        <ns0:f>'신청원본'!I47</ns0:f>
        <ns0:v>0.05</ns0:v>
      </ns0:c>
      <ns0:c r="J47" s="18" t="n">
        <ns0:f>IF(F47="승인",IF(COUNTA('신청원본'!J47)=0,ROUND(G47*H47*(1-I47),'정책'!$C$8),'신청원본'!J47),0)</ns0:f>
        <ns0:v>1389451</ns0:v>
      </ns0:c>
      <ns0:c r="K47" t="n">
        <ns0:f>SUMIFS('출결원본'!$D$6:$D$1445,'출결원본'!$B$6:$B$1445,B47)</ns0:f>
        <ns0:v>3</ns0:v>
      </ns0:c>
      <ns0:c r="L47" t="n">
        <ns0:f>VLOOKUP(B47,'평가원본'!$B$6:$D$485,2,FALSE)</ns0:f>
        <ns0:v>82</ns0:v>
      </ns0:c>
      <ns0:c r="M47" t="n">
        <ns0:f>VLOOKUP(B47,'평가원본'!$B$6:$D$485,3,FALSE)</ns0:f>
        <ns0:v>1</ns0:v>
      </ns0:c>
      <ns0:c r="N47" t="n">
        <ns0:f>VLOOKUP(E47,'교육기준'!$B$6:$F$17,5,FALSE)</ns0:f>
        <ns0:v>80</ns0:v>
      </ns0:c>
      <ns0:c r="O47" t="n">
        <ns0:f>IF(AND(F47="승인",K47&gt;='정책'!$C$6,M47=1,L47&gt;=N47),1,0)</ns0:f>
        <ns0:v>1</ns0:v>
      </ns0:c>
    </ns0:row>
    <ns0:row r="48">
      <ns0:c r="B48" s="17" t="str">
        <ns0:f>'신청원본'!B48</ns0:f>
        <ns0:v>APP000043</ns0:v>
      </ns0:c>
      <ns0:c r="C48" s="17" t="str">
        <ns0:f>'신청원본'!C48</ns0:f>
        <ns0:v>000043</ns0:v>
      </ns0:c>
      <ns0:c r="D48" t="str">
        <ns0:f>'신청원본'!D48</ns0:f>
        <ns0:v>개발</ns0:v>
      </ns0:c>
      <ns0:c r="E48" t="str">
        <ns0:f>'신청원본'!E48</ns0:f>
        <ns0:v>C07</ns0:v>
      </ns0:c>
      <ns0:c r="F48" t="str">
        <ns0:f>'신청원본'!H48</ns0:f>
        <ns0:v>대기</ns0:v>
      </ns0:c>
      <ns0:c r="G48" s="18" t="n">
        <ns0:f>VLOOKUP(E48,'교육기준'!$B$6:$F$17,3,FALSE)</ns0:f>
        <ns0:v>205011</ns0:v>
      </ns0:c>
      <ns0:c r="H48" s="18" t="n">
        <ns0:f>'신청원본'!G48</ns0:f>
        <ns0:v>0</ns0:v>
      </ns0:c>
      <ns0:c r="I48" s="19" t="n">
        <ns0:f>'신청원본'!I48</ns0:f>
        <ns0:v>0.1</ns0:v>
      </ns0:c>
      <ns0:c r="J48" s="18" t="n">
        <ns0:f>IF(F48="승인",IF(COUNTA('신청원본'!J48)=0,ROUND(G48*H48*(1-I48),'정책'!$C$8),'신청원본'!J48),0)</ns0:f>
        <ns0:v>0</ns0:v>
      </ns0:c>
      <ns0:c r="K48" t="n">
        <ns0:f>SUMIFS('출결원본'!$D$6:$D$1445,'출결원본'!$B$6:$B$1445,B48)</ns0:f>
        <ns0:v>3</ns0:v>
      </ns0:c>
      <ns0:c r="L48" t="n">
        <ns0:f>VLOOKUP(B48,'평가원본'!$B$6:$D$485,2,FALSE)</ns0:f>
        <ns0:v>89</ns0:v>
      </ns0:c>
      <ns0:c r="M48" t="n">
        <ns0:f>VLOOKUP(B48,'평가원본'!$B$6:$D$485,3,FALSE)</ns0:f>
        <ns0:v>1</ns0:v>
      </ns0:c>
      <ns0:c r="N48" t="n">
        <ns0:f>VLOOKUP(E48,'교육기준'!$B$6:$F$17,5,FALSE)</ns0:f>
        <ns0:v>60</ns0:v>
      </ns0:c>
      <ns0:c r="O48" t="n">
        <ns0:f>IF(AND(F48="승인",K48&gt;='정책'!$C$6,M48=1,L48&gt;=N48),1,0)</ns0:f>
        <ns0:v>0</ns0:v>
      </ns0:c>
    </ns0:row>
    <ns0:row r="49">
      <ns0:c r="B49" s="17" t="str">
        <ns0:f>'신청원본'!B49</ns0:f>
        <ns0:v>APP000044</ns0:v>
      </ns0:c>
      <ns0:c r="C49" s="17" t="str">
        <ns0:f>'신청원본'!C49</ns0:f>
        <ns0:v>000044</ns0:v>
      </ns0:c>
      <ns0:c r="D49" t="str">
        <ns0:f>'신청원본'!D49</ns0:f>
        <ns0:v>생산</ns0:v>
      </ns0:c>
      <ns0:c r="E49" t="str">
        <ns0:f>'신청원본'!E49</ns0:f>
        <ns0:v>C02</ns0:v>
      </ns0:c>
      <ns0:c r="F49" t="str">
        <ns0:f>'신청원본'!H49</ns0:f>
        <ns0:v>승인</ns0:v>
      </ns0:c>
      <ns0:c r="G49" s="18" t="n">
        <ns0:f>VLOOKUP(E49,'교육기준'!$B$6:$F$17,3,FALSE)</ns0:f>
        <ns0:v>117506</ns0:v>
      </ns0:c>
      <ns0:c r="H49" s="18" t="n">
        <ns0:f>'신청원본'!G49</ns0:f>
        <ns0:v>1</ns0:v>
      </ns0:c>
      <ns0:c r="I49" s="19" t="n">
        <ns0:f>'신청원본'!I49</ns0:f>
        <ns0:v>0.125</ns0:v>
      </ns0:c>
      <ns0:c r="J49" s="18" t="n">
        <ns0:f>IF(F49="승인",IF(COUNTA('신청원본'!J49)=0,ROUND(G49*H49*(1-I49),'정책'!$C$8),'신청원본'!J49),0)</ns0:f>
        <ns0:v>102818</ns0:v>
      </ns0:c>
      <ns0:c r="K49" t="n">
        <ns0:f>SUMIFS('출결원본'!$D$6:$D$1445,'출결원본'!$B$6:$B$1445,B49)</ns0:f>
        <ns0:v>3</ns0:v>
      </ns0:c>
      <ns0:c r="L49" t="n">
        <ns0:f>VLOOKUP(B49,'평가원본'!$B$6:$D$485,2,FALSE)</ns0:f>
        <ns0:v>96</ns0:v>
      </ns0:c>
      <ns0:c r="M49" t="n">
        <ns0:f>VLOOKUP(B49,'평가원본'!$B$6:$D$485,3,FALSE)</ns0:f>
        <ns0:v>1</ns0:v>
      </ns0:c>
      <ns0:c r="N49" t="n">
        <ns0:f>VLOOKUP(E49,'교육기준'!$B$6:$F$17,5,FALSE)</ns0:f>
        <ns0:v>70</ns0:v>
      </ns0:c>
      <ns0:c r="O49" t="n">
        <ns0:f>IF(AND(F49="승인",K49&gt;='정책'!$C$6,M49=1,L49&gt;=N49),1,0)</ns0:f>
        <ns0:v>1</ns0:v>
      </ns0:c>
    </ns0:row>
    <ns0:row r="50">
      <ns0:c r="B50" s="17" t="str">
        <ns0:f>'신청원본'!B50</ns0:f>
        <ns0:v>APP000045</ns0:v>
      </ns0:c>
      <ns0:c r="C50" s="17" t="str">
        <ns0:f>'신청원본'!C50</ns0:f>
        <ns0:v>000045</ns0:v>
      </ns0:c>
      <ns0:c r="D50" t="str">
        <ns0:f>'신청원본'!D50</ns0:f>
        <ns0:v>품질</ns0:v>
      </ns0:c>
      <ns0:c r="E50" t="str">
        <ns0:f>'신청원본'!E50</ns0:f>
        <ns0:v>C09</ns0:v>
      </ns0:c>
      <ns0:c r="F50" t="str">
        <ns0:f>'신청원본'!H50</ns0:f>
        <ns0:v>취소</ns0:v>
      </ns0:c>
      <ns0:c r="G50" s="18" t="n">
        <ns0:f>VLOOKUP(E50,'교육기준'!$B$6:$F$17,3,FALSE)</ns0:f>
        <ns0:v>240013</ns0:v>
      </ns0:c>
      <ns0:c r="H50" s="18" t="n">
        <ns0:f>'신청원본'!G50</ns0:f>
        <ns0:v>2</ns0:v>
      </ns0:c>
      <ns0:c r="I50" s="19" t="n">
        <ns0:f>'신청원본'!I50</ns0:f>
        <ns0:v>0</ns0:v>
      </ns0:c>
      <ns0:c r="J50" s="18" t="n">
        <ns0:f>IF(F50="승인",IF(COUNTA('신청원본'!J50)=0,ROUND(G50*H50*(1-I50),'정책'!$C$8),'신청원본'!J50),0)</ns0:f>
        <ns0:v>0</ns0:v>
      </ns0:c>
      <ns0:c r="K50" t="n">
        <ns0:f>SUMIFS('출결원본'!$D$6:$D$1445,'출결원본'!$B$6:$B$1445,B50)</ns0:f>
        <ns0:v>3</ns0:v>
      </ns0:c>
      <ns0:c r="L50" t="n">
        <ns0:f>VLOOKUP(B50,'평가원본'!$B$6:$D$485,2,FALSE)</ns0:f>
        <ns0:v>52</ns0:v>
      </ns0:c>
      <ns0:c r="M50" t="n">
        <ns0:f>VLOOKUP(B50,'평가원본'!$B$6:$D$485,3,FALSE)</ns0:f>
        <ns0:v>1</ns0:v>
      </ns0:c>
      <ns0:c r="N50" t="n">
        <ns0:f>VLOOKUP(E50,'교육기준'!$B$6:$F$17,5,FALSE)</ns0:f>
        <ns0:v>80</ns0:v>
      </ns0:c>
      <ns0:c r="O50" t="n">
        <ns0:f>IF(AND(F50="승인",K50&gt;='정책'!$C$6,M50=1,L50&gt;=N50),1,0)</ns0:f>
        <ns0:v>0</ns0:v>
      </ns0:c>
    </ns0:row>
    <ns0:row r="51">
      <ns0:c r="B51" s="17" t="str">
        <ns0:f>'신청원본'!B51</ns0:f>
        <ns0:v>APP000046</ns0:v>
      </ns0:c>
      <ns0:c r="C51" s="17" t="str">
        <ns0:f>'신청원본'!C51</ns0:f>
        <ns0:v>000046</ns0:v>
      </ns0:c>
      <ns0:c r="D51" t="str">
        <ns0:f>'신청원본'!D51</ns0:f>
        <ns0:v>기획</ns0:v>
      </ns0:c>
      <ns0:c r="E51" t="str">
        <ns0:f>'신청원본'!E51</ns0:f>
        <ns0:v>C04</ns0:v>
      </ns0:c>
      <ns0:c r="F51" t="str">
        <ns0:f>'신청원본'!H51</ns0:f>
        <ns0:v>승인</ns0:v>
      </ns0:c>
      <ns0:c r="G51" s="18" t="n">
        <ns0:f>VLOOKUP(E51,'교육기준'!$B$6:$F$17,3,FALSE)</ns0:f>
        <ns0:v>152508</ns0:v>
      </ns0:c>
      <ns0:c r="H51" s="18" t="n">
        <ns0:f>'신청원본'!G51</ns0:f>
        <ns0:v>3</ns0:v>
      </ns0:c>
      <ns0:c r="I51" s="19" t="n">
        <ns0:f>'신청원본'!I51</ns0:f>
        <ns0:v>0.05</ns0:v>
      </ns0:c>
      <ns0:c r="J51" s="18" t="n">
        <ns0:f>IF(F51="승인",IF(COUNTA('신청원본'!J51)=0,ROUND(G51*H51*(1-I51),'정책'!$C$8),'신청원본'!J51),0)</ns0:f>
        <ns0:v>434648</ns0:v>
      </ns0:c>
      <ns0:c r="K51" t="n">
        <ns0:f>SUMIFS('출결원본'!$D$6:$D$1445,'출결원본'!$B$6:$B$1445,B51)</ns0:f>
        <ns0:v>2</ns0:v>
      </ns0:c>
      <ns0:c r="L51" t="n">
        <ns0:f>VLOOKUP(B51,'평가원본'!$B$6:$D$485,2,FALSE)</ns0:f>
        <ns0:v>59</ns0:v>
      </ns0:c>
      <ns0:c r="M51" t="n">
        <ns0:f>VLOOKUP(B51,'평가원본'!$B$6:$D$485,3,FALSE)</ns0:f>
        <ns0:v>1</ns0:v>
      </ns0:c>
      <ns0:c r="N51" t="n">
        <ns0:f>VLOOKUP(E51,'교육기준'!$B$6:$F$17,5,FALSE)</ns0:f>
        <ns0:v>60</ns0:v>
      </ns0:c>
      <ns0:c r="O51" t="n">
        <ns0:f>IF(AND(F51="승인",K51&gt;='정책'!$C$6,M51=1,L51&gt;=N51),1,0)</ns0:f>
        <ns0:v>0</ns0:v>
      </ns0:c>
    </ns0:row>
    <ns0:row r="52">
      <ns0:c r="B52" s="17" t="str">
        <ns0:f>'신청원본'!B52</ns0:f>
        <ns0:v>APP000047</ns0:v>
      </ns0:c>
      <ns0:c r="C52" s="17" t="str">
        <ns0:f>'신청원본'!C52</ns0:f>
        <ns0:v>000047</ns0:v>
      </ns0:c>
      <ns0:c r="D52" t="str">
        <ns0:f>'신청원본'!D52</ns0:f>
        <ns0:v>영업</ns0:v>
      </ns0:c>
      <ns0:c r="E52" t="str">
        <ns0:f>'신청원본'!E52</ns0:f>
        <ns0:v>C11</ns0:v>
      </ns0:c>
      <ns0:c r="F52" t="str">
        <ns0:f>'신청원본'!H52</ns0:f>
        <ns0:v>승인</ns0:v>
      </ns0:c>
      <ns0:c r="G52" s="18" t="n">
        <ns0:f>VLOOKUP(E52,'교육기준'!$B$6:$F$17,3,FALSE)</ns0:f>
        <ns0:v>275015</ns0:v>
      </ns0:c>
      <ns0:c r="H52" s="18" t="n">
        <ns0:f>'신청원본'!G52</ns0:f>
        <ns0:v>4</ns0:v>
      </ns0:c>
      <ns0:c r="I52" s="19" t="n">
        <ns0:f>'신청원본'!I52</ns0:f>
        <ns0:v>0.1</ns0:v>
      </ns0:c>
      <ns0:c r="J52" s="18" t="n">
        <ns0:f>IF(F52="승인",IF(COUNTA('신청원본'!J52)=0,ROUND(G52*H52*(1-I52),'정책'!$C$8),'신청원본'!J52),0)</ns0:f>
        <ns0:v>990054</ns0:v>
      </ns0:c>
      <ns0:c r="K52" t="n">
        <ns0:f>SUMIFS('출결원본'!$D$6:$D$1445,'출결원본'!$B$6:$B$1445,B52)</ns0:f>
        <ns0:v>3</ns0:v>
      </ns0:c>
      <ns0:c r="L52" t="n">
        <ns0:f>VLOOKUP(B52,'평가원본'!$B$6:$D$485,2,FALSE)</ns0:f>
        <ns0:v>66</ns0:v>
      </ns0:c>
      <ns0:c r="M52" t="n">
        <ns0:f>VLOOKUP(B52,'평가원본'!$B$6:$D$485,3,FALSE)</ns0:f>
        <ns0:v>1</ns0:v>
      </ns0:c>
      <ns0:c r="N52" t="n">
        <ns0:f>VLOOKUP(E52,'교육기준'!$B$6:$F$17,5,FALSE)</ns0:f>
        <ns0:v>70</ns0:v>
      </ns0:c>
      <ns0:c r="O52" t="n">
        <ns0:f>IF(AND(F52="승인",K52&gt;='정책'!$C$6,M52=1,L52&gt;=N52),1,0)</ns0:f>
        <ns0:v>0</ns0:v>
      </ns0:c>
    </ns0:row>
    <ns0:row r="53">
      <ns0:c r="B53" s="17" t="str">
        <ns0:f>'신청원본'!B53</ns0:f>
        <ns0:v>APP000048</ns0:v>
      </ns0:c>
      <ns0:c r="C53" s="17" t="str">
        <ns0:f>'신청원본'!C53</ns0:f>
        <ns0:v>000048</ns0:v>
      </ns0:c>
      <ns0:c r="D53" t="str">
        <ns0:f>'신청원본'!D53</ns0:f>
        <ns0:v>지원</ns0:v>
      </ns0:c>
      <ns0:c r="E53" t="str">
        <ns0:f>'신청원본'!E53</ns0:f>
        <ns0:v>C06</ns0:v>
      </ns0:c>
      <ns0:c r="F53" t="str">
        <ns0:f>'신청원본'!H53</ns0:f>
        <ns0:v>승인</ns0:v>
      </ns0:c>
      <ns0:c r="G53" s="18" t="n">
        <ns0:f>VLOOKUP(E53,'교육기준'!$B$6:$F$17,3,FALSE)</ns0:f>
        <ns0:v>187510</ns0:v>
      </ns0:c>
      <ns0:c r="H53" s="18" t="n">
        <ns0:f>'신청원본'!G53</ns0:f>
        <ns0:v>5</ns0:v>
      </ns0:c>
      <ns0:c r="I53" s="19" t="n">
        <ns0:f>'신청원본'!I53</ns0:f>
        <ns0:v>0.125</ns0:v>
      </ns0:c>
      <ns0:c r="J53" s="18" t="n">
        <ns0:f>IF(F53="승인",IF(COUNTA('신청원본'!J53)=0,ROUND(G53*H53*(1-I53),'정책'!$C$8),'신청원본'!J53),0)</ns0:f>
        <ns0:v>820356</ns0:v>
      </ns0:c>
      <ns0:c r="K53" t="n">
        <ns0:f>SUMIFS('출결원본'!$D$6:$D$1445,'출결원본'!$B$6:$B$1445,B53)</ns0:f>
        <ns0:v>3</ns0:v>
      </ns0:c>
      <ns0:c r="L53" t="n">
        <ns0:f>VLOOKUP(B53,'평가원본'!$B$6:$D$485,2,FALSE)</ns0:f>
        <ns0:v>73</ns0:v>
      </ns0:c>
      <ns0:c r="M53" t="n">
        <ns0:f>VLOOKUP(B53,'평가원본'!$B$6:$D$485,3,FALSE)</ns0:f>
        <ns0:v>1</ns0:v>
      </ns0:c>
      <ns0:c r="N53" t="n">
        <ns0:f>VLOOKUP(E53,'교육기준'!$B$6:$F$17,5,FALSE)</ns0:f>
        <ns0:v>80</ns0:v>
      </ns0:c>
      <ns0:c r="O53" t="n">
        <ns0:f>IF(AND(F53="승인",K53&gt;='정책'!$C$6,M53=1,L53&gt;=N53),1,0)</ns0:f>
        <ns0:v>0</ns0:v>
      </ns0:c>
    </ns0:row>
    <ns0:row r="54">
      <ns0:c r="B54" s="17" t="str">
        <ns0:f>'신청원본'!B54</ns0:f>
        <ns0:v>APP000049</ns0:v>
      </ns0:c>
      <ns0:c r="C54" s="17" t="str">
        <ns0:f>'신청원본'!C54</ns0:f>
        <ns0:v>000049</ns0:v>
      </ns0:c>
      <ns0:c r="D54" t="str">
        <ns0:f>'신청원본'!D54</ns0:f>
        <ns0:v>개발</ns0:v>
      </ns0:c>
      <ns0:c r="E54" t="str">
        <ns0:f>'신청원본'!E54</ns0:f>
        <ns0:v>C01</ns0:v>
      </ns0:c>
      <ns0:c r="F54" t="str">
        <ns0:f>'신청원본'!H54</ns0:f>
        <ns0:v>승인</ns0:v>
      </ns0:c>
      <ns0:c r="G54" s="18" t="n">
        <ns0:f>VLOOKUP(E54,'교육기준'!$B$6:$F$17,3,FALSE)</ns0:f>
        <ns0:v>100005</ns0:v>
      </ns0:c>
      <ns0:c r="H54" s="18" t="n">
        <ns0:f>'신청원본'!G54</ns0:f>
        <ns0:v>0</ns0:v>
      </ns0:c>
      <ns0:c r="I54" s="19" t="n">
        <ns0:f>'신청원본'!I54</ns0:f>
        <ns0:v>0</ns0:v>
      </ns0:c>
      <ns0:c r="J54" s="18" t="n">
        <ns0:f>IF(F54="승인",IF(COUNTA('신청원본'!J54)=0,ROUND(G54*H54*(1-I54),'정책'!$C$8),'신청원본'!J54),0)</ns0:f>
        <ns0:v>0</ns0:v>
      </ns0:c>
      <ns0:c r="K54" t="n">
        <ns0:f>SUMIFS('출결원본'!$D$6:$D$1445,'출결원본'!$B$6:$B$1445,B54)</ns0:f>
        <ns0:v>3</ns0:v>
      </ns0:c>
      <ns0:c r="L54" t="n">
        <ns0:f>VLOOKUP(B54,'평가원본'!$B$6:$D$485,2,FALSE)</ns0:f>
        <ns0:v>80</ns0:v>
      </ns0:c>
      <ns0:c r="M54" t="n">
        <ns0:f>VLOOKUP(B54,'평가원본'!$B$6:$D$485,3,FALSE)</ns0:f>
        <ns0:v>1</ns0:v>
      </ns0:c>
      <ns0:c r="N54" t="n">
        <ns0:f>VLOOKUP(E54,'교육기준'!$B$6:$F$17,5,FALSE)</ns0:f>
        <ns0:v>60</ns0:v>
      </ns0:c>
      <ns0:c r="O54" t="n">
        <ns0:f>IF(AND(F54="승인",K54&gt;='정책'!$C$6,M54=1,L54&gt;=N54),1,0)</ns0:f>
        <ns0:v>1</ns0:v>
      </ns0:c>
    </ns0:row>
    <ns0:row r="55">
      <ns0:c r="B55" s="17" t="str">
        <ns0:f>'신청원본'!B55</ns0:f>
        <ns0:v>APP000050</ns0:v>
      </ns0:c>
      <ns0:c r="C55" s="17" t="str">
        <ns0:f>'신청원본'!C55</ns0:f>
        <ns0:v>000050</ns0:v>
      </ns0:c>
      <ns0:c r="D55" t="str">
        <ns0:f>'신청원본'!D55</ns0:f>
        <ns0:v>생산</ns0:v>
      </ns0:c>
      <ns0:c r="E55" t="str">
        <ns0:f>'신청원본'!E55</ns0:f>
        <ns0:v>C08</ns0:v>
      </ns0:c>
      <ns0:c r="F55" t="str">
        <ns0:f>'신청원본'!H55</ns0:f>
        <ns0:v>대기</ns0:v>
      </ns0:c>
      <ns0:c r="G55" s="18" t="n">
        <ns0:f>VLOOKUP(E55,'교육기준'!$B$6:$F$17,3,FALSE)</ns0:f>
        <ns0:v>222512</ns0:v>
      </ns0:c>
      <ns0:c r="H55" s="18" t="n">
        <ns0:f>'신청원본'!G55</ns0:f>
        <ns0:v>1</ns0:v>
      </ns0:c>
      <ns0:c r="I55" s="19" t="n">
        <ns0:f>'신청원본'!I55</ns0:f>
        <ns0:v>0.05</ns0:v>
      </ns0:c>
      <ns0:c r="J55" s="18" t="n">
        <ns0:f>IF(F55="승인",IF(COUNTA('신청원본'!J55)=0,ROUND(G55*H55*(1-I55),'정책'!$C$8),'신청원본'!J55),0)</ns0:f>
        <ns0:v>0</ns0:v>
      </ns0:c>
      <ns0:c r="K55" t="n">
        <ns0:f>SUMIFS('출결원본'!$D$6:$D$1445,'출결원본'!$B$6:$B$1445,B55)</ns0:f>
        <ns0:v>3</ns0:v>
      </ns0:c>
      <ns0:c r="L55" t="n">
        <ns0:f>VLOOKUP(B55,'평가원본'!$B$6:$D$485,2,FALSE)</ns0:f>
        <ns0:v>87</ns0:v>
      </ns0:c>
      <ns0:c r="M55" t="n">
        <ns0:f>VLOOKUP(B55,'평가원본'!$B$6:$D$485,3,FALSE)</ns0:f>
        <ns0:v>1</ns0:v>
      </ns0:c>
      <ns0:c r="N55" t="n">
        <ns0:f>VLOOKUP(E55,'교육기준'!$B$6:$F$17,5,FALSE)</ns0:f>
        <ns0:v>70</ns0:v>
      </ns0:c>
      <ns0:c r="O55" t="n">
        <ns0:f>IF(AND(F55="승인",K55&gt;='정책'!$C$6,M55=1,L55&gt;=N55),1,0)</ns0:f>
        <ns0:v>0</ns0:v>
      </ns0:c>
    </ns0:row>
    <ns0:row r="56">
      <ns0:c r="B56" s="17" t="str">
        <ns0:f>'신청원본'!B56</ns0:f>
        <ns0:v>APP000051</ns0:v>
      </ns0:c>
      <ns0:c r="C56" s="17" t="str">
        <ns0:f>'신청원본'!C56</ns0:f>
        <ns0:v>000051</ns0:v>
      </ns0:c>
      <ns0:c r="D56" t="str">
        <ns0:f>'신청원본'!D56</ns0:f>
        <ns0:v>품질</ns0:v>
      </ns0:c>
      <ns0:c r="E56" t="str">
        <ns0:f>'신청원본'!E56</ns0:f>
        <ns0:v>C03</ns0:v>
      </ns0:c>
      <ns0:c r="F56" t="str">
        <ns0:f>'신청원본'!H56</ns0:f>
        <ns0:v>승인</ns0:v>
      </ns0:c>
      <ns0:c r="G56" s="18" t="n">
        <ns0:f>VLOOKUP(E56,'교육기준'!$B$6:$F$17,3,FALSE)</ns0:f>
        <ns0:v>135007</ns0:v>
      </ns0:c>
      <ns0:c r="H56" s="18" t="n">
        <ns0:f>'신청원본'!G56</ns0:f>
        <ns0:v>2</ns0:v>
      </ns0:c>
      <ns0:c r="I56" s="19" t="n">
        <ns0:f>'신청원본'!I56</ns0:f>
        <ns0:v>0.1</ns0:v>
      </ns0:c>
      <ns0:c r="J56" s="18" t="n">
        <ns0:f>IF(F56="승인",IF(COUNTA('신청원본'!J56)=0,ROUND(G56*H56*(1-I56),'정책'!$C$8),'신청원본'!J56),0)</ns0:f>
        <ns0:v>243013</ns0:v>
      </ns0:c>
      <ns0:c r="K56" t="n">
        <ns0:f>SUMIFS('출결원본'!$D$6:$D$1445,'출결원본'!$B$6:$B$1445,B56)</ns0:f>
        <ns0:v>3</ns0:v>
      </ns0:c>
      <ns0:c r="L56" t="n">
        <ns0:f>VLOOKUP(B56,'평가원본'!$B$6:$D$485,2,FALSE)</ns0:f>
        <ns0:v>94</ns0:v>
      </ns0:c>
      <ns0:c r="M56" t="n">
        <ns0:f>VLOOKUP(B56,'평가원본'!$B$6:$D$485,3,FALSE)</ns0:f>
        <ns0:v>1</ns0:v>
      </ns0:c>
      <ns0:c r="N56" t="n">
        <ns0:f>VLOOKUP(E56,'교육기준'!$B$6:$F$17,5,FALSE)</ns0:f>
        <ns0:v>80</ns0:v>
      </ns0:c>
      <ns0:c r="O56" t="n">
        <ns0:f>IF(AND(F56="승인",K56&gt;='정책'!$C$6,M56=1,L56&gt;=N56),1,0)</ns0:f>
        <ns0:v>1</ns0:v>
      </ns0:c>
    </ns0:row>
    <ns0:row r="57">
      <ns0:c r="B57" s="17" t="str">
        <ns0:f>'신청원본'!B57</ns0:f>
        <ns0:v>APP000052</ns0:v>
      </ns0:c>
      <ns0:c r="C57" s="17" t="str">
        <ns0:f>'신청원본'!C57</ns0:f>
        <ns0:v>000052</ns0:v>
      </ns0:c>
      <ns0:c r="D57" t="str">
        <ns0:f>'신청원본'!D57</ns0:f>
        <ns0:v>기획</ns0:v>
      </ns0:c>
      <ns0:c r="E57" t="str">
        <ns0:f>'신청원본'!E57</ns0:f>
        <ns0:v>C10</ns0:v>
      </ns0:c>
      <ns0:c r="F57" t="str">
        <ns0:f>'신청원본'!H57</ns0:f>
        <ns0:v>승인</ns0:v>
      </ns0:c>
      <ns0:c r="G57" s="18" t="n">
        <ns0:f>VLOOKUP(E57,'교육기준'!$B$6:$F$17,3,FALSE)</ns0:f>
        <ns0:v>257514</ns0:v>
      </ns0:c>
      <ns0:c r="H57" s="18" t="n">
        <ns0:f>'신청원본'!G57</ns0:f>
        <ns0:v>3</ns0:v>
      </ns0:c>
      <ns0:c r="I57" s="19" t="n">
        <ns0:f>'신청원본'!I57</ns0:f>
        <ns0:v>0.125</ns0:v>
      </ns0:c>
      <ns0:c r="J57" s="18" t="n">
        <ns0:f>IF(F57="승인",IF(COUNTA('신청원본'!J57)=0,ROUND(G57*H57*(1-I57),'정책'!$C$8),'신청원본'!J57),0)</ns0:f>
        <ns0:v>675974</ns0:v>
      </ns0:c>
      <ns0:c r="K57" t="n">
        <ns0:f>SUMIFS('출결원본'!$D$6:$D$1445,'출결원본'!$B$6:$B$1445,B57)</ns0:f>
        <ns0:v>3</ns0:v>
      </ns0:c>
      <ns0:c r="L57" t="n">
        <ns0:f>VLOOKUP(B57,'평가원본'!$B$6:$D$485,2,FALSE)</ns0:f>
        <ns0:v>50</ns0:v>
      </ns0:c>
      <ns0:c r="M57" t="n">
        <ns0:f>VLOOKUP(B57,'평가원본'!$B$6:$D$485,3,FALSE)</ns0:f>
        <ns0:v>1</ns0:v>
      </ns0:c>
      <ns0:c r="N57" t="n">
        <ns0:f>VLOOKUP(E57,'교육기준'!$B$6:$F$17,5,FALSE)</ns0:f>
        <ns0:v>60</ns0:v>
      </ns0:c>
      <ns0:c r="O57" t="n">
        <ns0:f>IF(AND(F57="승인",K57&gt;='정책'!$C$6,M57=1,L57&gt;=N57),1,0)</ns0:f>
        <ns0:v>0</ns0:v>
      </ns0:c>
    </ns0:row>
    <ns0:row r="58">
      <ns0:c r="B58" s="17" t="str">
        <ns0:f>'신청원본'!B58</ns0:f>
        <ns0:v>APP000053</ns0:v>
      </ns0:c>
      <ns0:c r="C58" s="17" t="str">
        <ns0:f>'신청원본'!C58</ns0:f>
        <ns0:v>000053</ns0:v>
      </ns0:c>
      <ns0:c r="D58" t="str">
        <ns0:f>'신청원본'!D58</ns0:f>
        <ns0:v>영업</ns0:v>
      </ns0:c>
      <ns0:c r="E58" t="str">
        <ns0:f>'신청원본'!E58</ns0:f>
        <ns0:v>C05</ns0:v>
      </ns0:c>
      <ns0:c r="F58" t="str">
        <ns0:f>'신청원본'!H58</ns0:f>
        <ns0:v>승인</ns0:v>
      </ns0:c>
      <ns0:c r="G58" s="18" t="n">
        <ns0:f>VLOOKUP(E58,'교육기준'!$B$6:$F$17,3,FALSE)</ns0:f>
        <ns0:v>170009</ns0:v>
      </ns0:c>
      <ns0:c r="H58" s="18" t="n">
        <ns0:f>'신청원본'!G58</ns0:f>
        <ns0:v>4</ns0:v>
      </ns0:c>
      <ns0:c r="I58" s="19" t="n">
        <ns0:f>'신청원본'!I58</ns0:f>
        <ns0:v>0</ns0:v>
      </ns0:c>
      <ns0:c r="J58" s="18" t="n">
        <ns0:f>IF(F58="승인",IF(COUNTA('신청원본'!J58)=0,ROUND(G58*H58*(1-I58),'정책'!$C$8),'신청원본'!J58),0)</ns0:f>
        <ns0:v>680036</ns0:v>
      </ns0:c>
      <ns0:c r="K58" t="n">
        <ns0:f>SUMIFS('출결원본'!$D$6:$D$1445,'출결원본'!$B$6:$B$1445,B58)</ns0:f>
        <ns0:v>2</ns0:v>
      </ns0:c>
      <ns0:c r="L58" t="n">
        <ns0:f>VLOOKUP(B58,'평가원본'!$B$6:$D$485,2,FALSE)</ns0:f>
        <ns0:v>57</ns0:v>
      </ns0:c>
      <ns0:c r="M58" t="n">
        <ns0:f>VLOOKUP(B58,'평가원본'!$B$6:$D$485,3,FALSE)</ns0:f>
        <ns0:v>1</ns0:v>
      </ns0:c>
      <ns0:c r="N58" t="n">
        <ns0:f>VLOOKUP(E58,'교육기준'!$B$6:$F$17,5,FALSE)</ns0:f>
        <ns0:v>70</ns0:v>
      </ns0:c>
      <ns0:c r="O58" t="n">
        <ns0:f>IF(AND(F58="승인",K58&gt;='정책'!$C$6,M58=1,L58&gt;=N58),1,0)</ns0:f>
        <ns0:v>0</ns0:v>
      </ns0:c>
    </ns0:row>
    <ns0:row r="59">
      <ns0:c r="B59" s="17" t="str">
        <ns0:f>'신청원본'!B59</ns0:f>
        <ns0:v>APP000054</ns0:v>
      </ns0:c>
      <ns0:c r="C59" s="17" t="str">
        <ns0:f>'신청원본'!C59</ns0:f>
        <ns0:v>000054</ns0:v>
      </ns0:c>
      <ns0:c r="D59" t="str">
        <ns0:f>'신청원본'!D59</ns0:f>
        <ns0:v>지원</ns0:v>
      </ns0:c>
      <ns0:c r="E59" t="str">
        <ns0:f>'신청원본'!E59</ns0:f>
        <ns0:v>C12</ns0:v>
      </ns0:c>
      <ns0:c r="F59" t="str">
        <ns0:f>'신청원본'!H59</ns0:f>
        <ns0:v>승인</ns0:v>
      </ns0:c>
      <ns0:c r="G59" s="18" t="n">
        <ns0:f>VLOOKUP(E59,'교육기준'!$B$6:$F$17,3,FALSE)</ns0:f>
        <ns0:v>292516</ns0:v>
      </ns0:c>
      <ns0:c r="H59" s="18" t="n">
        <ns0:f>'신청원본'!G59</ns0:f>
        <ns0:v>5</ns0:v>
      </ns0:c>
      <ns0:c r="I59" s="19" t="n">
        <ns0:f>'신청원본'!I59</ns0:f>
        <ns0:v>0.05</ns0:v>
      </ns0:c>
      <ns0:c r="J59" s="18" t="n">
        <ns0:f>IF(F59="승인",IF(COUNTA('신청원본'!J59)=0,ROUND(G59*H59*(1-I59),'정책'!$C$8),'신청원본'!J59),0)</ns0:f>
        <ns0:v>0</ns0:v>
      </ns0:c>
      <ns0:c r="K59" t="n">
        <ns0:f>SUMIFS('출결원본'!$D$6:$D$1445,'출결원본'!$B$6:$B$1445,B59)</ns0:f>
        <ns0:v>3</ns0:v>
      </ns0:c>
      <ns0:c r="L59" t="n">
        <ns0:f>VLOOKUP(B59,'평가원본'!$B$6:$D$485,2,FALSE)</ns0:f>
        <ns0:v>64</ns0:v>
      </ns0:c>
      <ns0:c r="M59" t="n">
        <ns0:f>VLOOKUP(B59,'평가원본'!$B$6:$D$485,3,FALSE)</ns0:f>
        <ns0:v>1</ns0:v>
      </ns0:c>
      <ns0:c r="N59" t="n">
        <ns0:f>VLOOKUP(E59,'교육기준'!$B$6:$F$17,5,FALSE)</ns0:f>
        <ns0:v>80</ns0:v>
      </ns0:c>
      <ns0:c r="O59" t="n">
        <ns0:f>IF(AND(F59="승인",K59&gt;='정책'!$C$6,M59=1,L59&gt;=N59),1,0)</ns0:f>
        <ns0:v>0</ns0:v>
      </ns0:c>
    </ns0:row>
    <ns0:row r="60">
      <ns0:c r="B60" s="17" t="str">
        <ns0:f>'신청원본'!B60</ns0:f>
        <ns0:v>APP000055</ns0:v>
      </ns0:c>
      <ns0:c r="C60" s="17" t="str">
        <ns0:f>'신청원본'!C60</ns0:f>
        <ns0:v>000055</ns0:v>
      </ns0:c>
      <ns0:c r="D60" t="str">
        <ns0:f>'신청원본'!D60</ns0:f>
        <ns0:v>개발</ns0:v>
      </ns0:c>
      <ns0:c r="E60" t="str">
        <ns0:f>'신청원본'!E60</ns0:f>
        <ns0:v>C07</ns0:v>
      </ns0:c>
      <ns0:c r="F60" t="str">
        <ns0:f>'신청원본'!H60</ns0:f>
        <ns0:v>승인</ns0:v>
      </ns0:c>
      <ns0:c r="G60" s="18" t="n">
        <ns0:f>VLOOKUP(E60,'교육기준'!$B$6:$F$17,3,FALSE)</ns0:f>
        <ns0:v>205011</ns0:v>
      </ns0:c>
      <ns0:c r="H60" s="18" t="n">
        <ns0:f>'신청원본'!G60</ns0:f>
        <ns0:v>0</ns0:v>
      </ns0:c>
      <ns0:c r="I60" s="19" t="n">
        <ns0:f>'신청원본'!I60</ns0:f>
        <ns0:v>0.1</ns0:v>
      </ns0:c>
      <ns0:c r="J60" s="18" t="n">
        <ns0:f>IF(F60="승인",IF(COUNTA('신청원본'!J60)=0,ROUND(G60*H60*(1-I60),'정책'!$C$8),'신청원본'!J60),0)</ns0:f>
        <ns0:v>0</ns0:v>
      </ns0:c>
      <ns0:c r="K60" t="n">
        <ns0:f>SUMIFS('출결원본'!$D$6:$D$1445,'출결원본'!$B$6:$B$1445,B60)</ns0:f>
        <ns0:v>2</ns0:v>
      </ns0:c>
      <ns0:c r="L60" t="n">
        <ns0:f>VLOOKUP(B60,'평가원본'!$B$6:$D$485,2,FALSE)</ns0:f>
        <ns0:v>71</ns0:v>
      </ns0:c>
      <ns0:c r="M60" t="n">
        <ns0:f>VLOOKUP(B60,'평가원본'!$B$6:$D$485,3,FALSE)</ns0:f>
        <ns0:v>1</ns0:v>
      </ns0:c>
      <ns0:c r="N60" t="n">
        <ns0:f>VLOOKUP(E60,'교육기준'!$B$6:$F$17,5,FALSE)</ns0:f>
        <ns0:v>60</ns0:v>
      </ns0:c>
      <ns0:c r="O60" t="n">
        <ns0:f>IF(AND(F60="승인",K60&gt;='정책'!$C$6,M60=1,L60&gt;=N60),1,0)</ns0:f>
        <ns0:v>0</ns0:v>
      </ns0:c>
    </ns0:row>
    <ns0:row r="61">
      <ns0:c r="B61" s="17" t="str">
        <ns0:f>'신청원본'!B61</ns0:f>
        <ns0:v>APP000056</ns0:v>
      </ns0:c>
      <ns0:c r="C61" s="17" t="str">
        <ns0:f>'신청원본'!C61</ns0:f>
        <ns0:v>000056</ns0:v>
      </ns0:c>
      <ns0:c r="D61" t="str">
        <ns0:f>'신청원본'!D61</ns0:f>
        <ns0:v>생산</ns0:v>
      </ns0:c>
      <ns0:c r="E61" t="str">
        <ns0:f>'신청원본'!E61</ns0:f>
        <ns0:v>C02</ns0:v>
      </ns0:c>
      <ns0:c r="F61" t="str">
        <ns0:f>'신청원본'!H61</ns0:f>
        <ns0:v>취소</ns0:v>
      </ns0:c>
      <ns0:c r="G61" s="18" t="n">
        <ns0:f>VLOOKUP(E61,'교육기준'!$B$6:$F$17,3,FALSE)</ns0:f>
        <ns0:v>117506</ns0:v>
      </ns0:c>
      <ns0:c r="H61" s="18" t="n">
        <ns0:f>'신청원본'!G61</ns0:f>
        <ns0:v>1</ns0:v>
      </ns0:c>
      <ns0:c r="I61" s="19" t="n">
        <ns0:f>'신청원본'!I61</ns0:f>
        <ns0:v>0.125</ns0:v>
      </ns0:c>
      <ns0:c r="J61" s="18" t="n">
        <ns0:f>IF(F61="승인",IF(COUNTA('신청원본'!J61)=0,ROUND(G61*H61*(1-I61),'정책'!$C$8),'신청원본'!J61),0)</ns0:f>
        <ns0:v>0</ns0:v>
      </ns0:c>
      <ns0:c r="K61" t="n">
        <ns0:f>SUMIFS('출결원본'!$D$6:$D$1445,'출결원본'!$B$6:$B$1445,B61)</ns0:f>
        <ns0:v>3</ns0:v>
      </ns0:c>
      <ns0:c r="L61" t="n">
        <ns0:f>VLOOKUP(B61,'평가원본'!$B$6:$D$485,2,FALSE)</ns0:f>
        <ns0:v>78</ns0:v>
      </ns0:c>
      <ns0:c r="M61" t="n">
        <ns0:f>VLOOKUP(B61,'평가원본'!$B$6:$D$485,3,FALSE)</ns0:f>
        <ns0:v>1</ns0:v>
      </ns0:c>
      <ns0:c r="N61" t="n">
        <ns0:f>VLOOKUP(E61,'교육기준'!$B$6:$F$17,5,FALSE)</ns0:f>
        <ns0:v>70</ns0:v>
      </ns0:c>
      <ns0:c r="O61" t="n">
        <ns0:f>IF(AND(F61="승인",K61&gt;='정책'!$C$6,M61=1,L61&gt;=N61),1,0)</ns0:f>
        <ns0:v>0</ns0:v>
      </ns0:c>
    </ns0:row>
    <ns0:row r="62">
      <ns0:c r="B62" s="17" t="str">
        <ns0:f>'신청원본'!B62</ns0:f>
        <ns0:v>APP000057</ns0:v>
      </ns0:c>
      <ns0:c r="C62" s="17" t="str">
        <ns0:f>'신청원본'!C62</ns0:f>
        <ns0:v>000057</ns0:v>
      </ns0:c>
      <ns0:c r="D62" t="str">
        <ns0:f>'신청원본'!D62</ns0:f>
        <ns0:v>품질</ns0:v>
      </ns0:c>
      <ns0:c r="E62" t="str">
        <ns0:f>'신청원본'!E62</ns0:f>
        <ns0:v>C09</ns0:v>
      </ns0:c>
      <ns0:c r="F62" t="str">
        <ns0:f>'신청원본'!H62</ns0:f>
        <ns0:v>대기</ns0:v>
      </ns0:c>
      <ns0:c r="G62" s="18" t="n">
        <ns0:f>VLOOKUP(E62,'교육기준'!$B$6:$F$17,3,FALSE)</ns0:f>
        <ns0:v>240013</ns0:v>
      </ns0:c>
      <ns0:c r="H62" s="18" t="n">
        <ns0:f>'신청원본'!G62</ns0:f>
        <ns0:v>2</ns0:v>
      </ns0:c>
      <ns0:c r="I62" s="19" t="n">
        <ns0:f>'신청원본'!I62</ns0:f>
        <ns0:v>0</ns0:v>
      </ns0:c>
      <ns0:c r="J62" s="18" t="n">
        <ns0:f>IF(F62="승인",IF(COUNTA('신청원본'!J62)=0,ROUND(G62*H62*(1-I62),'정책'!$C$8),'신청원본'!J62),0)</ns0:f>
        <ns0:v>0</ns0:v>
      </ns0:c>
      <ns0:c r="K62" t="n">
        <ns0:f>SUMIFS('출결원본'!$D$6:$D$1445,'출결원본'!$B$6:$B$1445,B62)</ns0:f>
        <ns0:v>3</ns0:v>
      </ns0:c>
      <ns0:c r="L62" t="n">
        <ns0:f>VLOOKUP(B62,'평가원본'!$B$6:$D$485,2,FALSE)</ns0:f>
        <ns0:v>85</ns0:v>
      </ns0:c>
      <ns0:c r="M62" t="n">
        <ns0:f>VLOOKUP(B62,'평가원본'!$B$6:$D$485,3,FALSE)</ns0:f>
        <ns0:v>1</ns0:v>
      </ns0:c>
      <ns0:c r="N62" t="n">
        <ns0:f>VLOOKUP(E62,'교육기준'!$B$6:$F$17,5,FALSE)</ns0:f>
        <ns0:v>80</ns0:v>
      </ns0:c>
      <ns0:c r="O62" t="n">
        <ns0:f>IF(AND(F62="승인",K62&gt;='정책'!$C$6,M62=1,L62&gt;=N62),1,0)</ns0:f>
        <ns0:v>0</ns0:v>
      </ns0:c>
    </ns0:row>
    <ns0:row r="63">
      <ns0:c r="B63" s="17" t="str">
        <ns0:f>'신청원본'!B63</ns0:f>
        <ns0:v>APP000058</ns0:v>
      </ns0:c>
      <ns0:c r="C63" s="17" t="str">
        <ns0:f>'신청원본'!C63</ns0:f>
        <ns0:v>000058</ns0:v>
      </ns0:c>
      <ns0:c r="D63" t="str">
        <ns0:f>'신청원본'!D63</ns0:f>
        <ns0:v>기획</ns0:v>
      </ns0:c>
      <ns0:c r="E63" t="str">
        <ns0:f>'신청원본'!E63</ns0:f>
        <ns0:v>C04</ns0:v>
      </ns0:c>
      <ns0:c r="F63" t="str">
        <ns0:f>'신청원본'!H63</ns0:f>
        <ns0:v>승인</ns0:v>
      </ns0:c>
      <ns0:c r="G63" s="18" t="n">
        <ns0:f>VLOOKUP(E63,'교육기준'!$B$6:$F$17,3,FALSE)</ns0:f>
        <ns0:v>152508</ns0:v>
      </ns0:c>
      <ns0:c r="H63" s="18" t="n">
        <ns0:f>'신청원본'!G63</ns0:f>
        <ns0:v>3</ns0:v>
      </ns0:c>
      <ns0:c r="I63" s="19" t="n">
        <ns0:f>'신청원본'!I63</ns0:f>
        <ns0:v>0.05</ns0:v>
      </ns0:c>
      <ns0:c r="J63" s="18" t="n">
        <ns0:f>IF(F63="승인",IF(COUNTA('신청원본'!J63)=0,ROUND(G63*H63*(1-I63),'정책'!$C$8),'신청원본'!J63),0)</ns0:f>
        <ns0:v>434648</ns0:v>
      </ns0:c>
      <ns0:c r="K63" t="n">
        <ns0:f>SUMIFS('출결원본'!$D$6:$D$1445,'출결원본'!$B$6:$B$1445,B63)</ns0:f>
        <ns0:v>3</ns0:v>
      </ns0:c>
      <ns0:c r="L63" t="n">
        <ns0:f>VLOOKUP(B63,'평가원본'!$B$6:$D$485,2,FALSE)</ns0:f>
        <ns0:v>92</ns0:v>
      </ns0:c>
      <ns0:c r="M63" t="n">
        <ns0:f>VLOOKUP(B63,'평가원본'!$B$6:$D$485,3,FALSE)</ns0:f>
        <ns0:v>0</ns0:v>
      </ns0:c>
      <ns0:c r="N63" t="n">
        <ns0:f>VLOOKUP(E63,'교육기준'!$B$6:$F$17,5,FALSE)</ns0:f>
        <ns0:v>60</ns0:v>
      </ns0:c>
      <ns0:c r="O63" t="n">
        <ns0:f>IF(AND(F63="승인",K63&gt;='정책'!$C$6,M63=1,L63&gt;=N63),1,0)</ns0:f>
        <ns0:v>0</ns0:v>
      </ns0:c>
    </ns0:row>
    <ns0:row r="64">
      <ns0:c r="B64" s="17" t="str">
        <ns0:f>'신청원본'!B64</ns0:f>
        <ns0:v>APP000059</ns0:v>
      </ns0:c>
      <ns0:c r="C64" s="17" t="str">
        <ns0:f>'신청원본'!C64</ns0:f>
        <ns0:v>000059</ns0:v>
      </ns0:c>
      <ns0:c r="D64" t="str">
        <ns0:f>'신청원본'!D64</ns0:f>
        <ns0:v>영업</ns0:v>
      </ns0:c>
      <ns0:c r="E64" t="str">
        <ns0:f>'신청원본'!E64</ns0:f>
        <ns0:v>C11</ns0:v>
      </ns0:c>
      <ns0:c r="F64" t="str">
        <ns0:f>'신청원본'!H64</ns0:f>
        <ns0:v>승인</ns0:v>
      </ns0:c>
      <ns0:c r="G64" s="18" t="n">
        <ns0:f>VLOOKUP(E64,'교육기준'!$B$6:$F$17,3,FALSE)</ns0:f>
        <ns0:v>275015</ns0:v>
      </ns0:c>
      <ns0:c r="H64" s="18" t="n">
        <ns0:f>'신청원본'!G64</ns0:f>
        <ns0:v>4</ns0:v>
      </ns0:c>
      <ns0:c r="I64" s="19" t="n">
        <ns0:f>'신청원본'!I64</ns0:f>
        <ns0:v>0.1</ns0:v>
      </ns0:c>
      <ns0:c r="J64" s="18" t="n">
        <ns0:f>IF(F64="승인",IF(COUNTA('신청원본'!J64)=0,ROUND(G64*H64*(1-I64),'정책'!$C$8),'신청원본'!J64),0)</ns0:f>
        <ns0:v>990054</ns0:v>
      </ns0:c>
      <ns0:c r="K64" t="n">
        <ns0:f>SUMIFS('출결원본'!$D$6:$D$1445,'출결원본'!$B$6:$B$1445,B64)</ns0:f>
        <ns0:v>3</ns0:v>
      </ns0:c>
      <ns0:c r="L64" t="n">
        <ns0:f>VLOOKUP(B64,'평가원본'!$B$6:$D$485,2,FALSE)</ns0:f>
        <ns0:v>99</ns0:v>
      </ns0:c>
      <ns0:c r="M64" t="n">
        <ns0:f>VLOOKUP(B64,'평가원본'!$B$6:$D$485,3,FALSE)</ns0:f>
        <ns0:v>1</ns0:v>
      </ns0:c>
      <ns0:c r="N64" t="n">
        <ns0:f>VLOOKUP(E64,'교육기준'!$B$6:$F$17,5,FALSE)</ns0:f>
        <ns0:v>70</ns0:v>
      </ns0:c>
      <ns0:c r="O64" t="n">
        <ns0:f>IF(AND(F64="승인",K64&gt;='정책'!$C$6,M64=1,L64&gt;=N64),1,0)</ns0:f>
        <ns0:v>1</ns0:v>
      </ns0:c>
    </ns0:row>
    <ns0:row r="65">
      <ns0:c r="B65" s="17" t="str">
        <ns0:f>'신청원본'!B65</ns0:f>
        <ns0:v>APP000060</ns0:v>
      </ns0:c>
      <ns0:c r="C65" s="17" t="str">
        <ns0:f>'신청원본'!C65</ns0:f>
        <ns0:v>000060</ns0:v>
      </ns0:c>
      <ns0:c r="D65" t="str">
        <ns0:f>'신청원본'!D65</ns0:f>
        <ns0:v>지원</ns0:v>
      </ns0:c>
      <ns0:c r="E65" t="str">
        <ns0:f>'신청원본'!E65</ns0:f>
        <ns0:v>C06</ns0:v>
      </ns0:c>
      <ns0:c r="F65" t="str">
        <ns0:f>'신청원본'!H65</ns0:f>
        <ns0:v>승인</ns0:v>
      </ns0:c>
      <ns0:c r="G65" s="18" t="n">
        <ns0:f>VLOOKUP(E65,'교육기준'!$B$6:$F$17,3,FALSE)</ns0:f>
        <ns0:v>187510</ns0:v>
      </ns0:c>
      <ns0:c r="H65" s="18" t="n">
        <ns0:f>'신청원본'!G65</ns0:f>
        <ns0:v>5</ns0:v>
      </ns0:c>
      <ns0:c r="I65" s="19" t="n">
        <ns0:f>'신청원본'!I65</ns0:f>
        <ns0:v>0.125</ns0:v>
      </ns0:c>
      <ns0:c r="J65" s="18" t="n">
        <ns0:f>IF(F65="승인",IF(COUNTA('신청원본'!J65)=0,ROUND(G65*H65*(1-I65),'정책'!$C$8),'신청원본'!J65),0)</ns0:f>
        <ns0:v>820356</ns0:v>
      </ns0:c>
      <ns0:c r="K65" t="n">
        <ns0:f>SUMIFS('출결원본'!$D$6:$D$1445,'출결원본'!$B$6:$B$1445,B65)</ns0:f>
        <ns0:v>3</ns0:v>
      </ns0:c>
      <ns0:c r="L65" t="n">
        <ns0:f>VLOOKUP(B65,'평가원본'!$B$6:$D$485,2,FALSE)</ns0:f>
        <ns0:v>55</ns0:v>
      </ns0:c>
      <ns0:c r="M65" t="n">
        <ns0:f>VLOOKUP(B65,'평가원본'!$B$6:$D$485,3,FALSE)</ns0:f>
        <ns0:v>1</ns0:v>
      </ns0:c>
      <ns0:c r="N65" t="n">
        <ns0:f>VLOOKUP(E65,'교육기준'!$B$6:$F$17,5,FALSE)</ns0:f>
        <ns0:v>80</ns0:v>
      </ns0:c>
      <ns0:c r="O65" t="n">
        <ns0:f>IF(AND(F65="승인",K65&gt;='정책'!$C$6,M65=1,L65&gt;=N65),1,0)</ns0:f>
        <ns0:v>0</ns0:v>
      </ns0:c>
    </ns0:row>
    <ns0:row r="66">
      <ns0:c r="B66" s="17" t="str">
        <ns0:f>'신청원본'!B66</ns0:f>
        <ns0:v>APP000061</ns0:v>
      </ns0:c>
      <ns0:c r="C66" s="17" t="str">
        <ns0:f>'신청원본'!C66</ns0:f>
        <ns0:v>000061</ns0:v>
      </ns0:c>
      <ns0:c r="D66" t="str">
        <ns0:f>'신청원본'!D66</ns0:f>
        <ns0:v>개발</ns0:v>
      </ns0:c>
      <ns0:c r="E66" t="str">
        <ns0:f>'신청원본'!E66</ns0:f>
        <ns0:v>C01</ns0:v>
      </ns0:c>
      <ns0:c r="F66" t="str">
        <ns0:f>'신청원본'!H66</ns0:f>
        <ns0:v>승인</ns0:v>
      </ns0:c>
      <ns0:c r="G66" s="18" t="n">
        <ns0:f>VLOOKUP(E66,'교육기준'!$B$6:$F$17,3,FALSE)</ns0:f>
        <ns0:v>100005</ns0:v>
      </ns0:c>
      <ns0:c r="H66" s="18" t="n">
        <ns0:f>'신청원본'!G66</ns0:f>
        <ns0:v>0</ns0:v>
      </ns0:c>
      <ns0:c r="I66" s="19" t="n">
        <ns0:f>'신청원본'!I66</ns0:f>
        <ns0:v>0</ns0:v>
      </ns0:c>
      <ns0:c r="J66" s="18" t="n">
        <ns0:f>IF(F66="승인",IF(COUNTA('신청원본'!J66)=0,ROUND(G66*H66*(1-I66),'정책'!$C$8),'신청원본'!J66),0)</ns0:f>
        <ns0:v>0</ns0:v>
      </ns0:c>
      <ns0:c r="K66" t="n">
        <ns0:f>SUMIFS('출결원본'!$D$6:$D$1445,'출결원본'!$B$6:$B$1445,B66)</ns0:f>
        <ns0:v>3</ns0:v>
      </ns0:c>
      <ns0:c r="L66" t="n">
        <ns0:f>VLOOKUP(B66,'평가원본'!$B$6:$D$485,2,FALSE)</ns0:f>
        <ns0:v>62</ns0:v>
      </ns0:c>
      <ns0:c r="M66" t="n">
        <ns0:f>VLOOKUP(B66,'평가원본'!$B$6:$D$485,3,FALSE)</ns0:f>
        <ns0:v>1</ns0:v>
      </ns0:c>
      <ns0:c r="N66" t="n">
        <ns0:f>VLOOKUP(E66,'교육기준'!$B$6:$F$17,5,FALSE)</ns0:f>
        <ns0:v>60</ns0:v>
      </ns0:c>
      <ns0:c r="O66" t="n">
        <ns0:f>IF(AND(F66="승인",K66&gt;='정책'!$C$6,M66=1,L66&gt;=N66),1,0)</ns0:f>
        <ns0:v>1</ns0:v>
      </ns0:c>
    </ns0:row>
    <ns0:row r="67">
      <ns0:c r="B67" s="17" t="str">
        <ns0:f>'신청원본'!B67</ns0:f>
        <ns0:v>APP000062</ns0:v>
      </ns0:c>
      <ns0:c r="C67" s="17" t="str">
        <ns0:f>'신청원본'!C67</ns0:f>
        <ns0:v>000062</ns0:v>
      </ns0:c>
      <ns0:c r="D67" t="str">
        <ns0:f>'신청원본'!D67</ns0:f>
        <ns0:v>생산</ns0:v>
      </ns0:c>
      <ns0:c r="E67" t="str">
        <ns0:f>'신청원본'!E67</ns0:f>
        <ns0:v>C08</ns0:v>
      </ns0:c>
      <ns0:c r="F67" t="str">
        <ns0:f>'신청원본'!H67</ns0:f>
        <ns0:v>승인</ns0:v>
      </ns0:c>
      <ns0:c r="G67" s="18" t="n">
        <ns0:f>VLOOKUP(E67,'교육기준'!$B$6:$F$17,3,FALSE)</ns0:f>
        <ns0:v>222512</ns0:v>
      </ns0:c>
      <ns0:c r="H67" s="18" t="n">
        <ns0:f>'신청원본'!G67</ns0:f>
        <ns0:v>1</ns0:v>
      </ns0:c>
      <ns0:c r="I67" s="19" t="n">
        <ns0:f>'신청원본'!I67</ns0:f>
        <ns0:v>0.05</ns0:v>
      </ns0:c>
      <ns0:c r="J67" s="18" t="n">
        <ns0:f>IF(F67="승인",IF(COUNTA('신청원본'!J67)=0,ROUND(G67*H67*(1-I67),'정책'!$C$8),'신청원본'!J67),0)</ns0:f>
        <ns0:v>211386</ns0:v>
      </ns0:c>
      <ns0:c r="K67" t="n">
        <ns0:f>SUMIFS('출결원본'!$D$6:$D$1445,'출결원본'!$B$6:$B$1445,B67)</ns0:f>
        <ns0:v>3</ns0:v>
      </ns0:c>
      <ns0:c r="L67" t="n">
        <ns0:f>VLOOKUP(B67,'평가원본'!$B$6:$D$485,2,FALSE)</ns0:f>
        <ns0:v>69</ns0:v>
      </ns0:c>
      <ns0:c r="M67" t="n">
        <ns0:f>VLOOKUP(B67,'평가원본'!$B$6:$D$485,3,FALSE)</ns0:f>
        <ns0:v>1</ns0:v>
      </ns0:c>
      <ns0:c r="N67" t="n">
        <ns0:f>VLOOKUP(E67,'교육기준'!$B$6:$F$17,5,FALSE)</ns0:f>
        <ns0:v>70</ns0:v>
      </ns0:c>
      <ns0:c r="O67" t="n">
        <ns0:f>IF(AND(F67="승인",K67&gt;='정책'!$C$6,M67=1,L67&gt;=N67),1,0)</ns0:f>
        <ns0:v>0</ns0:v>
      </ns0:c>
    </ns0:row>
    <ns0:row r="68">
      <ns0:c r="B68" s="17" t="str">
        <ns0:f>'신청원본'!B68</ns0:f>
        <ns0:v>APP000063</ns0:v>
      </ns0:c>
      <ns0:c r="C68" s="17" t="str">
        <ns0:f>'신청원본'!C68</ns0:f>
        <ns0:v>000063</ns0:v>
      </ns0:c>
      <ns0:c r="D68" t="str">
        <ns0:f>'신청원본'!D68</ns0:f>
        <ns0:v>품질</ns0:v>
      </ns0:c>
      <ns0:c r="E68" t="str">
        <ns0:f>'신청원본'!E68</ns0:f>
        <ns0:v>C03</ns0:v>
      </ns0:c>
      <ns0:c r="F68" t="str">
        <ns0:f>'신청원본'!H68</ns0:f>
        <ns0:v>승인</ns0:v>
      </ns0:c>
      <ns0:c r="G68" s="18" t="n">
        <ns0:f>VLOOKUP(E68,'교육기준'!$B$6:$F$17,3,FALSE)</ns0:f>
        <ns0:v>135007</ns0:v>
      </ns0:c>
      <ns0:c r="H68" s="18" t="n">
        <ns0:f>'신청원본'!G68</ns0:f>
        <ns0:v>2</ns0:v>
      </ns0:c>
      <ns0:c r="I68" s="19" t="n">
        <ns0:f>'신청원본'!I68</ns0:f>
        <ns0:v>0.1</ns0:v>
      </ns0:c>
      <ns0:c r="J68" s="18" t="n">
        <ns0:f>IF(F68="승인",IF(COUNTA('신청원본'!J68)=0,ROUND(G68*H68*(1-I68),'정책'!$C$8),'신청원본'!J68),0)</ns0:f>
        <ns0:v>243013</ns0:v>
      </ns0:c>
      <ns0:c r="K68" t="n">
        <ns0:f>SUMIFS('출결원본'!$D$6:$D$1445,'출결원본'!$B$6:$B$1445,B68)</ns0:f>
        <ns0:v>3</ns0:v>
      </ns0:c>
      <ns0:c r="L68" t="n">
        <ns0:f>VLOOKUP(B68,'평가원본'!$B$6:$D$485,2,FALSE)</ns0:f>
        <ns0:v>76</ns0:v>
      </ns0:c>
      <ns0:c r="M68" t="n">
        <ns0:f>VLOOKUP(B68,'평가원본'!$B$6:$D$485,3,FALSE)</ns0:f>
        <ns0:v>1</ns0:v>
      </ns0:c>
      <ns0:c r="N68" t="n">
        <ns0:f>VLOOKUP(E68,'교육기준'!$B$6:$F$17,5,FALSE)</ns0:f>
        <ns0:v>80</ns0:v>
      </ns0:c>
      <ns0:c r="O68" t="n">
        <ns0:f>IF(AND(F68="승인",K68&gt;='정책'!$C$6,M68=1,L68&gt;=N68),1,0)</ns0:f>
        <ns0:v>0</ns0:v>
      </ns0:c>
    </ns0:row>
    <ns0:row r="69">
      <ns0:c r="B69" s="17" t="str">
        <ns0:f>'신청원본'!B69</ns0:f>
        <ns0:v>APP000064</ns0:v>
      </ns0:c>
      <ns0:c r="C69" s="17" t="str">
        <ns0:f>'신청원본'!C69</ns0:f>
        <ns0:v>000064</ns0:v>
      </ns0:c>
      <ns0:c r="D69" t="str">
        <ns0:f>'신청원본'!D69</ns0:f>
        <ns0:v>기획</ns0:v>
      </ns0:c>
      <ns0:c r="E69" t="str">
        <ns0:f>'신청원본'!E69</ns0:f>
        <ns0:v>C10</ns0:v>
      </ns0:c>
      <ns0:c r="F69" t="str">
        <ns0:f>'신청원본'!H69</ns0:f>
        <ns0:v>대기</ns0:v>
      </ns0:c>
      <ns0:c r="G69" s="18" t="n">
        <ns0:f>VLOOKUP(E69,'교육기준'!$B$6:$F$17,3,FALSE)</ns0:f>
        <ns0:v>257514</ns0:v>
      </ns0:c>
      <ns0:c r="H69" s="18" t="n">
        <ns0:f>'신청원본'!G69</ns0:f>
        <ns0:v>3</ns0:v>
      </ns0:c>
      <ns0:c r="I69" s="19" t="n">
        <ns0:f>'신청원본'!I69</ns0:f>
        <ns0:v>0.125</ns0:v>
      </ns0:c>
      <ns0:c r="J69" s="18" t="n">
        <ns0:f>IF(F69="승인",IF(COUNTA('신청원본'!J69)=0,ROUND(G69*H69*(1-I69),'정책'!$C$8),'신청원본'!J69),0)</ns0:f>
        <ns0:v>0</ns0:v>
      </ns0:c>
      <ns0:c r="K69" t="n">
        <ns0:f>SUMIFS('출결원본'!$D$6:$D$1445,'출결원본'!$B$6:$B$1445,B69)</ns0:f>
        <ns0:v>2</ns0:v>
      </ns0:c>
      <ns0:c r="L69" t="n">
        <ns0:f>VLOOKUP(B69,'평가원본'!$B$6:$D$485,2,FALSE)</ns0:f>
        <ns0:v>83</ns0:v>
      </ns0:c>
      <ns0:c r="M69" t="n">
        <ns0:f>VLOOKUP(B69,'평가원본'!$B$6:$D$485,3,FALSE)</ns0:f>
        <ns0:v>1</ns0:v>
      </ns0:c>
      <ns0:c r="N69" t="n">
        <ns0:f>VLOOKUP(E69,'교육기준'!$B$6:$F$17,5,FALSE)</ns0:f>
        <ns0:v>60</ns0:v>
      </ns0:c>
      <ns0:c r="O69" t="n">
        <ns0:f>IF(AND(F69="승인",K69&gt;='정책'!$C$6,M69=1,L69&gt;=N69),1,0)</ns0:f>
        <ns0:v>0</ns0:v>
      </ns0:c>
    </ns0:row>
    <ns0:row r="70">
      <ns0:c r="B70" s="17" t="str">
        <ns0:f>'신청원본'!B70</ns0:f>
        <ns0:v>APP000065</ns0:v>
      </ns0:c>
      <ns0:c r="C70" s="17" t="str">
        <ns0:f>'신청원본'!C70</ns0:f>
        <ns0:v>000065</ns0:v>
      </ns0:c>
      <ns0:c r="D70" t="str">
        <ns0:f>'신청원본'!D70</ns0:f>
        <ns0:v>영업</ns0:v>
      </ns0:c>
      <ns0:c r="E70" t="str">
        <ns0:f>'신청원본'!E70</ns0:f>
        <ns0:v>C05</ns0:v>
      </ns0:c>
      <ns0:c r="F70" t="str">
        <ns0:f>'신청원본'!H70</ns0:f>
        <ns0:v>승인</ns0:v>
      </ns0:c>
      <ns0:c r="G70" s="18" t="n">
        <ns0:f>VLOOKUP(E70,'교육기준'!$B$6:$F$17,3,FALSE)</ns0:f>
        <ns0:v>170009</ns0:v>
      </ns0:c>
      <ns0:c r="H70" s="18" t="n">
        <ns0:f>'신청원본'!G70</ns0:f>
        <ns0:v>4</ns0:v>
      </ns0:c>
      <ns0:c r="I70" s="19" t="n">
        <ns0:f>'신청원본'!I70</ns0:f>
        <ns0:v>0</ns0:v>
      </ns0:c>
      <ns0:c r="J70" s="18" t="n">
        <ns0:f>IF(F70="승인",IF(COUNTA('신청원본'!J70)=0,ROUND(G70*H70*(1-I70),'정책'!$C$8),'신청원본'!J70),0)</ns0:f>
        <ns0:v>680036</ns0:v>
      </ns0:c>
      <ns0:c r="K70" t="n">
        <ns0:f>SUMIFS('출결원본'!$D$6:$D$1445,'출결원본'!$B$6:$B$1445,B70)</ns0:f>
        <ns0:v>3</ns0:v>
      </ns0:c>
      <ns0:c r="L70" t="n">
        <ns0:f>VLOOKUP(B70,'평가원본'!$B$6:$D$485,2,FALSE)</ns0:f>
        <ns0:v>90</ns0:v>
      </ns0:c>
      <ns0:c r="M70" t="n">
        <ns0:f>VLOOKUP(B70,'평가원본'!$B$6:$D$485,3,FALSE)</ns0:f>
        <ns0:v>1</ns0:v>
      </ns0:c>
      <ns0:c r="N70" t="n">
        <ns0:f>VLOOKUP(E70,'교육기준'!$B$6:$F$17,5,FALSE)</ns0:f>
        <ns0:v>70</ns0:v>
      </ns0:c>
      <ns0:c r="O70" t="n">
        <ns0:f>IF(AND(F70="승인",K70&gt;='정책'!$C$6,M70=1,L70&gt;=N70),1,0)</ns0:f>
        <ns0:v>1</ns0:v>
      </ns0:c>
    </ns0:row>
    <ns0:row r="71">
      <ns0:c r="B71" s="17" t="str">
        <ns0:f>'신청원본'!B71</ns0:f>
        <ns0:v>APP000066</ns0:v>
      </ns0:c>
      <ns0:c r="C71" s="17" t="str">
        <ns0:f>'신청원본'!C71</ns0:f>
        <ns0:v>000066</ns0:v>
      </ns0:c>
      <ns0:c r="D71" t="str">
        <ns0:f>'신청원본'!D71</ns0:f>
        <ns0:v>지원</ns0:v>
      </ns0:c>
      <ns0:c r="E71" t="str">
        <ns0:f>'신청원본'!E71</ns0:f>
        <ns0:v>C12</ns0:v>
      </ns0:c>
      <ns0:c r="F71" t="str">
        <ns0:f>'신청원본'!H71</ns0:f>
        <ns0:v>승인</ns0:v>
      </ns0:c>
      <ns0:c r="G71" s="18" t="n">
        <ns0:f>VLOOKUP(E71,'교육기준'!$B$6:$F$17,3,FALSE)</ns0:f>
        <ns0:v>292516</ns0:v>
      </ns0:c>
      <ns0:c r="H71" s="18" t="n">
        <ns0:f>'신청원본'!G71</ns0:f>
        <ns0:v>5</ns0:v>
      </ns0:c>
      <ns0:c r="I71" s="19" t="n">
        <ns0:f>'신청원본'!I71</ns0:f>
        <ns0:v>0.05</ns0:v>
      </ns0:c>
      <ns0:c r="J71" s="18" t="n">
        <ns0:f>IF(F71="승인",IF(COUNTA('신청원본'!J71)=0,ROUND(G71*H71*(1-I71),'정책'!$C$8),'신청원본'!J71),0)</ns0:f>
        <ns0:v>1389451</ns0:v>
      </ns0:c>
      <ns0:c r="K71" t="n">
        <ns0:f>SUMIFS('출결원본'!$D$6:$D$1445,'출결원본'!$B$6:$B$1445,B71)</ns0:f>
        <ns0:v>2</ns0:v>
      </ns0:c>
      <ns0:c r="L71" t="n">
        <ns0:f>VLOOKUP(B71,'평가원본'!$B$6:$D$485,2,FALSE)</ns0:f>
        <ns0:v>97</ns0:v>
      </ns0:c>
      <ns0:c r="M71" t="n">
        <ns0:f>VLOOKUP(B71,'평가원본'!$B$6:$D$485,3,FALSE)</ns0:f>
        <ns0:v>1</ns0:v>
      </ns0:c>
      <ns0:c r="N71" t="n">
        <ns0:f>VLOOKUP(E71,'교육기준'!$B$6:$F$17,5,FALSE)</ns0:f>
        <ns0:v>80</ns0:v>
      </ns0:c>
      <ns0:c r="O71" t="n">
        <ns0:f>IF(AND(F71="승인",K71&gt;='정책'!$C$6,M71=1,L71&gt;=N71),1,0)</ns0:f>
        <ns0:v>0</ns0:v>
      </ns0:c>
    </ns0:row>
    <ns0:row r="72">
      <ns0:c r="B72" s="17" t="str">
        <ns0:f>'신청원본'!B72</ns0:f>
        <ns0:v>APP000067</ns0:v>
      </ns0:c>
      <ns0:c r="C72" s="17" t="str">
        <ns0:f>'신청원본'!C72</ns0:f>
        <ns0:v>000067</ns0:v>
      </ns0:c>
      <ns0:c r="D72" t="str">
        <ns0:f>'신청원본'!D72</ns0:f>
        <ns0:v>개발</ns0:v>
      </ns0:c>
      <ns0:c r="E72" t="str">
        <ns0:f>'신청원본'!E72</ns0:f>
        <ns0:v>C07</ns0:v>
      </ns0:c>
      <ns0:c r="F72" t="str">
        <ns0:f>'신청원본'!H72</ns0:f>
        <ns0:v>취소</ns0:v>
      </ns0:c>
      <ns0:c r="G72" s="18" t="n">
        <ns0:f>VLOOKUP(E72,'교육기준'!$B$6:$F$17,3,FALSE)</ns0:f>
        <ns0:v>205011</ns0:v>
      </ns0:c>
      <ns0:c r="H72" s="18" t="n">
        <ns0:f>'신청원본'!G72</ns0:f>
        <ns0:v>0</ns0:v>
      </ns0:c>
      <ns0:c r="I72" s="19" t="n">
        <ns0:f>'신청원본'!I72</ns0:f>
        <ns0:v>0.1</ns0:v>
      </ns0:c>
      <ns0:c r="J72" s="18" t="n">
        <ns0:f>IF(F72="승인",IF(COUNTA('신청원본'!J72)=0,ROUND(G72*H72*(1-I72),'정책'!$C$8),'신청원본'!J72),0)</ns0:f>
        <ns0:v>0</ns0:v>
      </ns0:c>
      <ns0:c r="K72" t="n">
        <ns0:f>SUMIFS('출결원본'!$D$6:$D$1445,'출결원본'!$B$6:$B$1445,B72)</ns0:f>
        <ns0:v>3</ns0:v>
      </ns0:c>
      <ns0:c r="L72" t="n">
        <ns0:f>VLOOKUP(B72,'평가원본'!$B$6:$D$485,2,FALSE)</ns0:f>
        <ns0:v>53</ns0:v>
      </ns0:c>
      <ns0:c r="M72" t="n">
        <ns0:f>VLOOKUP(B72,'평가원본'!$B$6:$D$485,3,FALSE)</ns0:f>
        <ns0:v>1</ns0:v>
      </ns0:c>
      <ns0:c r="N72" t="n">
        <ns0:f>VLOOKUP(E72,'교육기준'!$B$6:$F$17,5,FALSE)</ns0:f>
        <ns0:v>60</ns0:v>
      </ns0:c>
      <ns0:c r="O72" t="n">
        <ns0:f>IF(AND(F72="승인",K72&gt;='정책'!$C$6,M72=1,L72&gt;=N72),1,0)</ns0:f>
        <ns0:v>0</ns0:v>
      </ns0:c>
    </ns0:row>
    <ns0:row r="73">
      <ns0:c r="B73" s="17" t="str">
        <ns0:f>'신청원본'!B73</ns0:f>
        <ns0:v>APP000068</ns0:v>
      </ns0:c>
      <ns0:c r="C73" s="17" t="str">
        <ns0:f>'신청원본'!C73</ns0:f>
        <ns0:v>000068</ns0:v>
      </ns0:c>
      <ns0:c r="D73" t="str">
        <ns0:f>'신청원본'!D73</ns0:f>
        <ns0:v>생산</ns0:v>
      </ns0:c>
      <ns0:c r="E73" t="str">
        <ns0:f>'신청원본'!E73</ns0:f>
        <ns0:v>C02</ns0:v>
      </ns0:c>
      <ns0:c r="F73" t="str">
        <ns0:f>'신청원본'!H73</ns0:f>
        <ns0:v>승인</ns0:v>
      </ns0:c>
      <ns0:c r="G73" s="18" t="n">
        <ns0:f>VLOOKUP(E73,'교육기준'!$B$6:$F$17,3,FALSE)</ns0:f>
        <ns0:v>117506</ns0:v>
      </ns0:c>
      <ns0:c r="H73" s="18" t="n">
        <ns0:f>'신청원본'!G73</ns0:f>
        <ns0:v>1</ns0:v>
      </ns0:c>
      <ns0:c r="I73" s="19" t="n">
        <ns0:f>'신청원본'!I73</ns0:f>
        <ns0:v>0.125</ns0:v>
      </ns0:c>
      <ns0:c r="J73" s="18" t="n">
        <ns0:f>IF(F73="승인",IF(COUNTA('신청원본'!J73)=0,ROUND(G73*H73*(1-I73),'정책'!$C$8),'신청원본'!J73),0)</ns0:f>
        <ns0:v>102818</ns0:v>
      </ns0:c>
      <ns0:c r="K73" t="n">
        <ns0:f>SUMIFS('출결원본'!$D$6:$D$1445,'출결원본'!$B$6:$B$1445,B73)</ns0:f>
        <ns0:v>3</ns0:v>
      </ns0:c>
      <ns0:c r="L73" t="n">
        <ns0:f>VLOOKUP(B73,'평가원본'!$B$6:$D$485,2,FALSE)</ns0:f>
        <ns0:v>60</ns0:v>
      </ns0:c>
      <ns0:c r="M73" t="n">
        <ns0:f>VLOOKUP(B73,'평가원본'!$B$6:$D$485,3,FALSE)</ns0:f>
        <ns0:v>1</ns0:v>
      </ns0:c>
      <ns0:c r="N73" t="n">
        <ns0:f>VLOOKUP(E73,'교육기준'!$B$6:$F$17,5,FALSE)</ns0:f>
        <ns0:v>70</ns0:v>
      </ns0:c>
      <ns0:c r="O73" t="n">
        <ns0:f>IF(AND(F73="승인",K73&gt;='정책'!$C$6,M73=1,L73&gt;=N73),1,0)</ns0:f>
        <ns0:v>0</ns0:v>
      </ns0:c>
    </ns0:row>
    <ns0:row r="74">
      <ns0:c r="B74" s="17" t="str">
        <ns0:f>'신청원본'!B74</ns0:f>
        <ns0:v>APP000069</ns0:v>
      </ns0:c>
      <ns0:c r="C74" s="17" t="str">
        <ns0:f>'신청원본'!C74</ns0:f>
        <ns0:v>000069</ns0:v>
      </ns0:c>
      <ns0:c r="D74" t="str">
        <ns0:f>'신청원본'!D74</ns0:f>
        <ns0:v>품질</ns0:v>
      </ns0:c>
      <ns0:c r="E74" t="str">
        <ns0:f>'신청원본'!E74</ns0:f>
        <ns0:v>C09</ns0:v>
      </ns0:c>
      <ns0:c r="F74" t="str">
        <ns0:f>'신청원본'!H74</ns0:f>
        <ns0:v>승인</ns0:v>
      </ns0:c>
      <ns0:c r="G74" s="18" t="n">
        <ns0:f>VLOOKUP(E74,'교육기준'!$B$6:$F$17,3,FALSE)</ns0:f>
        <ns0:v>240013</ns0:v>
      </ns0:c>
      <ns0:c r="H74" s="18" t="n">
        <ns0:f>'신청원본'!G74</ns0:f>
        <ns0:v>2</ns0:v>
      </ns0:c>
      <ns0:c r="I74" s="19" t="n">
        <ns0:f>'신청원본'!I74</ns0:f>
        <ns0:v>0</ns0:v>
      </ns0:c>
      <ns0:c r="J74" s="18" t="n">
        <ns0:f>IF(F74="승인",IF(COUNTA('신청원본'!J74)=0,ROUND(G74*H74*(1-I74),'정책'!$C$8),'신청원본'!J74),0)</ns0:f>
        <ns0:v>480026</ns0:v>
      </ns0:c>
      <ns0:c r="K74" t="n">
        <ns0:f>SUMIFS('출결원본'!$D$6:$D$1445,'출결원본'!$B$6:$B$1445,B74)</ns0:f>
        <ns0:v>3</ns0:v>
      </ns0:c>
      <ns0:c r="L74" t="n">
        <ns0:f>VLOOKUP(B74,'평가원본'!$B$6:$D$485,2,FALSE)</ns0:f>
        <ns0:v>67</ns0:v>
      </ns0:c>
      <ns0:c r="M74" t="n">
        <ns0:f>VLOOKUP(B74,'평가원본'!$B$6:$D$485,3,FALSE)</ns0:f>
        <ns0:v>1</ns0:v>
      </ns0:c>
      <ns0:c r="N74" t="n">
        <ns0:f>VLOOKUP(E74,'교육기준'!$B$6:$F$17,5,FALSE)</ns0:f>
        <ns0:v>80</ns0:v>
      </ns0:c>
      <ns0:c r="O74" t="n">
        <ns0:f>IF(AND(F74="승인",K74&gt;='정책'!$C$6,M74=1,L74&gt;=N74),1,0)</ns0:f>
        <ns0:v>0</ns0:v>
      </ns0:c>
    </ns0:row>
    <ns0:row r="75">
      <ns0:c r="B75" s="17" t="str">
        <ns0:f>'신청원본'!B75</ns0:f>
        <ns0:v>APP000070</ns0:v>
      </ns0:c>
      <ns0:c r="C75" s="17" t="str">
        <ns0:f>'신청원본'!C75</ns0:f>
        <ns0:v>000070</ns0:v>
      </ns0:c>
      <ns0:c r="D75" t="str">
        <ns0:f>'신청원본'!D75</ns0:f>
        <ns0:v>기획</ns0:v>
      </ns0:c>
      <ns0:c r="E75" t="str">
        <ns0:f>'신청원본'!E75</ns0:f>
        <ns0:v>C04</ns0:v>
      </ns0:c>
      <ns0:c r="F75" t="str">
        <ns0:f>'신청원본'!H75</ns0:f>
        <ns0:v>승인</ns0:v>
      </ns0:c>
      <ns0:c r="G75" s="18" t="n">
        <ns0:f>VLOOKUP(E75,'교육기준'!$B$6:$F$17,3,FALSE)</ns0:f>
        <ns0:v>152508</ns0:v>
      </ns0:c>
      <ns0:c r="H75" s="18" t="n">
        <ns0:f>'신청원본'!G75</ns0:f>
        <ns0:v>3</ns0:v>
      </ns0:c>
      <ns0:c r="I75" s="19" t="n">
        <ns0:f>'신청원본'!I75</ns0:f>
        <ns0:v>0.05</ns0:v>
      </ns0:c>
      <ns0:c r="J75" s="18" t="n">
        <ns0:f>IF(F75="승인",IF(COUNTA('신청원본'!J75)=0,ROUND(G75*H75*(1-I75),'정책'!$C$8),'신청원본'!J75),0)</ns0:f>
        <ns0:v>434648</ns0:v>
      </ns0:c>
      <ns0:c r="K75" t="n">
        <ns0:f>SUMIFS('출결원본'!$D$6:$D$1445,'출결원본'!$B$6:$B$1445,B75)</ns0:f>
        <ns0:v>3</ns0:v>
      </ns0:c>
      <ns0:c r="L75" t="n">
        <ns0:f>VLOOKUP(B75,'평가원본'!$B$6:$D$485,2,FALSE)</ns0:f>
        <ns0:v>74</ns0:v>
      </ns0:c>
      <ns0:c r="M75" t="n">
        <ns0:f>VLOOKUP(B75,'평가원본'!$B$6:$D$485,3,FALSE)</ns0:f>
        <ns0:v>1</ns0:v>
      </ns0:c>
      <ns0:c r="N75" t="n">
        <ns0:f>VLOOKUP(E75,'교육기준'!$B$6:$F$17,5,FALSE)</ns0:f>
        <ns0:v>60</ns0:v>
      </ns0:c>
      <ns0:c r="O75" t="n">
        <ns0:f>IF(AND(F75="승인",K75&gt;='정책'!$C$6,M75=1,L75&gt;=N75),1,0)</ns0:f>
        <ns0:v>1</ns0:v>
      </ns0:c>
    </ns0:row>
    <ns0:row r="76">
      <ns0:c r="B76" s="17" t="str">
        <ns0:f>'신청원본'!B76</ns0:f>
        <ns0:v>APP000071</ns0:v>
      </ns0:c>
      <ns0:c r="C76" s="17" t="str">
        <ns0:f>'신청원본'!C76</ns0:f>
        <ns0:v>000071</ns0:v>
      </ns0:c>
      <ns0:c r="D76" t="str">
        <ns0:f>'신청원본'!D76</ns0:f>
        <ns0:v>영업</ns0:v>
      </ns0:c>
      <ns0:c r="E76" t="str">
        <ns0:f>'신청원본'!E76</ns0:f>
        <ns0:v>C11</ns0:v>
      </ns0:c>
      <ns0:c r="F76" t="str">
        <ns0:f>'신청원본'!H76</ns0:f>
        <ns0:v>대기</ns0:v>
      </ns0:c>
      <ns0:c r="G76" s="18" t="n">
        <ns0:f>VLOOKUP(E76,'교육기준'!$B$6:$F$17,3,FALSE)</ns0:f>
        <ns0:v>275015</ns0:v>
      </ns0:c>
      <ns0:c r="H76" s="18" t="n">
        <ns0:f>'신청원본'!G76</ns0:f>
        <ns0:v>4</ns0:v>
      </ns0:c>
      <ns0:c r="I76" s="19" t="n">
        <ns0:f>'신청원본'!I76</ns0:f>
        <ns0:v>0.1</ns0:v>
      </ns0:c>
      <ns0:c r="J76" s="18" t="n">
        <ns0:f>IF(F76="승인",IF(COUNTA('신청원본'!J76)=0,ROUND(G76*H76*(1-I76),'정책'!$C$8),'신청원본'!J76),0)</ns0:f>
        <ns0:v>0</ns0:v>
      </ns0:c>
      <ns0:c r="K76" t="n">
        <ns0:f>SUMIFS('출결원본'!$D$6:$D$1445,'출결원본'!$B$6:$B$1445,B76)</ns0:f>
        <ns0:v>3</ns0:v>
      </ns0:c>
      <ns0:c r="L76" t="n">
        <ns0:f>VLOOKUP(B76,'평가원본'!$B$6:$D$485,2,FALSE)</ns0:f>
        <ns0:v>81</ns0:v>
      </ns0:c>
      <ns0:c r="M76" t="n">
        <ns0:f>VLOOKUP(B76,'평가원본'!$B$6:$D$485,3,FALSE)</ns0:f>
        <ns0:v>1</ns0:v>
      </ns0:c>
      <ns0:c r="N76" t="n">
        <ns0:f>VLOOKUP(E76,'교육기준'!$B$6:$F$17,5,FALSE)</ns0:f>
        <ns0:v>70</ns0:v>
      </ns0:c>
      <ns0:c r="O76" t="n">
        <ns0:f>IF(AND(F76="승인",K76&gt;='정책'!$C$6,M76=1,L76&gt;=N76),1,0)</ns0:f>
        <ns0:v>0</ns0:v>
      </ns0:c>
    </ns0:row>
    <ns0:row r="77">
      <ns0:c r="B77" s="17" t="str">
        <ns0:f>'신청원본'!B77</ns0:f>
        <ns0:v>APP000072</ns0:v>
      </ns0:c>
      <ns0:c r="C77" s="17" t="str">
        <ns0:f>'신청원본'!C77</ns0:f>
        <ns0:v>000072</ns0:v>
      </ns0:c>
      <ns0:c r="D77" t="str">
        <ns0:f>'신청원본'!D77</ns0:f>
        <ns0:v>지원</ns0:v>
      </ns0:c>
      <ns0:c r="E77" t="str">
        <ns0:f>'신청원본'!E77</ns0:f>
        <ns0:v>C06</ns0:v>
      </ns0:c>
      <ns0:c r="F77" t="str">
        <ns0:f>'신청원본'!H77</ns0:f>
        <ns0:v>승인</ns0:v>
      </ns0:c>
      <ns0:c r="G77" s="18" t="n">
        <ns0:f>VLOOKUP(E77,'교육기준'!$B$6:$F$17,3,FALSE)</ns0:f>
        <ns0:v>187510</ns0:v>
      </ns0:c>
      <ns0:c r="H77" s="18" t="n">
        <ns0:f>'신청원본'!G77</ns0:f>
        <ns0:v>5</ns0:v>
      </ns0:c>
      <ns0:c r="I77" s="19" t="n">
        <ns0:f>'신청원본'!I77</ns0:f>
        <ns0:v>0.125</ns0:v>
      </ns0:c>
      <ns0:c r="J77" s="18" t="n">
        <ns0:f>IF(F77="승인",IF(COUNTA('신청원본'!J77)=0,ROUND(G77*H77*(1-I77),'정책'!$C$8),'신청원본'!J77),0)</ns0:f>
        <ns0:v>820356</ns0:v>
      </ns0:c>
      <ns0:c r="K77" t="n">
        <ns0:f>SUMIFS('출결원본'!$D$6:$D$1445,'출결원본'!$B$6:$B$1445,B77)</ns0:f>
        <ns0:v>3</ns0:v>
      </ns0:c>
      <ns0:c r="L77" t="n">
        <ns0:f>VLOOKUP(B77,'평가원본'!$B$6:$D$485,2,FALSE)</ns0:f>
        <ns0:v>88</ns0:v>
      </ns0:c>
      <ns0:c r="M77" t="n">
        <ns0:f>VLOOKUP(B77,'평가원본'!$B$6:$D$485,3,FALSE)</ns0:f>
        <ns0:v>1</ns0:v>
      </ns0:c>
      <ns0:c r="N77" t="n">
        <ns0:f>VLOOKUP(E77,'교육기준'!$B$6:$F$17,5,FALSE)</ns0:f>
        <ns0:v>80</ns0:v>
      </ns0:c>
      <ns0:c r="O77" t="n">
        <ns0:f>IF(AND(F77="승인",K77&gt;='정책'!$C$6,M77=1,L77&gt;=N77),1,0)</ns0:f>
        <ns0:v>1</ns0:v>
      </ns0:c>
    </ns0:row>
    <ns0:row r="78">
      <ns0:c r="B78" s="17" t="str">
        <ns0:f>'신청원본'!B78</ns0:f>
        <ns0:v>APP000073</ns0:v>
      </ns0:c>
      <ns0:c r="C78" s="17" t="str">
        <ns0:f>'신청원본'!C78</ns0:f>
        <ns0:v>000073</ns0:v>
      </ns0:c>
      <ns0:c r="D78" t="str">
        <ns0:f>'신청원본'!D78</ns0:f>
        <ns0:v>개발</ns0:v>
      </ns0:c>
      <ns0:c r="E78" t="str">
        <ns0:f>'신청원본'!E78</ns0:f>
        <ns0:v>C01</ns0:v>
      </ns0:c>
      <ns0:c r="F78" t="str">
        <ns0:f>'신청원본'!H78</ns0:f>
        <ns0:v>승인</ns0:v>
      </ns0:c>
      <ns0:c r="G78" s="18" t="n">
        <ns0:f>VLOOKUP(E78,'교육기준'!$B$6:$F$17,3,FALSE)</ns0:f>
        <ns0:v>100005</ns0:v>
      </ns0:c>
      <ns0:c r="H78" s="18" t="n">
        <ns0:f>'신청원본'!G78</ns0:f>
        <ns0:v>0</ns0:v>
      </ns0:c>
      <ns0:c r="I78" s="19" t="n">
        <ns0:f>'신청원본'!I78</ns0:f>
        <ns0:v>0</ns0:v>
      </ns0:c>
      <ns0:c r="J78" s="18" t="n">
        <ns0:f>IF(F78="승인",IF(COUNTA('신청원본'!J78)=0,ROUND(G78*H78*(1-I78),'정책'!$C$8),'신청원본'!J78),0)</ns0:f>
        <ns0:v>0</ns0:v>
      </ns0:c>
      <ns0:c r="K78" t="n">
        <ns0:f>SUMIFS('출결원본'!$D$6:$D$1445,'출결원본'!$B$6:$B$1445,B78)</ns0:f>
        <ns0:v>2</ns0:v>
      </ns0:c>
      <ns0:c r="L78" t="n">
        <ns0:f>VLOOKUP(B78,'평가원본'!$B$6:$D$485,2,FALSE)</ns0:f>
        <ns0:v>95</ns0:v>
      </ns0:c>
      <ns0:c r="M78" t="n">
        <ns0:f>VLOOKUP(B78,'평가원본'!$B$6:$D$485,3,FALSE)</ns0:f>
        <ns0:v>1</ns0:v>
      </ns0:c>
      <ns0:c r="N78" t="n">
        <ns0:f>VLOOKUP(E78,'교육기준'!$B$6:$F$17,5,FALSE)</ns0:f>
        <ns0:v>60</ns0:v>
      </ns0:c>
      <ns0:c r="O78" t="n">
        <ns0:f>IF(AND(F78="승인",K78&gt;='정책'!$C$6,M78=1,L78&gt;=N78),1,0)</ns0:f>
        <ns0:v>0</ns0:v>
      </ns0:c>
    </ns0:row>
    <ns0:row r="79">
      <ns0:c r="B79" s="17" t="str">
        <ns0:f>'신청원본'!B79</ns0:f>
        <ns0:v>APP000074</ns0:v>
      </ns0:c>
      <ns0:c r="C79" s="17" t="str">
        <ns0:f>'신청원본'!C79</ns0:f>
        <ns0:v>000074</ns0:v>
      </ns0:c>
      <ns0:c r="D79" t="str">
        <ns0:f>'신청원본'!D79</ns0:f>
        <ns0:v>생산</ns0:v>
      </ns0:c>
      <ns0:c r="E79" t="str">
        <ns0:f>'신청원본'!E79</ns0:f>
        <ns0:v>C08</ns0:v>
      </ns0:c>
      <ns0:c r="F79" t="str">
        <ns0:f>'신청원본'!H79</ns0:f>
        <ns0:v>승인</ns0:v>
      </ns0:c>
      <ns0:c r="G79" s="18" t="n">
        <ns0:f>VLOOKUP(E79,'교육기준'!$B$6:$F$17,3,FALSE)</ns0:f>
        <ns0:v>222512</ns0:v>
      </ns0:c>
      <ns0:c r="H79" s="18" t="n">
        <ns0:f>'신청원본'!G79</ns0:f>
        <ns0:v>1</ns0:v>
      </ns0:c>
      <ns0:c r="I79" s="19" t="n">
        <ns0:f>'신청원본'!I79</ns0:f>
        <ns0:v>0.05</ns0:v>
      </ns0:c>
      <ns0:c r="J79" s="18" t="n">
        <ns0:f>IF(F79="승인",IF(COUNTA('신청원본'!J79)=0,ROUND(G79*H79*(1-I79),'정책'!$C$8),'신청원본'!J79),0)</ns0:f>
        <ns0:v>211386</ns0:v>
      </ns0:c>
      <ns0:c r="K79" t="n">
        <ns0:f>SUMIFS('출결원본'!$D$6:$D$1445,'출결원본'!$B$6:$B$1445,B79)</ns0:f>
        <ns0:v>3</ns0:v>
      </ns0:c>
      <ns0:c r="L79" t="n">
        <ns0:f>VLOOKUP(B79,'평가원본'!$B$6:$D$485,2,FALSE)</ns0:f>
        <ns0:v>51</ns0:v>
      </ns0:c>
      <ns0:c r="M79" t="n">
        <ns0:f>VLOOKUP(B79,'평가원본'!$B$6:$D$485,3,FALSE)</ns0:f>
        <ns0:v>1</ns0:v>
      </ns0:c>
      <ns0:c r="N79" t="n">
        <ns0:f>VLOOKUP(E79,'교육기준'!$B$6:$F$17,5,FALSE)</ns0:f>
        <ns0:v>70</ns0:v>
      </ns0:c>
      <ns0:c r="O79" t="n">
        <ns0:f>IF(AND(F79="승인",K79&gt;='정책'!$C$6,M79=1,L79&gt;=N79),1,0)</ns0:f>
        <ns0:v>0</ns0:v>
      </ns0:c>
    </ns0:row>
    <ns0:row r="80">
      <ns0:c r="B80" s="17" t="str">
        <ns0:f>'신청원본'!B80</ns0:f>
        <ns0:v>APP000075</ns0:v>
      </ns0:c>
      <ns0:c r="C80" s="17" t="str">
        <ns0:f>'신청원본'!C80</ns0:f>
        <ns0:v>000075</ns0:v>
      </ns0:c>
      <ns0:c r="D80" t="str">
        <ns0:f>'신청원본'!D80</ns0:f>
        <ns0:v>품질</ns0:v>
      </ns0:c>
      <ns0:c r="E80" t="str">
        <ns0:f>'신청원본'!E80</ns0:f>
        <ns0:v>C03</ns0:v>
      </ns0:c>
      <ns0:c r="F80" t="str">
        <ns0:f>'신청원본'!H80</ns0:f>
        <ns0:v>승인</ns0:v>
      </ns0:c>
      <ns0:c r="G80" s="18" t="n">
        <ns0:f>VLOOKUP(E80,'교육기준'!$B$6:$F$17,3,FALSE)</ns0:f>
        <ns0:v>135007</ns0:v>
      </ns0:c>
      <ns0:c r="H80" s="18" t="n">
        <ns0:f>'신청원본'!G80</ns0:f>
        <ns0:v>2</ns0:v>
      </ns0:c>
      <ns0:c r="I80" s="19" t="n">
        <ns0:f>'신청원본'!I80</ns0:f>
        <ns0:v>0.1</ns0:v>
      </ns0:c>
      <ns0:c r="J80" s="18" t="n">
        <ns0:f>IF(F80="승인",IF(COUNTA('신청원본'!J80)=0,ROUND(G80*H80*(1-I80),'정책'!$C$8),'신청원본'!J80),0)</ns0:f>
        <ns0:v>243013</ns0:v>
      </ns0:c>
      <ns0:c r="K80" t="n">
        <ns0:f>SUMIFS('출결원본'!$D$6:$D$1445,'출결원본'!$B$6:$B$1445,B80)</ns0:f>
        <ns0:v>3</ns0:v>
      </ns0:c>
      <ns0:c r="L80" t="n">
        <ns0:f>VLOOKUP(B80,'평가원본'!$B$6:$D$485,2,FALSE)</ns0:f>
        <ns0:v>58</ns0:v>
      </ns0:c>
      <ns0:c r="M80" t="n">
        <ns0:f>VLOOKUP(B80,'평가원본'!$B$6:$D$485,3,FALSE)</ns0:f>
        <ns0:v>1</ns0:v>
      </ns0:c>
      <ns0:c r="N80" t="n">
        <ns0:f>VLOOKUP(E80,'교육기준'!$B$6:$F$17,5,FALSE)</ns0:f>
        <ns0:v>80</ns0:v>
      </ns0:c>
      <ns0:c r="O80" t="n">
        <ns0:f>IF(AND(F80="승인",K80&gt;='정책'!$C$6,M80=1,L80&gt;=N80),1,0)</ns0:f>
        <ns0:v>0</ns0:v>
      </ns0:c>
    </ns0:row>
    <ns0:row r="81">
      <ns0:c r="B81" s="17" t="str">
        <ns0:f>'신청원본'!B81</ns0:f>
        <ns0:v>APP000076</ns0:v>
      </ns0:c>
      <ns0:c r="C81" s="17" t="str">
        <ns0:f>'신청원본'!C81</ns0:f>
        <ns0:v>000076</ns0:v>
      </ns0:c>
      <ns0:c r="D81" t="str">
        <ns0:f>'신청원본'!D81</ns0:f>
        <ns0:v>기획</ns0:v>
      </ns0:c>
      <ns0:c r="E81" t="str">
        <ns0:f>'신청원본'!E81</ns0:f>
        <ns0:v>C10</ns0:v>
      </ns0:c>
      <ns0:c r="F81" t="str">
        <ns0:f>'신청원본'!H81</ns0:f>
        <ns0:v>승인</ns0:v>
      </ns0:c>
      <ns0:c r="G81" s="18" t="n">
        <ns0:f>VLOOKUP(E81,'교육기준'!$B$6:$F$17,3,FALSE)</ns0:f>
        <ns0:v>257514</ns0:v>
      </ns0:c>
      <ns0:c r="H81" s="18" t="n">
        <ns0:f>'신청원본'!G81</ns0:f>
        <ns0:v>3</ns0:v>
      </ns0:c>
      <ns0:c r="I81" s="19" t="n">
        <ns0:f>'신청원본'!I81</ns0:f>
        <ns0:v>0.125</ns0:v>
      </ns0:c>
      <ns0:c r="J81" s="18" t="n">
        <ns0:f>IF(F81="승인",IF(COUNTA('신청원본'!J81)=0,ROUND(G81*H81*(1-I81),'정책'!$C$8),'신청원본'!J81),0)</ns0:f>
        <ns0:v>675974</ns0:v>
      </ns0:c>
      <ns0:c r="K81" t="n">
        <ns0:f>SUMIFS('출결원본'!$D$6:$D$1445,'출결원본'!$B$6:$B$1445,B81)</ns0:f>
        <ns0:v>3</ns0:v>
      </ns0:c>
      <ns0:c r="L81" t="n">
        <ns0:f>VLOOKUP(B81,'평가원본'!$B$6:$D$485,2,FALSE)</ns0:f>
        <ns0:v>65</ns0:v>
      </ns0:c>
      <ns0:c r="M81" t="n">
        <ns0:f>VLOOKUP(B81,'평가원본'!$B$6:$D$485,3,FALSE)</ns0:f>
        <ns0:v>1</ns0:v>
      </ns0:c>
      <ns0:c r="N81" t="n">
        <ns0:f>VLOOKUP(E81,'교육기준'!$B$6:$F$17,5,FALSE)</ns0:f>
        <ns0:v>60</ns0:v>
      </ns0:c>
      <ns0:c r="O81" t="n">
        <ns0:f>IF(AND(F81="승인",K81&gt;='정책'!$C$6,M81=1,L81&gt;=N81),1,0)</ns0:f>
        <ns0:v>1</ns0:v>
      </ns0:c>
    </ns0:row>
    <ns0:row r="82">
      <ns0:c r="B82" s="17" t="str">
        <ns0:f>'신청원본'!B82</ns0:f>
        <ns0:v>APP000077</ns0:v>
      </ns0:c>
      <ns0:c r="C82" s="17" t="str">
        <ns0:f>'신청원본'!C82</ns0:f>
        <ns0:v>000077</ns0:v>
      </ns0:c>
      <ns0:c r="D82" t="str">
        <ns0:f>'신청원본'!D82</ns0:f>
        <ns0:v>영업</ns0:v>
      </ns0:c>
      <ns0:c r="E82" t="str">
        <ns0:f>'신청원본'!E82</ns0:f>
        <ns0:v>C05</ns0:v>
      </ns0:c>
      <ns0:c r="F82" t="str">
        <ns0:f>'신청원본'!H82</ns0:f>
        <ns0:v>승인</ns0:v>
      </ns0:c>
      <ns0:c r="G82" s="18" t="n">
        <ns0:f>VLOOKUP(E82,'교육기준'!$B$6:$F$17,3,FALSE)</ns0:f>
        <ns0:v>170009</ns0:v>
      </ns0:c>
      <ns0:c r="H82" s="18" t="n">
        <ns0:f>'신청원본'!G82</ns0:f>
        <ns0:v>4</ns0:v>
      </ns0:c>
      <ns0:c r="I82" s="19" t="n">
        <ns0:f>'신청원본'!I82</ns0:f>
        <ns0:v>0</ns0:v>
      </ns0:c>
      <ns0:c r="J82" s="18" t="n">
        <ns0:f>IF(F82="승인",IF(COUNTA('신청원본'!J82)=0,ROUND(G82*H82*(1-I82),'정책'!$C$8),'신청원본'!J82),0)</ns0:f>
        <ns0:v>680036</ns0:v>
      </ns0:c>
      <ns0:c r="K82" t="n">
        <ns0:f>SUMIFS('출결원본'!$D$6:$D$1445,'출결원본'!$B$6:$B$1445,B82)</ns0:f>
        <ns0:v>3</ns0:v>
      </ns0:c>
      <ns0:c r="L82" t="n">
        <ns0:f>VLOOKUP(B82,'평가원본'!$B$6:$D$485,2,FALSE)</ns0:f>
        <ns0:v>72</ns0:v>
      </ns0:c>
      <ns0:c r="M82" t="n">
        <ns0:f>VLOOKUP(B82,'평가원본'!$B$6:$D$485,3,FALSE)</ns0:f>
        <ns0:v>0</ns0:v>
      </ns0:c>
      <ns0:c r="N82" t="n">
        <ns0:f>VLOOKUP(E82,'교육기준'!$B$6:$F$17,5,FALSE)</ns0:f>
        <ns0:v>70</ns0:v>
      </ns0:c>
      <ns0:c r="O82" t="n">
        <ns0:f>IF(AND(F82="승인",K82&gt;='정책'!$C$6,M82=1,L82&gt;=N82),1,0)</ns0:f>
        <ns0:v>0</ns0:v>
      </ns0:c>
    </ns0:row>
    <ns0:row r="83">
      <ns0:c r="B83" s="17" t="str">
        <ns0:f>'신청원본'!B83</ns0:f>
        <ns0:v>APP000078</ns0:v>
      </ns0:c>
      <ns0:c r="C83" s="17" t="str">
        <ns0:f>'신청원본'!C83</ns0:f>
        <ns0:v>000078</ns0:v>
      </ns0:c>
      <ns0:c r="D83" t="str">
        <ns0:f>'신청원본'!D83</ns0:f>
        <ns0:v>지원</ns0:v>
      </ns0:c>
      <ns0:c r="E83" t="str">
        <ns0:f>'신청원본'!E83</ns0:f>
        <ns0:v>C12</ns0:v>
      </ns0:c>
      <ns0:c r="F83" t="str">
        <ns0:f>'신청원본'!H83</ns0:f>
        <ns0:v>취소</ns0:v>
      </ns0:c>
      <ns0:c r="G83" s="18" t="n">
        <ns0:f>VLOOKUP(E83,'교육기준'!$B$6:$F$17,3,FALSE)</ns0:f>
        <ns0:v>292516</ns0:v>
      </ns0:c>
      <ns0:c r="H83" s="18" t="n">
        <ns0:f>'신청원본'!G83</ns0:f>
        <ns0:v>5</ns0:v>
      </ns0:c>
      <ns0:c r="I83" s="19" t="n">
        <ns0:f>'신청원본'!I83</ns0:f>
        <ns0:v>0.05</ns0:v>
      </ns0:c>
      <ns0:c r="J83" s="18" t="n">
        <ns0:f>IF(F83="승인",IF(COUNTA('신청원본'!J83)=0,ROUND(G83*H83*(1-I83),'정책'!$C$8),'신청원본'!J83),0)</ns0:f>
        <ns0:v>0</ns0:v>
      </ns0:c>
      <ns0:c r="K83" t="n">
        <ns0:f>SUMIFS('출결원본'!$D$6:$D$1445,'출결원본'!$B$6:$B$1445,B83)</ns0:f>
        <ns0:v>3</ns0:v>
      </ns0:c>
      <ns0:c r="L83" t="n">
        <ns0:f>VLOOKUP(B83,'평가원본'!$B$6:$D$485,2,FALSE)</ns0:f>
        <ns0:v>79</ns0:v>
      </ns0:c>
      <ns0:c r="M83" t="n">
        <ns0:f>VLOOKUP(B83,'평가원본'!$B$6:$D$485,3,FALSE)</ns0:f>
        <ns0:v>1</ns0:v>
      </ns0:c>
      <ns0:c r="N83" t="n">
        <ns0:f>VLOOKUP(E83,'교육기준'!$B$6:$F$17,5,FALSE)</ns0:f>
        <ns0:v>80</ns0:v>
      </ns0:c>
      <ns0:c r="O83" t="n">
        <ns0:f>IF(AND(F83="승인",K83&gt;='정책'!$C$6,M83=1,L83&gt;=N83),1,0)</ns0:f>
        <ns0:v>0</ns0:v>
      </ns0:c>
    </ns0:row>
    <ns0:row r="84">
      <ns0:c r="B84" s="17" t="str">
        <ns0:f>'신청원본'!B84</ns0:f>
        <ns0:v>APP000079</ns0:v>
      </ns0:c>
      <ns0:c r="C84" s="17" t="str">
        <ns0:f>'신청원본'!C84</ns0:f>
        <ns0:v>000079</ns0:v>
      </ns0:c>
      <ns0:c r="D84" t="str">
        <ns0:f>'신청원본'!D84</ns0:f>
        <ns0:v>개발</ns0:v>
      </ns0:c>
      <ns0:c r="E84" t="str">
        <ns0:f>'신청원본'!E84</ns0:f>
        <ns0:v>C07</ns0:v>
      </ns0:c>
      <ns0:c r="F84" t="str">
        <ns0:f>'신청원본'!H84</ns0:f>
        <ns0:v>승인</ns0:v>
      </ns0:c>
      <ns0:c r="G84" s="18" t="n">
        <ns0:f>VLOOKUP(E84,'교육기준'!$B$6:$F$17,3,FALSE)</ns0:f>
        <ns0:v>205011</ns0:v>
      </ns0:c>
      <ns0:c r="H84" s="18" t="n">
        <ns0:f>'신청원본'!G84</ns0:f>
        <ns0:v>0</ns0:v>
      </ns0:c>
      <ns0:c r="I84" s="19" t="n">
        <ns0:f>'신청원본'!I84</ns0:f>
        <ns0:v>0.1</ns0:v>
      </ns0:c>
      <ns0:c r="J84" s="18" t="n">
        <ns0:f>IF(F84="승인",IF(COUNTA('신청원본'!J84)=0,ROUND(G84*H84*(1-I84),'정책'!$C$8),'신청원본'!J84),0)</ns0:f>
        <ns0:v>0</ns0:v>
      </ns0:c>
      <ns0:c r="K84" t="n">
        <ns0:f>SUMIFS('출결원본'!$D$6:$D$1445,'출결원본'!$B$6:$B$1445,B84)</ns0:f>
        <ns0:v>2</ns0:v>
      </ns0:c>
      <ns0:c r="L84" t="n">
        <ns0:f>VLOOKUP(B84,'평가원본'!$B$6:$D$485,2,FALSE)</ns0:f>
        <ns0:v>86</ns0:v>
      </ns0:c>
      <ns0:c r="M84" t="n">
        <ns0:f>VLOOKUP(B84,'평가원본'!$B$6:$D$485,3,FALSE)</ns0:f>
        <ns0:v>1</ns0:v>
      </ns0:c>
      <ns0:c r="N84" t="n">
        <ns0:f>VLOOKUP(E84,'교육기준'!$B$6:$F$17,5,FALSE)</ns0:f>
        <ns0:v>60</ns0:v>
      </ns0:c>
      <ns0:c r="O84" t="n">
        <ns0:f>IF(AND(F84="승인",K84&gt;='정책'!$C$6,M84=1,L84&gt;=N84),1,0)</ns0:f>
        <ns0:v>0</ns0:v>
      </ns0:c>
    </ns0:row>
    <ns0:row r="85">
      <ns0:c r="B85" s="17" t="str">
        <ns0:f>'신청원본'!B85</ns0:f>
        <ns0:v>APP000080</ns0:v>
      </ns0:c>
      <ns0:c r="C85" s="17" t="str">
        <ns0:f>'신청원본'!C85</ns0:f>
        <ns0:v>000080</ns0:v>
      </ns0:c>
      <ns0:c r="D85" t="str">
        <ns0:f>'신청원본'!D85</ns0:f>
        <ns0:v>생산</ns0:v>
      </ns0:c>
      <ns0:c r="E85" t="str">
        <ns0:f>'신청원본'!E85</ns0:f>
        <ns0:v>C02</ns0:v>
      </ns0:c>
      <ns0:c r="F85" t="str">
        <ns0:f>'신청원본'!H85</ns0:f>
        <ns0:v>승인</ns0:v>
      </ns0:c>
      <ns0:c r="G85" s="18" t="n">
        <ns0:f>VLOOKUP(E85,'교육기준'!$B$6:$F$17,3,FALSE)</ns0:f>
        <ns0:v>117506</ns0:v>
      </ns0:c>
      <ns0:c r="H85" s="18" t="n">
        <ns0:f>'신청원본'!G85</ns0:f>
        <ns0:v>1</ns0:v>
      </ns0:c>
      <ns0:c r="I85" s="19" t="n">
        <ns0:f>'신청원본'!I85</ns0:f>
        <ns0:v>0.125</ns0:v>
      </ns0:c>
      <ns0:c r="J85" s="18" t="n">
        <ns0:f>IF(F85="승인",IF(COUNTA('신청원본'!J85)=0,ROUND(G85*H85*(1-I85),'정책'!$C$8),'신청원본'!J85),0)</ns0:f>
        <ns0:v>12345</ns0:v>
      </ns0:c>
      <ns0:c r="K85" t="n">
        <ns0:f>SUMIFS('출결원본'!$D$6:$D$1445,'출결원본'!$B$6:$B$1445,B85)</ns0:f>
        <ns0:v>3</ns0:v>
      </ns0:c>
      <ns0:c r="L85" t="n">
        <ns0:f>VLOOKUP(B85,'평가원본'!$B$6:$D$485,2,FALSE)</ns0:f>
        <ns0:v>93</ns0:v>
      </ns0:c>
      <ns0:c r="M85" t="n">
        <ns0:f>VLOOKUP(B85,'평가원본'!$B$6:$D$485,3,FALSE)</ns0:f>
        <ns0:v>1</ns0:v>
      </ns0:c>
      <ns0:c r="N85" t="n">
        <ns0:f>VLOOKUP(E85,'교육기준'!$B$6:$F$17,5,FALSE)</ns0:f>
        <ns0:v>70</ns0:v>
      </ns0:c>
      <ns0:c r="O85" t="n">
        <ns0:f>IF(AND(F85="승인",K85&gt;='정책'!$C$6,M85=1,L85&gt;=N85),1,0)</ns0:f>
        <ns0:v>1</ns0:v>
      </ns0:c>
    </ns0:row>
    <ns0:row r="86">
      <ns0:c r="B86" s="17" t="str">
        <ns0:f>'신청원본'!B86</ns0:f>
        <ns0:v>APP000081</ns0:v>
      </ns0:c>
      <ns0:c r="C86" s="17" t="str">
        <ns0:f>'신청원본'!C86</ns0:f>
        <ns0:v>000081</ns0:v>
      </ns0:c>
      <ns0:c r="D86" t="str">
        <ns0:f>'신청원본'!D86</ns0:f>
        <ns0:v>품질</ns0:v>
      </ns0:c>
      <ns0:c r="E86" t="str">
        <ns0:f>'신청원본'!E86</ns0:f>
        <ns0:v>C09</ns0:v>
      </ns0:c>
      <ns0:c r="F86" t="str">
        <ns0:f>'신청원본'!H86</ns0:f>
        <ns0:v>승인</ns0:v>
      </ns0:c>
      <ns0:c r="G86" s="18" t="n">
        <ns0:f>VLOOKUP(E86,'교육기준'!$B$6:$F$17,3,FALSE)</ns0:f>
        <ns0:v>240013</ns0:v>
      </ns0:c>
      <ns0:c r="H86" s="18" t="n">
        <ns0:f>'신청원본'!G86</ns0:f>
        <ns0:v>2</ns0:v>
      </ns0:c>
      <ns0:c r="I86" s="19" t="n">
        <ns0:f>'신청원본'!I86</ns0:f>
        <ns0:v>0</ns0:v>
      </ns0:c>
      <ns0:c r="J86" s="18" t="n">
        <ns0:f>IF(F86="승인",IF(COUNTA('신청원본'!J86)=0,ROUND(G86*H86*(1-I86),'정책'!$C$8),'신청원본'!J86),0)</ns0:f>
        <ns0:v>480026</ns0:v>
      </ns0:c>
      <ns0:c r="K86" t="n">
        <ns0:f>SUMIFS('출결원본'!$D$6:$D$1445,'출결원본'!$B$6:$B$1445,B86)</ns0:f>
        <ns0:v>3</ns0:v>
      </ns0:c>
      <ns0:c r="L86" t="n">
        <ns0:f>VLOOKUP(B86,'평가원본'!$B$6:$D$485,2,FALSE)</ns0:f>
        <ns0:v>100</ns0:v>
      </ns0:c>
      <ns0:c r="M86" t="n">
        <ns0:f>VLOOKUP(B86,'평가원본'!$B$6:$D$485,3,FALSE)</ns0:f>
        <ns0:v>1</ns0:v>
      </ns0:c>
      <ns0:c r="N86" t="n">
        <ns0:f>VLOOKUP(E86,'교육기준'!$B$6:$F$17,5,FALSE)</ns0:f>
        <ns0:v>80</ns0:v>
      </ns0:c>
      <ns0:c r="O86" t="n">
        <ns0:f>IF(AND(F86="승인",K86&gt;='정책'!$C$6,M86=1,L86&gt;=N86),1,0)</ns0:f>
        <ns0:v>1</ns0:v>
      </ns0:c>
    </ns0:row>
    <ns0:row r="87">
      <ns0:c r="B87" s="17" t="str">
        <ns0:f>'신청원본'!B87</ns0:f>
        <ns0:v>APP000082</ns0:v>
      </ns0:c>
      <ns0:c r="C87" s="17" t="str">
        <ns0:f>'신청원본'!C87</ns0:f>
        <ns0:v>000082</ns0:v>
      </ns0:c>
      <ns0:c r="D87" t="str">
        <ns0:f>'신청원본'!D87</ns0:f>
        <ns0:v>기획</ns0:v>
      </ns0:c>
      <ns0:c r="E87" t="str">
        <ns0:f>'신청원본'!E87</ns0:f>
        <ns0:v>C04</ns0:v>
      </ns0:c>
      <ns0:c r="F87" t="str">
        <ns0:f>'신청원본'!H87</ns0:f>
        <ns0:v>승인</ns0:v>
      </ns0:c>
      <ns0:c r="G87" s="18" t="n">
        <ns0:f>VLOOKUP(E87,'교육기준'!$B$6:$F$17,3,FALSE)</ns0:f>
        <ns0:v>152508</ns0:v>
      </ns0:c>
      <ns0:c r="H87" s="18" t="n">
        <ns0:f>'신청원본'!G87</ns0:f>
        <ns0:v>3</ns0:v>
      </ns0:c>
      <ns0:c r="I87" s="19" t="n">
        <ns0:f>'신청원본'!I87</ns0:f>
        <ns0:v>0.05</ns0:v>
      </ns0:c>
      <ns0:c r="J87" s="18" t="n">
        <ns0:f>IF(F87="승인",IF(COUNTA('신청원본'!J87)=0,ROUND(G87*H87*(1-I87),'정책'!$C$8),'신청원본'!J87),0)</ns0:f>
        <ns0:v>434648</ns0:v>
      </ns0:c>
      <ns0:c r="K87" t="n">
        <ns0:f>SUMIFS('출결원본'!$D$6:$D$1445,'출결원본'!$B$6:$B$1445,B87)</ns0:f>
        <ns0:v>2</ns0:v>
      </ns0:c>
      <ns0:c r="L87" t="n">
        <ns0:f>VLOOKUP(B87,'평가원본'!$B$6:$D$485,2,FALSE)</ns0:f>
        <ns0:v>56</ns0:v>
      </ns0:c>
      <ns0:c r="M87" t="n">
        <ns0:f>VLOOKUP(B87,'평가원본'!$B$6:$D$485,3,FALSE)</ns0:f>
        <ns0:v>1</ns0:v>
      </ns0:c>
      <ns0:c r="N87" t="n">
        <ns0:f>VLOOKUP(E87,'교육기준'!$B$6:$F$17,5,FALSE)</ns0:f>
        <ns0:v>60</ns0:v>
      </ns0:c>
      <ns0:c r="O87" t="n">
        <ns0:f>IF(AND(F87="승인",K87&gt;='정책'!$C$6,M87=1,L87&gt;=N87),1,0)</ns0:f>
        <ns0:v>0</ns0:v>
      </ns0:c>
    </ns0:row>
    <ns0:row r="88">
      <ns0:c r="B88" s="17" t="str">
        <ns0:f>'신청원본'!B88</ns0:f>
        <ns0:v>APP000083</ns0:v>
      </ns0:c>
      <ns0:c r="C88" s="17" t="str">
        <ns0:f>'신청원본'!C88</ns0:f>
        <ns0:v>000083</ns0:v>
      </ns0:c>
      <ns0:c r="D88" t="str">
        <ns0:f>'신청원본'!D88</ns0:f>
        <ns0:v>영업</ns0:v>
      </ns0:c>
      <ns0:c r="E88" t="str">
        <ns0:f>'신청원본'!E88</ns0:f>
        <ns0:v>C11</ns0:v>
      </ns0:c>
      <ns0:c r="F88" t="str">
        <ns0:f>'신청원본'!H88</ns0:f>
        <ns0:v>승인</ns0:v>
      </ns0:c>
      <ns0:c r="G88" s="18" t="n">
        <ns0:f>VLOOKUP(E88,'교육기준'!$B$6:$F$17,3,FALSE)</ns0:f>
        <ns0:v>275015</ns0:v>
      </ns0:c>
      <ns0:c r="H88" s="18" t="n">
        <ns0:f>'신청원본'!G88</ns0:f>
        <ns0:v>4</ns0:v>
      </ns0:c>
      <ns0:c r="I88" s="19" t="n">
        <ns0:f>'신청원본'!I88</ns0:f>
        <ns0:v>0.1</ns0:v>
      </ns0:c>
      <ns0:c r="J88" s="18" t="n">
        <ns0:f>IF(F88="승인",IF(COUNTA('신청원본'!J88)=0,ROUND(G88*H88*(1-I88),'정책'!$C$8),'신청원본'!J88),0)</ns0:f>
        <ns0:v>990054</ns0:v>
      </ns0:c>
      <ns0:c r="K88" t="n">
        <ns0:f>SUMIFS('출결원본'!$D$6:$D$1445,'출결원본'!$B$6:$B$1445,B88)</ns0:f>
        <ns0:v>3</ns0:v>
      </ns0:c>
      <ns0:c r="L88" t="n">
        <ns0:f>VLOOKUP(B88,'평가원본'!$B$6:$D$485,2,FALSE)</ns0:f>
        <ns0:v>63</ns0:v>
      </ns0:c>
      <ns0:c r="M88" t="n">
        <ns0:f>VLOOKUP(B88,'평가원본'!$B$6:$D$485,3,FALSE)</ns0:f>
        <ns0:v>1</ns0:v>
      </ns0:c>
      <ns0:c r="N88" t="n">
        <ns0:f>VLOOKUP(E88,'교육기준'!$B$6:$F$17,5,FALSE)</ns0:f>
        <ns0:v>70</ns0:v>
      </ns0:c>
      <ns0:c r="O88" t="n">
        <ns0:f>IF(AND(F88="승인",K88&gt;='정책'!$C$6,M88=1,L88&gt;=N88),1,0)</ns0:f>
        <ns0:v>0</ns0:v>
      </ns0:c>
    </ns0:row>
    <ns0:row r="89">
      <ns0:c r="B89" s="17" t="str">
        <ns0:f>'신청원본'!B89</ns0:f>
        <ns0:v>APP000084</ns0:v>
      </ns0:c>
      <ns0:c r="C89" s="17" t="str">
        <ns0:f>'신청원본'!C89</ns0:f>
        <ns0:v>000084</ns0:v>
      </ns0:c>
      <ns0:c r="D89" t="str">
        <ns0:f>'신청원본'!D89</ns0:f>
        <ns0:v>지원</ns0:v>
      </ns0:c>
      <ns0:c r="E89" t="str">
        <ns0:f>'신청원본'!E89</ns0:f>
        <ns0:v>C06</ns0:v>
      </ns0:c>
      <ns0:c r="F89" t="str">
        <ns0:f>'신청원본'!H89</ns0:f>
        <ns0:v>승인</ns0:v>
      </ns0:c>
      <ns0:c r="G89" s="18" t="n">
        <ns0:f>VLOOKUP(E89,'교육기준'!$B$6:$F$17,3,FALSE)</ns0:f>
        <ns0:v>187510</ns0:v>
      </ns0:c>
      <ns0:c r="H89" s="18" t="n">
        <ns0:f>'신청원본'!G89</ns0:f>
        <ns0:v>5</ns0:v>
      </ns0:c>
      <ns0:c r="I89" s="19" t="n">
        <ns0:f>'신청원본'!I89</ns0:f>
        <ns0:v>0.125</ns0:v>
      </ns0:c>
      <ns0:c r="J89" s="18" t="n">
        <ns0:f>IF(F89="승인",IF(COUNTA('신청원본'!J89)=0,ROUND(G89*H89*(1-I89),'정책'!$C$8),'신청원본'!J89),0)</ns0:f>
        <ns0:v>820356</ns0:v>
      </ns0:c>
      <ns0:c r="K89" t="n">
        <ns0:f>SUMIFS('출결원본'!$D$6:$D$1445,'출결원본'!$B$6:$B$1445,B89)</ns0:f>
        <ns0:v>3</ns0:v>
      </ns0:c>
      <ns0:c r="L89" t="n">
        <ns0:f>VLOOKUP(B89,'평가원본'!$B$6:$D$485,2,FALSE)</ns0:f>
        <ns0:v>70</ns0:v>
      </ns0:c>
      <ns0:c r="M89" t="n">
        <ns0:f>VLOOKUP(B89,'평가원본'!$B$6:$D$485,3,FALSE)</ns0:f>
        <ns0:v>1</ns0:v>
      </ns0:c>
      <ns0:c r="N89" t="n">
        <ns0:f>VLOOKUP(E89,'교육기준'!$B$6:$F$17,5,FALSE)</ns0:f>
        <ns0:v>80</ns0:v>
      </ns0:c>
      <ns0:c r="O89" t="n">
        <ns0:f>IF(AND(F89="승인",K89&gt;='정책'!$C$6,M89=1,L89&gt;=N89),1,0)</ns0:f>
        <ns0:v>0</ns0:v>
      </ns0:c>
    </ns0:row>
    <ns0:row r="90">
      <ns0:c r="B90" s="17" t="str">
        <ns0:f>'신청원본'!B90</ns0:f>
        <ns0:v>APP000085</ns0:v>
      </ns0:c>
      <ns0:c r="C90" s="17" t="str">
        <ns0:f>'신청원본'!C90</ns0:f>
        <ns0:v>000085</ns0:v>
      </ns0:c>
      <ns0:c r="D90" t="str">
        <ns0:f>'신청원본'!D90</ns0:f>
        <ns0:v>개발</ns0:v>
      </ns0:c>
      <ns0:c r="E90" t="str">
        <ns0:f>'신청원본'!E90</ns0:f>
        <ns0:v>C01</ns0:v>
      </ns0:c>
      <ns0:c r="F90" t="str">
        <ns0:f>'신청원본'!H90</ns0:f>
        <ns0:v>대기</ns0:v>
      </ns0:c>
      <ns0:c r="G90" s="18" t="n">
        <ns0:f>VLOOKUP(E90,'교육기준'!$B$6:$F$17,3,FALSE)</ns0:f>
        <ns0:v>100005</ns0:v>
      </ns0:c>
      <ns0:c r="H90" s="18" t="n">
        <ns0:f>'신청원본'!G90</ns0:f>
        <ns0:v>0</ns0:v>
      </ns0:c>
      <ns0:c r="I90" s="19" t="n">
        <ns0:f>'신청원본'!I90</ns0:f>
        <ns0:v>0</ns0:v>
      </ns0:c>
      <ns0:c r="J90" s="18" t="n">
        <ns0:f>IF(F90="승인",IF(COUNTA('신청원본'!J90)=0,ROUND(G90*H90*(1-I90),'정책'!$C$8),'신청원본'!J90),0)</ns0:f>
        <ns0:v>0</ns0:v>
      </ns0:c>
      <ns0:c r="K90" t="n">
        <ns0:f>SUMIFS('출결원본'!$D$6:$D$1445,'출결원본'!$B$6:$B$1445,B90)</ns0:f>
        <ns0:v>3</ns0:v>
      </ns0:c>
      <ns0:c r="L90" t="n">
        <ns0:f>VLOOKUP(B90,'평가원본'!$B$6:$D$485,2,FALSE)</ns0:f>
        <ns0:v>77</ns0:v>
      </ns0:c>
      <ns0:c r="M90" t="n">
        <ns0:f>VLOOKUP(B90,'평가원본'!$B$6:$D$485,3,FALSE)</ns0:f>
        <ns0:v>1</ns0:v>
      </ns0:c>
      <ns0:c r="N90" t="n">
        <ns0:f>VLOOKUP(E90,'교육기준'!$B$6:$F$17,5,FALSE)</ns0:f>
        <ns0:v>60</ns0:v>
      </ns0:c>
      <ns0:c r="O90" t="n">
        <ns0:f>IF(AND(F90="승인",K90&gt;='정책'!$C$6,M90=1,L90&gt;=N90),1,0)</ns0:f>
        <ns0:v>0</ns0:v>
      </ns0:c>
    </ns0:row>
    <ns0:row r="91">
      <ns0:c r="B91" s="17" t="str">
        <ns0:f>'신청원본'!B91</ns0:f>
        <ns0:v>APP000086</ns0:v>
      </ns0:c>
      <ns0:c r="C91" s="17" t="str">
        <ns0:f>'신청원본'!C91</ns0:f>
        <ns0:v>000086</ns0:v>
      </ns0:c>
      <ns0:c r="D91" t="str">
        <ns0:f>'신청원본'!D91</ns0:f>
        <ns0:v>생산</ns0:v>
      </ns0:c>
      <ns0:c r="E91" t="str">
        <ns0:f>'신청원본'!E91</ns0:f>
        <ns0:v>C08</ns0:v>
      </ns0:c>
      <ns0:c r="F91" t="str">
        <ns0:f>'신청원본'!H91</ns0:f>
        <ns0:v>승인</ns0:v>
      </ns0:c>
      <ns0:c r="G91" s="18" t="n">
        <ns0:f>VLOOKUP(E91,'교육기준'!$B$6:$F$17,3,FALSE)</ns0:f>
        <ns0:v>222512</ns0:v>
      </ns0:c>
      <ns0:c r="H91" s="18" t="n">
        <ns0:f>'신청원본'!G91</ns0:f>
        <ns0:v>1</ns0:v>
      </ns0:c>
      <ns0:c r="I91" s="19" t="n">
        <ns0:f>'신청원본'!I91</ns0:f>
        <ns0:v>0.05</ns0:v>
      </ns0:c>
      <ns0:c r="J91" s="18" t="n">
        <ns0:f>IF(F91="승인",IF(COUNTA('신청원본'!J91)=0,ROUND(G91*H91*(1-I91),'정책'!$C$8),'신청원본'!J91),0)</ns0:f>
        <ns0:v>211386</ns0:v>
      </ns0:c>
      <ns0:c r="K91" t="n">
        <ns0:f>SUMIFS('출결원본'!$D$6:$D$1445,'출결원본'!$B$6:$B$1445,B91)</ns0:f>
        <ns0:v>3</ns0:v>
      </ns0:c>
      <ns0:c r="L91" t="n">
        <ns0:f>VLOOKUP(B91,'평가원본'!$B$6:$D$485,2,FALSE)</ns0:f>
        <ns0:v>84</ns0:v>
      </ns0:c>
      <ns0:c r="M91" t="n">
        <ns0:f>VLOOKUP(B91,'평가원본'!$B$6:$D$485,3,FALSE)</ns0:f>
        <ns0:v>1</ns0:v>
      </ns0:c>
      <ns0:c r="N91" t="n">
        <ns0:f>VLOOKUP(E91,'교육기준'!$B$6:$F$17,5,FALSE)</ns0:f>
        <ns0:v>70</ns0:v>
      </ns0:c>
      <ns0:c r="O91" t="n">
        <ns0:f>IF(AND(F91="승인",K91&gt;='정책'!$C$6,M91=1,L91&gt;=N91),1,0)</ns0:f>
        <ns0:v>1</ns0:v>
      </ns0:c>
    </ns0:row>
    <ns0:row r="92">
      <ns0:c r="B92" s="17" t="str">
        <ns0:f>'신청원본'!B92</ns0:f>
        <ns0:v>APP000087</ns0:v>
      </ns0:c>
      <ns0:c r="C92" s="17" t="str">
        <ns0:f>'신청원본'!C92</ns0:f>
        <ns0:v>000087</ns0:v>
      </ns0:c>
      <ns0:c r="D92" t="str">
        <ns0:f>'신청원본'!D92</ns0:f>
        <ns0:v>품질</ns0:v>
      </ns0:c>
      <ns0:c r="E92" t="str">
        <ns0:f>'신청원본'!E92</ns0:f>
        <ns0:v>C03</ns0:v>
      </ns0:c>
      <ns0:c r="F92" t="str">
        <ns0:f>'신청원본'!H92</ns0:f>
        <ns0:v>승인</ns0:v>
      </ns0:c>
      <ns0:c r="G92" s="18" t="n">
        <ns0:f>VLOOKUP(E92,'교육기준'!$B$6:$F$17,3,FALSE)</ns0:f>
        <ns0:v>135007</ns0:v>
      </ns0:c>
      <ns0:c r="H92" s="18" t="n">
        <ns0:f>'신청원본'!G92</ns0:f>
        <ns0:v>2</ns0:v>
      </ns0:c>
      <ns0:c r="I92" s="19" t="n">
        <ns0:f>'신청원본'!I92</ns0:f>
        <ns0:v>0.1</ns0:v>
      </ns0:c>
      <ns0:c r="J92" s="18" t="n">
        <ns0:f>IF(F92="승인",IF(COUNTA('신청원본'!J92)=0,ROUND(G92*H92*(1-I92),'정책'!$C$8),'신청원본'!J92),0)</ns0:f>
        <ns0:v>243013</ns0:v>
      </ns0:c>
      <ns0:c r="K92" t="n">
        <ns0:f>SUMIFS('출결원본'!$D$6:$D$1445,'출결원본'!$B$6:$B$1445,B92)</ns0:f>
        <ns0:v>3</ns0:v>
      </ns0:c>
      <ns0:c r="L92" t="n">
        <ns0:f>VLOOKUP(B92,'평가원본'!$B$6:$D$485,2,FALSE)</ns0:f>
        <ns0:v>91</ns0:v>
      </ns0:c>
      <ns0:c r="M92" t="n">
        <ns0:f>VLOOKUP(B92,'평가원본'!$B$6:$D$485,3,FALSE)</ns0:f>
        <ns0:v>1</ns0:v>
      </ns0:c>
      <ns0:c r="N92" t="n">
        <ns0:f>VLOOKUP(E92,'교육기준'!$B$6:$F$17,5,FALSE)</ns0:f>
        <ns0:v>80</ns0:v>
      </ns0:c>
      <ns0:c r="O92" t="n">
        <ns0:f>IF(AND(F92="승인",K92&gt;='정책'!$C$6,M92=1,L92&gt;=N92),1,0)</ns0:f>
        <ns0:v>1</ns0:v>
      </ns0:c>
    </ns0:row>
    <ns0:row r="93">
      <ns0:c r="B93" s="17" t="str">
        <ns0:f>'신청원본'!B93</ns0:f>
        <ns0:v>APP000088</ns0:v>
      </ns0:c>
      <ns0:c r="C93" s="17" t="str">
        <ns0:f>'신청원본'!C93</ns0:f>
        <ns0:v>000088</ns0:v>
      </ns0:c>
      <ns0:c r="D93" t="str">
        <ns0:f>'신청원본'!D93</ns0:f>
        <ns0:v>기획</ns0:v>
      </ns0:c>
      <ns0:c r="E93" t="str">
        <ns0:f>'신청원본'!E93</ns0:f>
        <ns0:v>C10</ns0:v>
      </ns0:c>
      <ns0:c r="F93" t="str">
        <ns0:f>'신청원본'!H93</ns0:f>
        <ns0:v>승인</ns0:v>
      </ns0:c>
      <ns0:c r="G93" s="18" t="n">
        <ns0:f>VLOOKUP(E93,'교육기준'!$B$6:$F$17,3,FALSE)</ns0:f>
        <ns0:v>257514</ns0:v>
      </ns0:c>
      <ns0:c r="H93" s="18" t="n">
        <ns0:f>'신청원본'!G93</ns0:f>
        <ns0:v>3</ns0:v>
      </ns0:c>
      <ns0:c r="I93" s="19" t="n">
        <ns0:f>'신청원본'!I93</ns0:f>
        <ns0:v>0.125</ns0:v>
      </ns0:c>
      <ns0:c r="J93" s="18" t="n">
        <ns0:f>IF(F93="승인",IF(COUNTA('신청원본'!J93)=0,ROUND(G93*H93*(1-I93),'정책'!$C$8),'신청원본'!J93),0)</ns0:f>
        <ns0:v>675974</ns0:v>
      </ns0:c>
      <ns0:c r="K93" t="n">
        <ns0:f>SUMIFS('출결원본'!$D$6:$D$1445,'출결원본'!$B$6:$B$1445,B93)</ns0:f>
        <ns0:v>3</ns0:v>
      </ns0:c>
      <ns0:c r="L93" t="n">
        <ns0:f>VLOOKUP(B93,'평가원본'!$B$6:$D$485,2,FALSE)</ns0:f>
        <ns0:v>98</ns0:v>
      </ns0:c>
      <ns0:c r="M93" t="n">
        <ns0:f>VLOOKUP(B93,'평가원본'!$B$6:$D$485,3,FALSE)</ns0:f>
        <ns0:v>1</ns0:v>
      </ns0:c>
      <ns0:c r="N93" t="n">
        <ns0:f>VLOOKUP(E93,'교육기준'!$B$6:$F$17,5,FALSE)</ns0:f>
        <ns0:v>60</ns0:v>
      </ns0:c>
      <ns0:c r="O93" t="n">
        <ns0:f>IF(AND(F93="승인",K93&gt;='정책'!$C$6,M93=1,L93&gt;=N93),1,0)</ns0:f>
        <ns0:v>1</ns0:v>
      </ns0:c>
    </ns0:row>
    <ns0:row r="94">
      <ns0:c r="B94" s="17" t="str">
        <ns0:f>'신청원본'!B94</ns0:f>
        <ns0:v>APP000089</ns0:v>
      </ns0:c>
      <ns0:c r="C94" s="17" t="str">
        <ns0:f>'신청원본'!C94</ns0:f>
        <ns0:v>000089</ns0:v>
      </ns0:c>
      <ns0:c r="D94" t="str">
        <ns0:f>'신청원본'!D94</ns0:f>
        <ns0:v>영업</ns0:v>
      </ns0:c>
      <ns0:c r="E94" t="str">
        <ns0:f>'신청원본'!E94</ns0:f>
        <ns0:v>C05</ns0:v>
      </ns0:c>
      <ns0:c r="F94" t="str">
        <ns0:f>'신청원본'!H94</ns0:f>
        <ns0:v>취소</ns0:v>
      </ns0:c>
      <ns0:c r="G94" s="18" t="n">
        <ns0:f>VLOOKUP(E94,'교육기준'!$B$6:$F$17,3,FALSE)</ns0:f>
        <ns0:v>170009</ns0:v>
      </ns0:c>
      <ns0:c r="H94" s="18" t="n">
        <ns0:f>'신청원본'!G94</ns0:f>
        <ns0:v>4</ns0:v>
      </ns0:c>
      <ns0:c r="I94" s="19" t="n">
        <ns0:f>'신청원본'!I94</ns0:f>
        <ns0:v>0</ns0:v>
      </ns0:c>
      <ns0:c r="J94" s="18" t="n">
        <ns0:f>IF(F94="승인",IF(COUNTA('신청원본'!J94)=0,ROUND(G94*H94*(1-I94),'정책'!$C$8),'신청원본'!J94),0)</ns0:f>
        <ns0:v>0</ns0:v>
      </ns0:c>
      <ns0:c r="K94" t="n">
        <ns0:f>SUMIFS('출결원본'!$D$6:$D$1445,'출결원본'!$B$6:$B$1445,B94)</ns0:f>
        <ns0:v>3</ns0:v>
      </ns0:c>
      <ns0:c r="L94" t="n">
        <ns0:f>VLOOKUP(B94,'평가원본'!$B$6:$D$485,2,FALSE)</ns0:f>
        <ns0:v>54</ns0:v>
      </ns0:c>
      <ns0:c r="M94" t="n">
        <ns0:f>VLOOKUP(B94,'평가원본'!$B$6:$D$485,3,FALSE)</ns0:f>
        <ns0:v>1</ns0:v>
      </ns0:c>
      <ns0:c r="N94" t="n">
        <ns0:f>VLOOKUP(E94,'교육기준'!$B$6:$F$17,5,FALSE)</ns0:f>
        <ns0:v>70</ns0:v>
      </ns0:c>
      <ns0:c r="O94" t="n">
        <ns0:f>IF(AND(F94="승인",K94&gt;='정책'!$C$6,M94=1,L94&gt;=N94),1,0)</ns0:f>
        <ns0:v>0</ns0:v>
      </ns0:c>
    </ns0:row>
    <ns0:row r="95">
      <ns0:c r="B95" s="17" t="str">
        <ns0:f>'신청원본'!B95</ns0:f>
        <ns0:v>APP000090</ns0:v>
      </ns0:c>
      <ns0:c r="C95" s="17" t="str">
        <ns0:f>'신청원본'!C95</ns0:f>
        <ns0:v>000090</ns0:v>
      </ns0:c>
      <ns0:c r="D95" t="str">
        <ns0:f>'신청원본'!D95</ns0:f>
        <ns0:v>지원</ns0:v>
      </ns0:c>
      <ns0:c r="E95" t="str">
        <ns0:f>'신청원본'!E95</ns0:f>
        <ns0:v>C12</ns0:v>
      </ns0:c>
      <ns0:c r="F95" t="str">
        <ns0:f>'신청원본'!H95</ns0:f>
        <ns0:v>승인</ns0:v>
      </ns0:c>
      <ns0:c r="G95" s="18" t="n">
        <ns0:f>VLOOKUP(E95,'교육기준'!$B$6:$F$17,3,FALSE)</ns0:f>
        <ns0:v>292516</ns0:v>
      </ns0:c>
      <ns0:c r="H95" s="18" t="n">
        <ns0:f>'신청원본'!G95</ns0:f>
        <ns0:v>5</ns0:v>
      </ns0:c>
      <ns0:c r="I95" s="19" t="n">
        <ns0:f>'신청원본'!I95</ns0:f>
        <ns0:v>0.05</ns0:v>
      </ns0:c>
      <ns0:c r="J95" s="18" t="n">
        <ns0:f>IF(F95="승인",IF(COUNTA('신청원본'!J95)=0,ROUND(G95*H95*(1-I95),'정책'!$C$8),'신청원본'!J95),0)</ns0:f>
        <ns0:v>1389451</ns0:v>
      </ns0:c>
      <ns0:c r="K95" t="n">
        <ns0:f>SUMIFS('출결원본'!$D$6:$D$1445,'출결원본'!$B$6:$B$1445,B95)</ns0:f>
        <ns0:v>3</ns0:v>
      </ns0:c>
      <ns0:c r="L95" t="n">
        <ns0:f>VLOOKUP(B95,'평가원본'!$B$6:$D$485,2,FALSE)</ns0:f>
        <ns0:v>61</ns0:v>
      </ns0:c>
      <ns0:c r="M95" t="n">
        <ns0:f>VLOOKUP(B95,'평가원본'!$B$6:$D$485,3,FALSE)</ns0:f>
        <ns0:v>1</ns0:v>
      </ns0:c>
      <ns0:c r="N95" t="n">
        <ns0:f>VLOOKUP(E95,'교육기준'!$B$6:$F$17,5,FALSE)</ns0:f>
        <ns0:v>80</ns0:v>
      </ns0:c>
      <ns0:c r="O95" t="n">
        <ns0:f>IF(AND(F95="승인",K95&gt;='정책'!$C$6,M95=1,L95&gt;=N95),1,0)</ns0:f>
        <ns0:v>0</ns0:v>
      </ns0:c>
    </ns0:row>
    <ns0:row r="96">
      <ns0:c r="B96" s="17" t="str">
        <ns0:f>'신청원본'!B96</ns0:f>
        <ns0:v>APP000091</ns0:v>
      </ns0:c>
      <ns0:c r="C96" s="17" t="str">
        <ns0:f>'신청원본'!C96</ns0:f>
        <ns0:v>000091</ns0:v>
      </ns0:c>
      <ns0:c r="D96" t="str">
        <ns0:f>'신청원본'!D96</ns0:f>
        <ns0:v>개발</ns0:v>
      </ns0:c>
      <ns0:c r="E96" t="str">
        <ns0:f>'신청원본'!E96</ns0:f>
        <ns0:v>C07</ns0:v>
      </ns0:c>
      <ns0:c r="F96" t="str">
        <ns0:f>'신청원본'!H96</ns0:f>
        <ns0:v>승인</ns0:v>
      </ns0:c>
      <ns0:c r="G96" s="18" t="n">
        <ns0:f>VLOOKUP(E96,'교육기준'!$B$6:$F$17,3,FALSE)</ns0:f>
        <ns0:v>205011</ns0:v>
      </ns0:c>
      <ns0:c r="H96" s="18" t="n">
        <ns0:f>'신청원본'!G96</ns0:f>
        <ns0:v>0</ns0:v>
      </ns0:c>
      <ns0:c r="I96" s="19" t="n">
        <ns0:f>'신청원본'!I96</ns0:f>
        <ns0:v>0.1</ns0:v>
      </ns0:c>
      <ns0:c r="J96" s="18" t="n">
        <ns0:f>IF(F96="승인",IF(COUNTA('신청원본'!J96)=0,ROUND(G96*H96*(1-I96),'정책'!$C$8),'신청원본'!J96),0)</ns0:f>
        <ns0:v>0</ns0:v>
      </ns0:c>
      <ns0:c r="K96" t="n">
        <ns0:f>SUMIFS('출결원본'!$D$6:$D$1445,'출결원본'!$B$6:$B$1445,B96)</ns0:f>
        <ns0:v>2</ns0:v>
      </ns0:c>
      <ns0:c r="L96" t="n">
        <ns0:f>VLOOKUP(B96,'평가원본'!$B$6:$D$485,2,FALSE)</ns0:f>
        <ns0:v>68</ns0:v>
      </ns0:c>
      <ns0:c r="M96" t="n">
        <ns0:f>VLOOKUP(B96,'평가원본'!$B$6:$D$485,3,FALSE)</ns0:f>
        <ns0:v>1</ns0:v>
      </ns0:c>
      <ns0:c r="N96" t="n">
        <ns0:f>VLOOKUP(E96,'교육기준'!$B$6:$F$17,5,FALSE)</ns0:f>
        <ns0:v>60</ns0:v>
      </ns0:c>
      <ns0:c r="O96" t="n">
        <ns0:f>IF(AND(F96="승인",K96&gt;='정책'!$C$6,M96=1,L96&gt;=N96),1,0)</ns0:f>
        <ns0:v>0</ns0:v>
      </ns0:c>
    </ns0:row>
    <ns0:row r="97">
      <ns0:c r="B97" s="17" t="str">
        <ns0:f>'신청원본'!B97</ns0:f>
        <ns0:v>APP000092</ns0:v>
      </ns0:c>
      <ns0:c r="C97" s="17" t="str">
        <ns0:f>'신청원본'!C97</ns0:f>
        <ns0:v>000092</ns0:v>
      </ns0:c>
      <ns0:c r="D97" t="str">
        <ns0:f>'신청원본'!D97</ns0:f>
        <ns0:v>생산</ns0:v>
      </ns0:c>
      <ns0:c r="E97" t="str">
        <ns0:f>'신청원본'!E97</ns0:f>
        <ns0:v>C02</ns0:v>
      </ns0:c>
      <ns0:c r="F97" t="str">
        <ns0:f>'신청원본'!H97</ns0:f>
        <ns0:v>대기</ns0:v>
      </ns0:c>
      <ns0:c r="G97" s="18" t="n">
        <ns0:f>VLOOKUP(E97,'교육기준'!$B$6:$F$17,3,FALSE)</ns0:f>
        <ns0:v>117506</ns0:v>
      </ns0:c>
      <ns0:c r="H97" s="18" t="n">
        <ns0:f>'신청원본'!G97</ns0:f>
        <ns0:v>1</ns0:v>
      </ns0:c>
      <ns0:c r="I97" s="19" t="n">
        <ns0:f>'신청원본'!I97</ns0:f>
        <ns0:v>0.125</ns0:v>
      </ns0:c>
      <ns0:c r="J97" s="18" t="n">
        <ns0:f>IF(F97="승인",IF(COUNTA('신청원본'!J97)=0,ROUND(G97*H97*(1-I97),'정책'!$C$8),'신청원본'!J97),0)</ns0:f>
        <ns0:v>0</ns0:v>
      </ns0:c>
      <ns0:c r="K97" t="n">
        <ns0:f>SUMIFS('출결원본'!$D$6:$D$1445,'출결원본'!$B$6:$B$1445,B97)</ns0:f>
        <ns0:v>2</ns0:v>
      </ns0:c>
      <ns0:c r="L97" t="n">
        <ns0:f>VLOOKUP(B97,'평가원본'!$B$6:$D$485,2,FALSE)</ns0:f>
        <ns0:v>75</ns0:v>
      </ns0:c>
      <ns0:c r="M97" t="n">
        <ns0:f>VLOOKUP(B97,'평가원본'!$B$6:$D$485,3,FALSE)</ns0:f>
        <ns0:v>1</ns0:v>
      </ns0:c>
      <ns0:c r="N97" t="n">
        <ns0:f>VLOOKUP(E97,'교육기준'!$B$6:$F$17,5,FALSE)</ns0:f>
        <ns0:v>70</ns0:v>
      </ns0:c>
      <ns0:c r="O97" t="n">
        <ns0:f>IF(AND(F97="승인",K97&gt;='정책'!$C$6,M97=1,L97&gt;=N97),1,0)</ns0:f>
        <ns0:v>0</ns0:v>
      </ns0:c>
    </ns0:row>
    <ns0:row r="98">
      <ns0:c r="B98" s="17" t="str">
        <ns0:f>'신청원본'!B98</ns0:f>
        <ns0:v>APP000093</ns0:v>
      </ns0:c>
      <ns0:c r="C98" s="17" t="str">
        <ns0:f>'신청원본'!C98</ns0:f>
        <ns0:v>000093</ns0:v>
      </ns0:c>
      <ns0:c r="D98" t="str">
        <ns0:f>'신청원본'!D98</ns0:f>
        <ns0:v>품질</ns0:v>
      </ns0:c>
      <ns0:c r="E98" t="str">
        <ns0:f>'신청원본'!E98</ns0:f>
        <ns0:v>C09</ns0:v>
      </ns0:c>
      <ns0:c r="F98" t="str">
        <ns0:f>'신청원본'!H98</ns0:f>
        <ns0:v>승인</ns0:v>
      </ns0:c>
      <ns0:c r="G98" s="18" t="n">
        <ns0:f>VLOOKUP(E98,'교육기준'!$B$6:$F$17,3,FALSE)</ns0:f>
        <ns0:v>240013</ns0:v>
      </ns0:c>
      <ns0:c r="H98" s="18" t="n">
        <ns0:f>'신청원본'!G98</ns0:f>
        <ns0:v>2</ns0:v>
      </ns0:c>
      <ns0:c r="I98" s="19" t="n">
        <ns0:f>'신청원본'!I98</ns0:f>
        <ns0:v>0</ns0:v>
      </ns0:c>
      <ns0:c r="J98" s="18" t="n">
        <ns0:f>IF(F98="승인",IF(COUNTA('신청원본'!J98)=0,ROUND(G98*H98*(1-I98),'정책'!$C$8),'신청원본'!J98),0)</ns0:f>
        <ns0:v>480026</ns0:v>
      </ns0:c>
      <ns0:c r="K98" t="n">
        <ns0:f>SUMIFS('출결원본'!$D$6:$D$1445,'출결원본'!$B$6:$B$1445,B98)</ns0:f>
        <ns0:v>3</ns0:v>
      </ns0:c>
      <ns0:c r="L98" t="n">
        <ns0:f>VLOOKUP(B98,'평가원본'!$B$6:$D$485,2,FALSE)</ns0:f>
        <ns0:v>82</ns0:v>
      </ns0:c>
      <ns0:c r="M98" t="n">
        <ns0:f>VLOOKUP(B98,'평가원본'!$B$6:$D$485,3,FALSE)</ns0:f>
        <ns0:v>1</ns0:v>
      </ns0:c>
      <ns0:c r="N98" t="n">
        <ns0:f>VLOOKUP(E98,'교육기준'!$B$6:$F$17,5,FALSE)</ns0:f>
        <ns0:v>80</ns0:v>
      </ns0:c>
      <ns0:c r="O98" t="n">
        <ns0:f>IF(AND(F98="승인",K98&gt;='정책'!$C$6,M98=1,L98&gt;=N98),1,0)</ns0:f>
        <ns0:v>1</ns0:v>
      </ns0:c>
    </ns0:row>
    <ns0:row r="99">
      <ns0:c r="B99" s="17" t="str">
        <ns0:f>'신청원본'!B99</ns0:f>
        <ns0:v>APP000094</ns0:v>
      </ns0:c>
      <ns0:c r="C99" s="17" t="str">
        <ns0:f>'신청원본'!C99</ns0:f>
        <ns0:v>000094</ns0:v>
      </ns0:c>
      <ns0:c r="D99" t="str">
        <ns0:f>'신청원본'!D99</ns0:f>
        <ns0:v>기획</ns0:v>
      </ns0:c>
      <ns0:c r="E99" t="str">
        <ns0:f>'신청원본'!E99</ns0:f>
        <ns0:v>C04</ns0:v>
      </ns0:c>
      <ns0:c r="F99" t="str">
        <ns0:f>'신청원본'!H99</ns0:f>
        <ns0:v>승인</ns0:v>
      </ns0:c>
      <ns0:c r="G99" s="18" t="n">
        <ns0:f>VLOOKUP(E99,'교육기준'!$B$6:$F$17,3,FALSE)</ns0:f>
        <ns0:v>152508</ns0:v>
      </ns0:c>
      <ns0:c r="H99" s="18" t="n">
        <ns0:f>'신청원본'!G99</ns0:f>
        <ns0:v>3</ns0:v>
      </ns0:c>
      <ns0:c r="I99" s="19" t="n">
        <ns0:f>'신청원본'!I99</ns0:f>
        <ns0:v>0.05</ns0:v>
      </ns0:c>
      <ns0:c r="J99" s="18" t="n">
        <ns0:f>IF(F99="승인",IF(COUNTA('신청원본'!J99)=0,ROUND(G99*H99*(1-I99),'정책'!$C$8),'신청원본'!J99),0)</ns0:f>
        <ns0:v>434648</ns0:v>
      </ns0:c>
      <ns0:c r="K99" t="n">
        <ns0:f>SUMIFS('출결원본'!$D$6:$D$1445,'출결원본'!$B$6:$B$1445,B99)</ns0:f>
        <ns0:v>3</ns0:v>
      </ns0:c>
      <ns0:c r="L99" t="n">
        <ns0:f>VLOOKUP(B99,'평가원본'!$B$6:$D$485,2,FALSE)</ns0:f>
        <ns0:v>89</ns0:v>
      </ns0:c>
      <ns0:c r="M99" t="n">
        <ns0:f>VLOOKUP(B99,'평가원본'!$B$6:$D$485,3,FALSE)</ns0:f>
        <ns0:v>1</ns0:v>
      </ns0:c>
      <ns0:c r="N99" t="n">
        <ns0:f>VLOOKUP(E99,'교육기준'!$B$6:$F$17,5,FALSE)</ns0:f>
        <ns0:v>60</ns0:v>
      </ns0:c>
      <ns0:c r="O99" t="n">
        <ns0:f>IF(AND(F99="승인",K99&gt;='정책'!$C$6,M99=1,L99&gt;=N99),1,0)</ns0:f>
        <ns0:v>1</ns0:v>
      </ns0:c>
    </ns0:row>
    <ns0:row r="100">
      <ns0:c r="B100" s="17" t="str">
        <ns0:f>'신청원본'!B100</ns0:f>
        <ns0:v>APP000095</ns0:v>
      </ns0:c>
      <ns0:c r="C100" s="17" t="str">
        <ns0:f>'신청원본'!C100</ns0:f>
        <ns0:v>000095</ns0:v>
      </ns0:c>
      <ns0:c r="D100" t="str">
        <ns0:f>'신청원본'!D100</ns0:f>
        <ns0:v>영업</ns0:v>
      </ns0:c>
      <ns0:c r="E100" t="str">
        <ns0:f>'신청원본'!E100</ns0:f>
        <ns0:v>C11</ns0:v>
      </ns0:c>
      <ns0:c r="F100" t="str">
        <ns0:f>'신청원본'!H100</ns0:f>
        <ns0:v>승인</ns0:v>
      </ns0:c>
      <ns0:c r="G100" s="18" t="n">
        <ns0:f>VLOOKUP(E100,'교육기준'!$B$6:$F$17,3,FALSE)</ns0:f>
        <ns0:v>275015</ns0:v>
      </ns0:c>
      <ns0:c r="H100" s="18" t="n">
        <ns0:f>'신청원본'!G100</ns0:f>
        <ns0:v>4</ns0:v>
      </ns0:c>
      <ns0:c r="I100" s="19" t="n">
        <ns0:f>'신청원본'!I100</ns0:f>
        <ns0:v>0.1</ns0:v>
      </ns0:c>
      <ns0:c r="J100" s="18" t="n">
        <ns0:f>IF(F100="승인",IF(COUNTA('신청원본'!J100)=0,ROUND(G100*H100*(1-I100),'정책'!$C$8),'신청원본'!J100),0)</ns0:f>
        <ns0:v>990054</ns0:v>
      </ns0:c>
      <ns0:c r="K100" t="n">
        <ns0:f>SUMIFS('출결원본'!$D$6:$D$1445,'출결원본'!$B$6:$B$1445,B100)</ns0:f>
        <ns0:v>3</ns0:v>
      </ns0:c>
      <ns0:c r="L100" t="n">
        <ns0:f>VLOOKUP(B100,'평가원본'!$B$6:$D$485,2,FALSE)</ns0:f>
        <ns0:v>96</ns0:v>
      </ns0:c>
      <ns0:c r="M100" t="n">
        <ns0:f>VLOOKUP(B100,'평가원본'!$B$6:$D$485,3,FALSE)</ns0:f>
        <ns0:v>1</ns0:v>
      </ns0:c>
      <ns0:c r="N100" t="n">
        <ns0:f>VLOOKUP(E100,'교육기준'!$B$6:$F$17,5,FALSE)</ns0:f>
        <ns0:v>70</ns0:v>
      </ns0:c>
      <ns0:c r="O100" t="n">
        <ns0:f>IF(AND(F100="승인",K100&gt;='정책'!$C$6,M100=1,L100&gt;=N100),1,0)</ns0:f>
        <ns0:v>1</ns0:v>
      </ns0:c>
    </ns0:row>
    <ns0:row r="101">
      <ns0:c r="B101" s="17" t="str">
        <ns0:f>'신청원본'!B101</ns0:f>
        <ns0:v>APP000096</ns0:v>
      </ns0:c>
      <ns0:c r="C101" s="17" t="str">
        <ns0:f>'신청원본'!C101</ns0:f>
        <ns0:v>000096</ns0:v>
      </ns0:c>
      <ns0:c r="D101" t="str">
        <ns0:f>'신청원본'!D101</ns0:f>
        <ns0:v>지원</ns0:v>
      </ns0:c>
      <ns0:c r="E101" t="str">
        <ns0:f>'신청원본'!E101</ns0:f>
        <ns0:v>C06</ns0:v>
      </ns0:c>
      <ns0:c r="F101" t="str">
        <ns0:f>'신청원본'!H101</ns0:f>
        <ns0:v>승인</ns0:v>
      </ns0:c>
      <ns0:c r="G101" s="18" t="n">
        <ns0:f>VLOOKUP(E101,'교육기준'!$B$6:$F$17,3,FALSE)</ns0:f>
        <ns0:v>187510</ns0:v>
      </ns0:c>
      <ns0:c r="H101" s="18" t="n">
        <ns0:f>'신청원본'!G101</ns0:f>
        <ns0:v>5</ns0:v>
      </ns0:c>
      <ns0:c r="I101" s="19" t="n">
        <ns0:f>'신청원본'!I101</ns0:f>
        <ns0:v>0.125</ns0:v>
      </ns0:c>
      <ns0:c r="J101" s="18" t="n">
        <ns0:f>IF(F101="승인",IF(COUNTA('신청원본'!J101)=0,ROUND(G101*H101*(1-I101),'정책'!$C$8),'신청원본'!J101),0)</ns0:f>
        <ns0:v>820356</ns0:v>
      </ns0:c>
      <ns0:c r="K101" t="n">
        <ns0:f>SUMIFS('출결원본'!$D$6:$D$1445,'출결원본'!$B$6:$B$1445,B101)</ns0:f>
        <ns0:v>3</ns0:v>
      </ns0:c>
      <ns0:c r="L101" t="n">
        <ns0:f>VLOOKUP(B101,'평가원본'!$B$6:$D$485,2,FALSE)</ns0:f>
        <ns0:v>52</ns0:v>
      </ns0:c>
      <ns0:c r="M101" t="n">
        <ns0:f>VLOOKUP(B101,'평가원본'!$B$6:$D$485,3,FALSE)</ns0:f>
        <ns0:v>0</ns0:v>
      </ns0:c>
      <ns0:c r="N101" t="n">
        <ns0:f>VLOOKUP(E101,'교육기준'!$B$6:$F$17,5,FALSE)</ns0:f>
        <ns0:v>80</ns0:v>
      </ns0:c>
      <ns0:c r="O101" t="n">
        <ns0:f>IF(AND(F101="승인",K101&gt;='정책'!$C$6,M101=1,L101&gt;=N101),1,0)</ns0:f>
        <ns0:v>0</ns0:v>
      </ns0:c>
    </ns0:row>
    <ns0:row r="102">
      <ns0:c r="B102" s="17" t="str">
        <ns0:f>'신청원본'!B102</ns0:f>
        <ns0:v>APP000097</ns0:v>
      </ns0:c>
      <ns0:c r="C102" s="17" t="str">
        <ns0:f>'신청원본'!C102</ns0:f>
        <ns0:v>000097</ns0:v>
      </ns0:c>
      <ns0:c r="D102" t="str">
        <ns0:f>'신청원본'!D102</ns0:f>
        <ns0:v>개발</ns0:v>
      </ns0:c>
      <ns0:c r="E102" t="str">
        <ns0:f>'신청원본'!E102</ns0:f>
        <ns0:v>C01</ns0:v>
      </ns0:c>
      <ns0:c r="F102" t="str">
        <ns0:f>'신청원본'!H102</ns0:f>
        <ns0:v>승인</ns0:v>
      </ns0:c>
      <ns0:c r="G102" s="18" t="n">
        <ns0:f>VLOOKUP(E102,'교육기준'!$B$6:$F$17,3,FALSE)</ns0:f>
        <ns0:v>100005</ns0:v>
      </ns0:c>
      <ns0:c r="H102" s="18" t="n">
        <ns0:f>'신청원본'!G102</ns0:f>
        <ns0:v>0</ns0:v>
      </ns0:c>
      <ns0:c r="I102" s="19" t="n">
        <ns0:f>'신청원본'!I102</ns0:f>
        <ns0:v>0</ns0:v>
      </ns0:c>
      <ns0:c r="J102" s="18" t="n">
        <ns0:f>IF(F102="승인",IF(COUNTA('신청원본'!J102)=0,ROUND(G102*H102*(1-I102),'정책'!$C$8),'신청원본'!J102),0)</ns0:f>
        <ns0:v>0</ns0:v>
      </ns0:c>
      <ns0:c r="K102" t="n">
        <ns0:f>SUMIFS('출결원본'!$D$6:$D$1445,'출결원본'!$B$6:$B$1445,B102)</ns0:f>
        <ns0:v>3</ns0:v>
      </ns0:c>
      <ns0:c r="L102" t="n">
        <ns0:f>VLOOKUP(B102,'평가원본'!$B$6:$D$485,2,FALSE)</ns0:f>
        <ns0:v>59</ns0:v>
      </ns0:c>
      <ns0:c r="M102" t="n">
        <ns0:f>VLOOKUP(B102,'평가원본'!$B$6:$D$485,3,FALSE)</ns0:f>
        <ns0:v>1</ns0:v>
      </ns0:c>
      <ns0:c r="N102" t="n">
        <ns0:f>VLOOKUP(E102,'교육기준'!$B$6:$F$17,5,FALSE)</ns0:f>
        <ns0:v>60</ns0:v>
      </ns0:c>
      <ns0:c r="O102" t="n">
        <ns0:f>IF(AND(F102="승인",K102&gt;='정책'!$C$6,M102=1,L102&gt;=N102),1,0)</ns0:f>
        <ns0:v>0</ns0:v>
      </ns0:c>
    </ns0:row>
    <ns0:row r="103">
      <ns0:c r="B103" s="17" t="str">
        <ns0:f>'신청원본'!B103</ns0:f>
        <ns0:v>APP000098</ns0:v>
      </ns0:c>
      <ns0:c r="C103" s="17" t="str">
        <ns0:f>'신청원본'!C103</ns0:f>
        <ns0:v>000098</ns0:v>
      </ns0:c>
      <ns0:c r="D103" t="str">
        <ns0:f>'신청원본'!D103</ns0:f>
        <ns0:v>생산</ns0:v>
      </ns0:c>
      <ns0:c r="E103" t="str">
        <ns0:f>'신청원본'!E103</ns0:f>
        <ns0:v>C08</ns0:v>
      </ns0:c>
      <ns0:c r="F103" t="str">
        <ns0:f>'신청원본'!H103</ns0:f>
        <ns0:v>승인</ns0:v>
      </ns0:c>
      <ns0:c r="G103" s="18" t="n">
        <ns0:f>VLOOKUP(E103,'교육기준'!$B$6:$F$17,3,FALSE)</ns0:f>
        <ns0:v>222512</ns0:v>
      </ns0:c>
      <ns0:c r="H103" s="18" t="n">
        <ns0:f>'신청원본'!G103</ns0:f>
        <ns0:v>1</ns0:v>
      </ns0:c>
      <ns0:c r="I103" s="19" t="n">
        <ns0:f>'신청원본'!I103</ns0:f>
        <ns0:v>0.05</ns0:v>
      </ns0:c>
      <ns0:c r="J103" s="18" t="n">
        <ns0:f>IF(F103="승인",IF(COUNTA('신청원본'!J103)=0,ROUND(G103*H103*(1-I103),'정책'!$C$8),'신청원본'!J103),0)</ns0:f>
        <ns0:v>211386</ns0:v>
      </ns0:c>
      <ns0:c r="K103" t="n">
        <ns0:f>SUMIFS('출결원본'!$D$6:$D$1445,'출결원본'!$B$6:$B$1445,B103)</ns0:f>
        <ns0:v>3</ns0:v>
      </ns0:c>
      <ns0:c r="L103" t="n">
        <ns0:f>VLOOKUP(B103,'평가원본'!$B$6:$D$485,2,FALSE)</ns0:f>
        <ns0:v>66</ns0:v>
      </ns0:c>
      <ns0:c r="M103" t="n">
        <ns0:f>VLOOKUP(B103,'평가원본'!$B$6:$D$485,3,FALSE)</ns0:f>
        <ns0:v>1</ns0:v>
      </ns0:c>
      <ns0:c r="N103" t="n">
        <ns0:f>VLOOKUP(E103,'교육기준'!$B$6:$F$17,5,FALSE)</ns0:f>
        <ns0:v>70</ns0:v>
      </ns0:c>
      <ns0:c r="O103" t="n">
        <ns0:f>IF(AND(F103="승인",K103&gt;='정책'!$C$6,M103=1,L103&gt;=N103),1,0)</ns0:f>
        <ns0:v>0</ns0:v>
      </ns0:c>
    </ns0:row>
    <ns0:row r="104">
      <ns0:c r="B104" s="17" t="str">
        <ns0:f>'신청원본'!B104</ns0:f>
        <ns0:v>APP000099</ns0:v>
      </ns0:c>
      <ns0:c r="C104" s="17" t="str">
        <ns0:f>'신청원본'!C104</ns0:f>
        <ns0:v>000099</ns0:v>
      </ns0:c>
      <ns0:c r="D104" t="str">
        <ns0:f>'신청원본'!D104</ns0:f>
        <ns0:v>품질</ns0:v>
      </ns0:c>
      <ns0:c r="E104" t="str">
        <ns0:f>'신청원본'!E104</ns0:f>
        <ns0:v>C03</ns0:v>
      </ns0:c>
      <ns0:c r="F104" t="str">
        <ns0:f>'신청원본'!H104</ns0:f>
        <ns0:v>대기</ns0:v>
      </ns0:c>
      <ns0:c r="G104" s="18" t="n">
        <ns0:f>VLOOKUP(E104,'교육기준'!$B$6:$F$17,3,FALSE)</ns0:f>
        <ns0:v>135007</ns0:v>
      </ns0:c>
      <ns0:c r="H104" s="18" t="n">
        <ns0:f>'신청원본'!G104</ns0:f>
        <ns0:v>2</ns0:v>
      </ns0:c>
      <ns0:c r="I104" s="19" t="n">
        <ns0:f>'신청원본'!I104</ns0:f>
        <ns0:v>0.1</ns0:v>
      </ns0:c>
      <ns0:c r="J104" s="18" t="n">
        <ns0:f>IF(F104="승인",IF(COUNTA('신청원본'!J104)=0,ROUND(G104*H104*(1-I104),'정책'!$C$8),'신청원본'!J104),0)</ns0:f>
        <ns0:v>0</ns0:v>
      </ns0:c>
      <ns0:c r="K104" t="n">
        <ns0:f>SUMIFS('출결원본'!$D$6:$D$1445,'출결원본'!$B$6:$B$1445,B104)</ns0:f>
        <ns0:v>3</ns0:v>
      </ns0:c>
      <ns0:c r="L104" t="n">
        <ns0:f>VLOOKUP(B104,'평가원본'!$B$6:$D$485,2,FALSE)</ns0:f>
        <ns0:v>73</ns0:v>
      </ns0:c>
      <ns0:c r="M104" t="n">
        <ns0:f>VLOOKUP(B104,'평가원본'!$B$6:$D$485,3,FALSE)</ns0:f>
        <ns0:v>1</ns0:v>
      </ns0:c>
      <ns0:c r="N104" t="n">
        <ns0:f>VLOOKUP(E104,'교육기준'!$B$6:$F$17,5,FALSE)</ns0:f>
        <ns0:v>80</ns0:v>
      </ns0:c>
      <ns0:c r="O104" t="n">
        <ns0:f>IF(AND(F104="승인",K104&gt;='정책'!$C$6,M104=1,L104&gt;=N104),1,0)</ns0:f>
        <ns0:v>0</ns0:v>
      </ns0:c>
    </ns0:row>
    <ns0:row r="105">
      <ns0:c r="B105" s="17" t="str">
        <ns0:f>'신청원본'!B105</ns0:f>
        <ns0:v>APP000100</ns0:v>
      </ns0:c>
      <ns0:c r="C105" s="17" t="str">
        <ns0:f>'신청원본'!C105</ns0:f>
        <ns0:v>000100</ns0:v>
      </ns0:c>
      <ns0:c r="D105" t="str">
        <ns0:f>'신청원본'!D105</ns0:f>
        <ns0:v>기획</ns0:v>
      </ns0:c>
      <ns0:c r="E105" t="str">
        <ns0:f>'신청원본'!E105</ns0:f>
        <ns0:v>C10</ns0:v>
      </ns0:c>
      <ns0:c r="F105" t="str">
        <ns0:f>'신청원본'!H105</ns0:f>
        <ns0:v>취소</ns0:v>
      </ns0:c>
      <ns0:c r="G105" s="18" t="n">
        <ns0:f>VLOOKUP(E105,'교육기준'!$B$6:$F$17,3,FALSE)</ns0:f>
        <ns0:v>257514</ns0:v>
      </ns0:c>
      <ns0:c r="H105" s="18" t="n">
        <ns0:f>'신청원본'!G105</ns0:f>
        <ns0:v>3</ns0:v>
      </ns0:c>
      <ns0:c r="I105" s="19" t="n">
        <ns0:f>'신청원본'!I105</ns0:f>
        <ns0:v>0.125</ns0:v>
      </ns0:c>
      <ns0:c r="J105" s="18" t="n">
        <ns0:f>IF(F105="승인",IF(COUNTA('신청원본'!J105)=0,ROUND(G105*H105*(1-I105),'정책'!$C$8),'신청원본'!J105),0)</ns0:f>
        <ns0:v>0</ns0:v>
      </ns0:c>
      <ns0:c r="K105" t="n">
        <ns0:f>SUMIFS('출결원본'!$D$6:$D$1445,'출결원본'!$B$6:$B$1445,B105)</ns0:f>
        <ns0:v>2</ns0:v>
      </ns0:c>
      <ns0:c r="L105" t="n">
        <ns0:f>VLOOKUP(B105,'평가원본'!$B$6:$D$485,2,FALSE)</ns0:f>
        <ns0:v>80</ns0:v>
      </ns0:c>
      <ns0:c r="M105" t="n">
        <ns0:f>VLOOKUP(B105,'평가원본'!$B$6:$D$485,3,FALSE)</ns0:f>
        <ns0:v>1</ns0:v>
      </ns0:c>
      <ns0:c r="N105" t="n">
        <ns0:f>VLOOKUP(E105,'교육기준'!$B$6:$F$17,5,FALSE)</ns0:f>
        <ns0:v>60</ns0:v>
      </ns0:c>
      <ns0:c r="O105" t="n">
        <ns0:f>IF(AND(F105="승인",K105&gt;='정책'!$C$6,M105=1,L105&gt;=N105),1,0)</ns0:f>
        <ns0:v>0</ns0:v>
      </ns0:c>
    </ns0:row>
    <ns0:row r="106">
      <ns0:c r="B106" s="17" t="str">
        <ns0:f>'신청원본'!B106</ns0:f>
        <ns0:v>APP000101</ns0:v>
      </ns0:c>
      <ns0:c r="C106" s="17" t="str">
        <ns0:f>'신청원본'!C106</ns0:f>
        <ns0:v>000101</ns0:v>
      </ns0:c>
      <ns0:c r="D106" t="str">
        <ns0:f>'신청원본'!D106</ns0:f>
        <ns0:v>영업</ns0:v>
      </ns0:c>
      <ns0:c r="E106" t="str">
        <ns0:f>'신청원본'!E106</ns0:f>
        <ns0:v>C05</ns0:v>
      </ns0:c>
      <ns0:c r="F106" t="str">
        <ns0:f>'신청원본'!H106</ns0:f>
        <ns0:v>승인</ns0:v>
      </ns0:c>
      <ns0:c r="G106" s="18" t="n">
        <ns0:f>VLOOKUP(E106,'교육기준'!$B$6:$F$17,3,FALSE)</ns0:f>
        <ns0:v>170009</ns0:v>
      </ns0:c>
      <ns0:c r="H106" s="18" t="n">
        <ns0:f>'신청원본'!G106</ns0:f>
        <ns0:v>4</ns0:v>
      </ns0:c>
      <ns0:c r="I106" s="19" t="n">
        <ns0:f>'신청원본'!I106</ns0:f>
        <ns0:v>0</ns0:v>
      </ns0:c>
      <ns0:c r="J106" s="18" t="n">
        <ns0:f>IF(F106="승인",IF(COUNTA('신청원본'!J106)=0,ROUND(G106*H106*(1-I106),'정책'!$C$8),'신청원본'!J106),0)</ns0:f>
        <ns0:v>680036</ns0:v>
      </ns0:c>
      <ns0:c r="K106" t="n">
        <ns0:f>SUMIFS('출결원본'!$D$6:$D$1445,'출결원본'!$B$6:$B$1445,B106)</ns0:f>
        <ns0:v>3</ns0:v>
      </ns0:c>
      <ns0:c r="L106" t="n">
        <ns0:f>VLOOKUP(B106,'평가원본'!$B$6:$D$485,2,FALSE)</ns0:f>
        <ns0:v>87</ns0:v>
      </ns0:c>
      <ns0:c r="M106" t="n">
        <ns0:f>VLOOKUP(B106,'평가원본'!$B$6:$D$485,3,FALSE)</ns0:f>
        <ns0:v>1</ns0:v>
      </ns0:c>
      <ns0:c r="N106" t="n">
        <ns0:f>VLOOKUP(E106,'교육기준'!$B$6:$F$17,5,FALSE)</ns0:f>
        <ns0:v>70</ns0:v>
      </ns0:c>
      <ns0:c r="O106" t="n">
        <ns0:f>IF(AND(F106="승인",K106&gt;='정책'!$C$6,M106=1,L106&gt;=N106),1,0)</ns0:f>
        <ns0:v>1</ns0:v>
      </ns0:c>
    </ns0:row>
    <ns0:row r="107">
      <ns0:c r="B107" s="17" t="str">
        <ns0:f>'신청원본'!B107</ns0:f>
        <ns0:v>APP000102</ns0:v>
      </ns0:c>
      <ns0:c r="C107" s="17" t="str">
        <ns0:f>'신청원본'!C107</ns0:f>
        <ns0:v>000102</ns0:v>
      </ns0:c>
      <ns0:c r="D107" t="str">
        <ns0:f>'신청원본'!D107</ns0:f>
        <ns0:v>지원</ns0:v>
      </ns0:c>
      <ns0:c r="E107" t="str">
        <ns0:f>'신청원본'!E107</ns0:f>
        <ns0:v>C12</ns0:v>
      </ns0:c>
      <ns0:c r="F107" t="str">
        <ns0:f>'신청원본'!H107</ns0:f>
        <ns0:v>승인</ns0:v>
      </ns0:c>
      <ns0:c r="G107" s="18" t="n">
        <ns0:f>VLOOKUP(E107,'교육기준'!$B$6:$F$17,3,FALSE)</ns0:f>
        <ns0:v>292516</ns0:v>
      </ns0:c>
      <ns0:c r="H107" s="18" t="n">
        <ns0:f>'신청원본'!G107</ns0:f>
        <ns0:v>5</ns0:v>
      </ns0:c>
      <ns0:c r="I107" s="19" t="n">
        <ns0:f>'신청원본'!I107</ns0:f>
        <ns0:v>0.05</ns0:v>
      </ns0:c>
      <ns0:c r="J107" s="18" t="n">
        <ns0:f>IF(F107="승인",IF(COUNTA('신청원본'!J107)=0,ROUND(G107*H107*(1-I107),'정책'!$C$8),'신청원본'!J107),0)</ns0:f>
        <ns0:v>1389451</ns0:v>
      </ns0:c>
      <ns0:c r="K107" t="n">
        <ns0:f>SUMIFS('출결원본'!$D$6:$D$1445,'출결원본'!$B$6:$B$1445,B107)</ns0:f>
        <ns0:v>3</ns0:v>
      </ns0:c>
      <ns0:c r="L107" t="n">
        <ns0:f>VLOOKUP(B107,'평가원본'!$B$6:$D$485,2,FALSE)</ns0:f>
        <ns0:v>94</ns0:v>
      </ns0:c>
      <ns0:c r="M107" t="n">
        <ns0:f>VLOOKUP(B107,'평가원본'!$B$6:$D$485,3,FALSE)</ns0:f>
        <ns0:v>1</ns0:v>
      </ns0:c>
      <ns0:c r="N107" t="n">
        <ns0:f>VLOOKUP(E107,'교육기준'!$B$6:$F$17,5,FALSE)</ns0:f>
        <ns0:v>80</ns0:v>
      </ns0:c>
      <ns0:c r="O107" t="n">
        <ns0:f>IF(AND(F107="승인",K107&gt;='정책'!$C$6,M107=1,L107&gt;=N107),1,0)</ns0:f>
        <ns0:v>1</ns0:v>
      </ns0:c>
    </ns0:row>
    <ns0:row r="108">
      <ns0:c r="B108" s="17" t="str">
        <ns0:f>'신청원본'!B108</ns0:f>
        <ns0:v>APP000103</ns0:v>
      </ns0:c>
      <ns0:c r="C108" s="17" t="str">
        <ns0:f>'신청원본'!C108</ns0:f>
        <ns0:v>000103</ns0:v>
      </ns0:c>
      <ns0:c r="D108" t="str">
        <ns0:f>'신청원본'!D108</ns0:f>
        <ns0:v>개발</ns0:v>
      </ns0:c>
      <ns0:c r="E108" t="str">
        <ns0:f>'신청원본'!E108</ns0:f>
        <ns0:v>C07</ns0:v>
      </ns0:c>
      <ns0:c r="F108" t="str">
        <ns0:f>'신청원본'!H108</ns0:f>
        <ns0:v>승인</ns0:v>
      </ns0:c>
      <ns0:c r="G108" s="18" t="n">
        <ns0:f>VLOOKUP(E108,'교육기준'!$B$6:$F$17,3,FALSE)</ns0:f>
        <ns0:v>205011</ns0:v>
      </ns0:c>
      <ns0:c r="H108" s="18" t="n">
        <ns0:f>'신청원본'!G108</ns0:f>
        <ns0:v>0</ns0:v>
      </ns0:c>
      <ns0:c r="I108" s="19" t="n">
        <ns0:f>'신청원본'!I108</ns0:f>
        <ns0:v>0.1</ns0:v>
      </ns0:c>
      <ns0:c r="J108" s="18" t="n">
        <ns0:f>IF(F108="승인",IF(COUNTA('신청원본'!J108)=0,ROUND(G108*H108*(1-I108),'정책'!$C$8),'신청원본'!J108),0)</ns0:f>
        <ns0:v>0</ns0:v>
      </ns0:c>
      <ns0:c r="K108" t="n">
        <ns0:f>SUMIFS('출결원본'!$D$6:$D$1445,'출결원본'!$B$6:$B$1445,B108)</ns0:f>
        <ns0:v>3</ns0:v>
      </ns0:c>
      <ns0:c r="L108" t="n">
        <ns0:f>VLOOKUP(B108,'평가원본'!$B$6:$D$485,2,FALSE)</ns0:f>
        <ns0:v>50</ns0:v>
      </ns0:c>
      <ns0:c r="M108" t="n">
        <ns0:f>VLOOKUP(B108,'평가원본'!$B$6:$D$485,3,FALSE)</ns0:f>
        <ns0:v>1</ns0:v>
      </ns0:c>
      <ns0:c r="N108" t="n">
        <ns0:f>VLOOKUP(E108,'교육기준'!$B$6:$F$17,5,FALSE)</ns0:f>
        <ns0:v>60</ns0:v>
      </ns0:c>
      <ns0:c r="O108" t="n">
        <ns0:f>IF(AND(F108="승인",K108&gt;='정책'!$C$6,M108=1,L108&gt;=N108),1,0)</ns0:f>
        <ns0:v>0</ns0:v>
      </ns0:c>
    </ns0:row>
    <ns0:row r="109">
      <ns0:c r="B109" s="17" t="str">
        <ns0:f>'신청원본'!B109</ns0:f>
        <ns0:v>APP000104</ns0:v>
      </ns0:c>
      <ns0:c r="C109" s="17" t="str">
        <ns0:f>'신청원본'!C109</ns0:f>
        <ns0:v>000104</ns0:v>
      </ns0:c>
      <ns0:c r="D109" t="str">
        <ns0:f>'신청원본'!D109</ns0:f>
        <ns0:v>생산</ns0:v>
      </ns0:c>
      <ns0:c r="E109" t="str">
        <ns0:f>'신청원본'!E109</ns0:f>
        <ns0:v>C02</ns0:v>
      </ns0:c>
      <ns0:c r="F109" t="str">
        <ns0:f>'신청원본'!H109</ns0:f>
        <ns0:v>승인</ns0:v>
      </ns0:c>
      <ns0:c r="G109" s="18" t="n">
        <ns0:f>VLOOKUP(E109,'교육기준'!$B$6:$F$17,3,FALSE)</ns0:f>
        <ns0:v>117506</ns0:v>
      </ns0:c>
      <ns0:c r="H109" s="18" t="n">
        <ns0:f>'신청원본'!G109</ns0:f>
        <ns0:v>1</ns0:v>
      </ns0:c>
      <ns0:c r="I109" s="19" t="n">
        <ns0:f>'신청원본'!I109</ns0:f>
        <ns0:v>0.125</ns0:v>
      </ns0:c>
      <ns0:c r="J109" s="18" t="n">
        <ns0:f>IF(F109="승인",IF(COUNTA('신청원본'!J109)=0,ROUND(G109*H109*(1-I109),'정책'!$C$8),'신청원본'!J109),0)</ns0:f>
        <ns0:v>102818</ns0:v>
      </ns0:c>
      <ns0:c r="K109" t="n">
        <ns0:f>SUMIFS('출결원본'!$D$6:$D$1445,'출결원본'!$B$6:$B$1445,B109)</ns0:f>
        <ns0:v>3</ns0:v>
      </ns0:c>
      <ns0:c r="L109" t="n">
        <ns0:f>VLOOKUP(B109,'평가원본'!$B$6:$D$485,2,FALSE)</ns0:f>
        <ns0:v>57</ns0:v>
      </ns0:c>
      <ns0:c r="M109" t="n">
        <ns0:f>VLOOKUP(B109,'평가원본'!$B$6:$D$485,3,FALSE)</ns0:f>
        <ns0:v>1</ns0:v>
      </ns0:c>
      <ns0:c r="N109" t="n">
        <ns0:f>VLOOKUP(E109,'교육기준'!$B$6:$F$17,5,FALSE)</ns0:f>
        <ns0:v>70</ns0:v>
      </ns0:c>
      <ns0:c r="O109" t="n">
        <ns0:f>IF(AND(F109="승인",K109&gt;='정책'!$C$6,M109=1,L109&gt;=N109),1,0)</ns0:f>
        <ns0:v>0</ns0:v>
      </ns0:c>
    </ns0:row>
    <ns0:row r="110">
      <ns0:c r="B110" s="17" t="str">
        <ns0:f>'신청원본'!B110</ns0:f>
        <ns0:v>APP000105</ns0:v>
      </ns0:c>
      <ns0:c r="C110" s="17" t="str">
        <ns0:f>'신청원본'!C110</ns0:f>
        <ns0:v>000105</ns0:v>
      </ns0:c>
      <ns0:c r="D110" t="str">
        <ns0:f>'신청원본'!D110</ns0:f>
        <ns0:v>품질</ns0:v>
      </ns0:c>
      <ns0:c r="E110" t="str">
        <ns0:f>'신청원본'!E110</ns0:f>
        <ns0:v>C09</ns0:v>
      </ns0:c>
      <ns0:c r="F110" t="str">
        <ns0:f>'신청원본'!H110</ns0:f>
        <ns0:v>승인</ns0:v>
      </ns0:c>
      <ns0:c r="G110" s="18" t="n">
        <ns0:f>VLOOKUP(E110,'교육기준'!$B$6:$F$17,3,FALSE)</ns0:f>
        <ns0:v>240013</ns0:v>
      </ns0:c>
      <ns0:c r="H110" s="18" t="n">
        <ns0:f>'신청원본'!G110</ns0:f>
        <ns0:v>2</ns0:v>
      </ns0:c>
      <ns0:c r="I110" s="19" t="n">
        <ns0:f>'신청원본'!I110</ns0:f>
        <ns0:v>0</ns0:v>
      </ns0:c>
      <ns0:c r="J110" s="18" t="n">
        <ns0:f>IF(F110="승인",IF(COUNTA('신청원본'!J110)=0,ROUND(G110*H110*(1-I110),'정책'!$C$8),'신청원본'!J110),0)</ns0:f>
        <ns0:v>480026</ns0:v>
      </ns0:c>
      <ns0:c r="K110" t="n">
        <ns0:f>SUMIFS('출결원본'!$D$6:$D$1445,'출결원본'!$B$6:$B$1445,B110)</ns0:f>
        <ns0:v>2</ns0:v>
      </ns0:c>
      <ns0:c r="L110" t="n">
        <ns0:f>VLOOKUP(B110,'평가원본'!$B$6:$D$485,2,FALSE)</ns0:f>
        <ns0:v>64</ns0:v>
      </ns0:c>
      <ns0:c r="M110" t="n">
        <ns0:f>VLOOKUP(B110,'평가원본'!$B$6:$D$485,3,FALSE)</ns0:f>
        <ns0:v>1</ns0:v>
      </ns0:c>
      <ns0:c r="N110" t="n">
        <ns0:f>VLOOKUP(E110,'교육기준'!$B$6:$F$17,5,FALSE)</ns0:f>
        <ns0:v>80</ns0:v>
      </ns0:c>
      <ns0:c r="O110" t="n">
        <ns0:f>IF(AND(F110="승인",K110&gt;='정책'!$C$6,M110=1,L110&gt;=N110),1,0)</ns0:f>
        <ns0:v>0</ns0:v>
      </ns0:c>
    </ns0:row>
    <ns0:row r="111">
      <ns0:c r="B111" s="17" t="str">
        <ns0:f>'신청원본'!B111</ns0:f>
        <ns0:v>APP000106</ns0:v>
      </ns0:c>
      <ns0:c r="C111" s="17" t="str">
        <ns0:f>'신청원본'!C111</ns0:f>
        <ns0:v>000106</ns0:v>
      </ns0:c>
      <ns0:c r="D111" t="str">
        <ns0:f>'신청원본'!D111</ns0:f>
        <ns0:v>기획</ns0:v>
      </ns0:c>
      <ns0:c r="E111" t="str">
        <ns0:f>'신청원본'!E111</ns0:f>
        <ns0:v>C04</ns0:v>
      </ns0:c>
      <ns0:c r="F111" t="str">
        <ns0:f>'신청원본'!H111</ns0:f>
        <ns0:v>대기</ns0:v>
      </ns0:c>
      <ns0:c r="G111" s="18" t="n">
        <ns0:f>VLOOKUP(E111,'교육기준'!$B$6:$F$17,3,FALSE)</ns0:f>
        <ns0:v>152508</ns0:v>
      </ns0:c>
      <ns0:c r="H111" s="18" t="n">
        <ns0:f>'신청원본'!G111</ns0:f>
        <ns0:v>3</ns0:v>
      </ns0:c>
      <ns0:c r="I111" s="19" t="n">
        <ns0:f>'신청원본'!I111</ns0:f>
        <ns0:v>0.05</ns0:v>
      </ns0:c>
      <ns0:c r="J111" s="18" t="n">
        <ns0:f>IF(F111="승인",IF(COUNTA('신청원본'!J111)=0,ROUND(G111*H111*(1-I111),'정책'!$C$8),'신청원본'!J111),0)</ns0:f>
        <ns0:v>0</ns0:v>
      </ns0:c>
      <ns0:c r="K111" t="n">
        <ns0:f>SUMIFS('출결원본'!$D$6:$D$1445,'출결원본'!$B$6:$B$1445,B111)</ns0:f>
        <ns0:v>3</ns0:v>
      </ns0:c>
      <ns0:c r="L111" t="n">
        <ns0:f>VLOOKUP(B111,'평가원본'!$B$6:$D$485,2,FALSE)</ns0:f>
        <ns0:v>71</ns0:v>
      </ns0:c>
      <ns0:c r="M111" t="n">
        <ns0:f>VLOOKUP(B111,'평가원본'!$B$6:$D$485,3,FALSE)</ns0:f>
        <ns0:v>1</ns0:v>
      </ns0:c>
      <ns0:c r="N111" t="n">
        <ns0:f>VLOOKUP(E111,'교육기준'!$B$6:$F$17,5,FALSE)</ns0:f>
        <ns0:v>60</ns0:v>
      </ns0:c>
      <ns0:c r="O111" t="n">
        <ns0:f>IF(AND(F111="승인",K111&gt;='정책'!$C$6,M111=1,L111&gt;=N111),1,0)</ns0:f>
        <ns0:v>0</ns0:v>
      </ns0:c>
    </ns0:row>
    <ns0:row r="112">
      <ns0:c r="B112" s="17" t="str">
        <ns0:f>'신청원본'!B112</ns0:f>
        <ns0:v>APP000107</ns0:v>
      </ns0:c>
      <ns0:c r="C112" s="17" t="str">
        <ns0:f>'신청원본'!C112</ns0:f>
        <ns0:v>000107</ns0:v>
      </ns0:c>
      <ns0:c r="D112" t="str">
        <ns0:f>'신청원본'!D112</ns0:f>
        <ns0:v>영업</ns0:v>
      </ns0:c>
      <ns0:c r="E112" t="str">
        <ns0:f>'신청원본'!E112</ns0:f>
        <ns0:v>C11</ns0:v>
      </ns0:c>
      <ns0:c r="F112" t="str">
        <ns0:f>'신청원본'!H112</ns0:f>
        <ns0:v>승인</ns0:v>
      </ns0:c>
      <ns0:c r="G112" s="18" t="n">
        <ns0:f>VLOOKUP(E112,'교육기준'!$B$6:$F$17,3,FALSE)</ns0:f>
        <ns0:v>275015</ns0:v>
      </ns0:c>
      <ns0:c r="H112" s="18" t="n">
        <ns0:f>'신청원본'!G112</ns0:f>
        <ns0:v>4</ns0:v>
      </ns0:c>
      <ns0:c r="I112" s="19" t="n">
        <ns0:f>'신청원본'!I112</ns0:f>
        <ns0:v>0.1</ns0:v>
      </ns0:c>
      <ns0:c r="J112" s="18" t="n">
        <ns0:f>IF(F112="승인",IF(COUNTA('신청원본'!J112)=0,ROUND(G112*H112*(1-I112),'정책'!$C$8),'신청원본'!J112),0)</ns0:f>
        <ns0:v>0</ns0:v>
      </ns0:c>
      <ns0:c r="K112" t="n">
        <ns0:f>SUMIFS('출결원본'!$D$6:$D$1445,'출결원본'!$B$6:$B$1445,B112)</ns0:f>
        <ns0:v>3</ns0:v>
      </ns0:c>
      <ns0:c r="L112" t="n">
        <ns0:f>VLOOKUP(B112,'평가원본'!$B$6:$D$485,2,FALSE)</ns0:f>
        <ns0:v>78</ns0:v>
      </ns0:c>
      <ns0:c r="M112" t="n">
        <ns0:f>VLOOKUP(B112,'평가원본'!$B$6:$D$485,3,FALSE)</ns0:f>
        <ns0:v>1</ns0:v>
      </ns0:c>
      <ns0:c r="N112" t="n">
        <ns0:f>VLOOKUP(E112,'교육기준'!$B$6:$F$17,5,FALSE)</ns0:f>
        <ns0:v>70</ns0:v>
      </ns0:c>
      <ns0:c r="O112" t="n">
        <ns0:f>IF(AND(F112="승인",K112&gt;='정책'!$C$6,M112=1,L112&gt;=N112),1,0)</ns0:f>
        <ns0:v>1</ns0:v>
      </ns0:c>
    </ns0:row>
    <ns0:row r="113">
      <ns0:c r="B113" s="17" t="str">
        <ns0:f>'신청원본'!B113</ns0:f>
        <ns0:v>APP000108</ns0:v>
      </ns0:c>
      <ns0:c r="C113" s="17" t="str">
        <ns0:f>'신청원본'!C113</ns0:f>
        <ns0:v>000108</ns0:v>
      </ns0:c>
      <ns0:c r="D113" t="str">
        <ns0:f>'신청원본'!D113</ns0:f>
        <ns0:v>지원</ns0:v>
      </ns0:c>
      <ns0:c r="E113" t="str">
        <ns0:f>'신청원본'!E113</ns0:f>
        <ns0:v>C06</ns0:v>
      </ns0:c>
      <ns0:c r="F113" t="str">
        <ns0:f>'신청원본'!H113</ns0:f>
        <ns0:v>승인</ns0:v>
      </ns0:c>
      <ns0:c r="G113" s="18" t="n">
        <ns0:f>VLOOKUP(E113,'교육기준'!$B$6:$F$17,3,FALSE)</ns0:f>
        <ns0:v>187510</ns0:v>
      </ns0:c>
      <ns0:c r="H113" s="18" t="n">
        <ns0:f>'신청원본'!G113</ns0:f>
        <ns0:v>5</ns0:v>
      </ns0:c>
      <ns0:c r="I113" s="19" t="n">
        <ns0:f>'신청원본'!I113</ns0:f>
        <ns0:v>0.125</ns0:v>
      </ns0:c>
      <ns0:c r="J113" s="18" t="n">
        <ns0:f>IF(F113="승인",IF(COUNTA('신청원본'!J113)=0,ROUND(G113*H113*(1-I113),'정책'!$C$8),'신청원본'!J113),0)</ns0:f>
        <ns0:v>820356</ns0:v>
      </ns0:c>
      <ns0:c r="K113" t="n">
        <ns0:f>SUMIFS('출결원본'!$D$6:$D$1445,'출결원본'!$B$6:$B$1445,B113)</ns0:f>
        <ns0:v>3</ns0:v>
      </ns0:c>
      <ns0:c r="L113" t="n">
        <ns0:f>VLOOKUP(B113,'평가원본'!$B$6:$D$485,2,FALSE)</ns0:f>
        <ns0:v>85</ns0:v>
      </ns0:c>
      <ns0:c r="M113" t="n">
        <ns0:f>VLOOKUP(B113,'평가원본'!$B$6:$D$485,3,FALSE)</ns0:f>
        <ns0:v>1</ns0:v>
      </ns0:c>
      <ns0:c r="N113" t="n">
        <ns0:f>VLOOKUP(E113,'교육기준'!$B$6:$F$17,5,FALSE)</ns0:f>
        <ns0:v>80</ns0:v>
      </ns0:c>
      <ns0:c r="O113" t="n">
        <ns0:f>IF(AND(F113="승인",K113&gt;='정책'!$C$6,M113=1,L113&gt;=N113),1,0)</ns0:f>
        <ns0:v>1</ns0:v>
      </ns0:c>
    </ns0:row>
    <ns0:row r="114">
      <ns0:c r="B114" s="17" t="str">
        <ns0:f>'신청원본'!B114</ns0:f>
        <ns0:v>APP000109</ns0:v>
      </ns0:c>
      <ns0:c r="C114" s="17" t="str">
        <ns0:f>'신청원본'!C114</ns0:f>
        <ns0:v>000109</ns0:v>
      </ns0:c>
      <ns0:c r="D114" t="str">
        <ns0:f>'신청원본'!D114</ns0:f>
        <ns0:v>개발</ns0:v>
      </ns0:c>
      <ns0:c r="E114" t="str">
        <ns0:f>'신청원본'!E114</ns0:f>
        <ns0:v>C01</ns0:v>
      </ns0:c>
      <ns0:c r="F114" t="str">
        <ns0:f>'신청원본'!H114</ns0:f>
        <ns0:v>승인</ns0:v>
      </ns0:c>
      <ns0:c r="G114" s="18" t="n">
        <ns0:f>VLOOKUP(E114,'교육기준'!$B$6:$F$17,3,FALSE)</ns0:f>
        <ns0:v>100005</ns0:v>
      </ns0:c>
      <ns0:c r="H114" s="18" t="n">
        <ns0:f>'신청원본'!G114</ns0:f>
        <ns0:v>0</ns0:v>
      </ns0:c>
      <ns0:c r="I114" s="19" t="n">
        <ns0:f>'신청원본'!I114</ns0:f>
        <ns0:v>0</ns0:v>
      </ns0:c>
      <ns0:c r="J114" s="18" t="n">
        <ns0:f>IF(F114="승인",IF(COUNTA('신청원본'!J114)=0,ROUND(G114*H114*(1-I114),'정책'!$C$8),'신청원본'!J114),0)</ns0:f>
        <ns0:v>0</ns0:v>
      </ns0:c>
      <ns0:c r="K114" t="n">
        <ns0:f>SUMIFS('출결원본'!$D$6:$D$1445,'출결원본'!$B$6:$B$1445,B114)</ns0:f>
        <ns0:v>2</ns0:v>
      </ns0:c>
      <ns0:c r="L114" t="n">
        <ns0:f>VLOOKUP(B114,'평가원본'!$B$6:$D$485,2,FALSE)</ns0:f>
        <ns0:v>92</ns0:v>
      </ns0:c>
      <ns0:c r="M114" t="n">
        <ns0:f>VLOOKUP(B114,'평가원본'!$B$6:$D$485,3,FALSE)</ns0:f>
        <ns0:v>1</ns0:v>
      </ns0:c>
      <ns0:c r="N114" t="n">
        <ns0:f>VLOOKUP(E114,'교육기준'!$B$6:$F$17,5,FALSE)</ns0:f>
        <ns0:v>60</ns0:v>
      </ns0:c>
      <ns0:c r="O114" t="n">
        <ns0:f>IF(AND(F114="승인",K114&gt;='정책'!$C$6,M114=1,L114&gt;=N114),1,0)</ns0:f>
        <ns0:v>0</ns0:v>
      </ns0:c>
    </ns0:row>
    <ns0:row r="115">
      <ns0:c r="B115" s="17" t="str">
        <ns0:f>'신청원본'!B115</ns0:f>
        <ns0:v>APP000110</ns0:v>
      </ns0:c>
      <ns0:c r="C115" s="17" t="str">
        <ns0:f>'신청원본'!C115</ns0:f>
        <ns0:v>000110</ns0:v>
      </ns0:c>
      <ns0:c r="D115" t="str">
        <ns0:f>'신청원본'!D115</ns0:f>
        <ns0:v>생산</ns0:v>
      </ns0:c>
      <ns0:c r="E115" t="str">
        <ns0:f>'신청원본'!E115</ns0:f>
        <ns0:v>C08</ns0:v>
      </ns0:c>
      <ns0:c r="F115" t="str">
        <ns0:f>'신청원본'!H115</ns0:f>
        <ns0:v>승인</ns0:v>
      </ns0:c>
      <ns0:c r="G115" s="18" t="n">
        <ns0:f>VLOOKUP(E115,'교육기준'!$B$6:$F$17,3,FALSE)</ns0:f>
        <ns0:v>222512</ns0:v>
      </ns0:c>
      <ns0:c r="H115" s="18" t="n">
        <ns0:f>'신청원본'!G115</ns0:f>
        <ns0:v>1</ns0:v>
      </ns0:c>
      <ns0:c r="I115" s="19" t="n">
        <ns0:f>'신청원본'!I115</ns0:f>
        <ns0:v>0.05</ns0:v>
      </ns0:c>
      <ns0:c r="J115" s="18" t="n">
        <ns0:f>IF(F115="승인",IF(COUNTA('신청원본'!J115)=0,ROUND(G115*H115*(1-I115),'정책'!$C$8),'신청원본'!J115),0)</ns0:f>
        <ns0:v>211386</ns0:v>
      </ns0:c>
      <ns0:c r="K115" t="n">
        <ns0:f>SUMIFS('출결원본'!$D$6:$D$1445,'출결원본'!$B$6:$B$1445,B115)</ns0:f>
        <ns0:v>3</ns0:v>
      </ns0:c>
      <ns0:c r="L115" t="n">
        <ns0:f>VLOOKUP(B115,'평가원본'!$B$6:$D$485,2,FALSE)</ns0:f>
        <ns0:v>99</ns0:v>
      </ns0:c>
      <ns0:c r="M115" t="n">
        <ns0:f>VLOOKUP(B115,'평가원본'!$B$6:$D$485,3,FALSE)</ns0:f>
        <ns0:v>1</ns0:v>
      </ns0:c>
      <ns0:c r="N115" t="n">
        <ns0:f>VLOOKUP(E115,'교육기준'!$B$6:$F$17,5,FALSE)</ns0:f>
        <ns0:v>70</ns0:v>
      </ns0:c>
      <ns0:c r="O115" t="n">
        <ns0:f>IF(AND(F115="승인",K115&gt;='정책'!$C$6,M115=1,L115&gt;=N115),1,0)</ns0:f>
        <ns0:v>1</ns0:v>
      </ns0:c>
    </ns0:row>
    <ns0:row r="116">
      <ns0:c r="B116" s="17" t="str">
        <ns0:f>'신청원본'!B116</ns0:f>
        <ns0:v>APP000111</ns0:v>
      </ns0:c>
      <ns0:c r="C116" s="17" t="str">
        <ns0:f>'신청원본'!C116</ns0:f>
        <ns0:v>000111</ns0:v>
      </ns0:c>
      <ns0:c r="D116" t="str">
        <ns0:f>'신청원본'!D116</ns0:f>
        <ns0:v>품질</ns0:v>
      </ns0:c>
      <ns0:c r="E116" t="str">
        <ns0:f>'신청원본'!E116</ns0:f>
        <ns0:v>C03</ns0:v>
      </ns0:c>
      <ns0:c r="F116" t="str">
        <ns0:f>'신청원본'!H116</ns0:f>
        <ns0:v>취소</ns0:v>
      </ns0:c>
      <ns0:c r="G116" s="18" t="n">
        <ns0:f>VLOOKUP(E116,'교육기준'!$B$6:$F$17,3,FALSE)</ns0:f>
        <ns0:v>135007</ns0:v>
      </ns0:c>
      <ns0:c r="H116" s="18" t="n">
        <ns0:f>'신청원본'!G116</ns0:f>
        <ns0:v>2</ns0:v>
      </ns0:c>
      <ns0:c r="I116" s="19" t="n">
        <ns0:f>'신청원본'!I116</ns0:f>
        <ns0:v>0.1</ns0:v>
      </ns0:c>
      <ns0:c r="J116" s="18" t="n">
        <ns0:f>IF(F116="승인",IF(COUNTA('신청원본'!J116)=0,ROUND(G116*H116*(1-I116),'정책'!$C$8),'신청원본'!J116),0)</ns0:f>
        <ns0:v>0</ns0:v>
      </ns0:c>
      <ns0:c r="K116" t="n">
        <ns0:f>SUMIFS('출결원본'!$D$6:$D$1445,'출결원본'!$B$6:$B$1445,B116)</ns0:f>
        <ns0:v>3</ns0:v>
      </ns0:c>
      <ns0:c r="L116" t="n">
        <ns0:f>VLOOKUP(B116,'평가원본'!$B$6:$D$485,2,FALSE)</ns0:f>
        <ns0:v>55</ns0:v>
      </ns0:c>
      <ns0:c r="M116" t="n">
        <ns0:f>VLOOKUP(B116,'평가원본'!$B$6:$D$485,3,FALSE)</ns0:f>
        <ns0:v>1</ns0:v>
      </ns0:c>
      <ns0:c r="N116" t="n">
        <ns0:f>VLOOKUP(E116,'교육기준'!$B$6:$F$17,5,FALSE)</ns0:f>
        <ns0:v>80</ns0:v>
      </ns0:c>
      <ns0:c r="O116" t="n">
        <ns0:f>IF(AND(F116="승인",K116&gt;='정책'!$C$6,M116=1,L116&gt;=N116),1,0)</ns0:f>
        <ns0:v>0</ns0:v>
      </ns0:c>
    </ns0:row>
    <ns0:row r="117">
      <ns0:c r="B117" s="17" t="str">
        <ns0:f>'신청원본'!B117</ns0:f>
        <ns0:v>APP000112</ns0:v>
      </ns0:c>
      <ns0:c r="C117" s="17" t="str">
        <ns0:f>'신청원본'!C117</ns0:f>
        <ns0:v>000112</ns0:v>
      </ns0:c>
      <ns0:c r="D117" t="str">
        <ns0:f>'신청원본'!D117</ns0:f>
        <ns0:v>기획</ns0:v>
      </ns0:c>
      <ns0:c r="E117" t="str">
        <ns0:f>'신청원본'!E117</ns0:f>
        <ns0:v>C10</ns0:v>
      </ns0:c>
      <ns0:c r="F117" t="str">
        <ns0:f>'신청원본'!H117</ns0:f>
        <ns0:v>승인</ns0:v>
      </ns0:c>
      <ns0:c r="G117" s="18" t="n">
        <ns0:f>VLOOKUP(E117,'교육기준'!$B$6:$F$17,3,FALSE)</ns0:f>
        <ns0:v>257514</ns0:v>
      </ns0:c>
      <ns0:c r="H117" s="18" t="n">
        <ns0:f>'신청원본'!G117</ns0:f>
        <ns0:v>3</ns0:v>
      </ns0:c>
      <ns0:c r="I117" s="19" t="n">
        <ns0:f>'신청원본'!I117</ns0:f>
        <ns0:v>0.125</ns0:v>
      </ns0:c>
      <ns0:c r="J117" s="18" t="n">
        <ns0:f>IF(F117="승인",IF(COUNTA('신청원본'!J117)=0,ROUND(G117*H117*(1-I117),'정책'!$C$8),'신청원본'!J117),0)</ns0:f>
        <ns0:v>675974</ns0:v>
      </ns0:c>
      <ns0:c r="K117" t="n">
        <ns0:f>SUMIFS('출결원본'!$D$6:$D$1445,'출결원본'!$B$6:$B$1445,B117)</ns0:f>
        <ns0:v>3</ns0:v>
      </ns0:c>
      <ns0:c r="L117" t="n">
        <ns0:f>VLOOKUP(B117,'평가원본'!$B$6:$D$485,2,FALSE)</ns0:f>
        <ns0:v>62</ns0:v>
      </ns0:c>
      <ns0:c r="M117" t="n">
        <ns0:f>VLOOKUP(B117,'평가원본'!$B$6:$D$485,3,FALSE)</ns0:f>
        <ns0:v>1</ns0:v>
      </ns0:c>
      <ns0:c r="N117" t="n">
        <ns0:f>VLOOKUP(E117,'교육기준'!$B$6:$F$17,5,FALSE)</ns0:f>
        <ns0:v>60</ns0:v>
      </ns0:c>
      <ns0:c r="O117" t="n">
        <ns0:f>IF(AND(F117="승인",K117&gt;='정책'!$C$6,M117=1,L117&gt;=N117),1,0)</ns0:f>
        <ns0:v>1</ns0:v>
      </ns0:c>
    </ns0:row>
    <ns0:row r="118">
      <ns0:c r="B118" s="17" t="str">
        <ns0:f>'신청원본'!B118</ns0:f>
        <ns0:v>APP000113</ns0:v>
      </ns0:c>
      <ns0:c r="C118" s="17" t="str">
        <ns0:f>'신청원본'!C118</ns0:f>
        <ns0:v>000113</ns0:v>
      </ns0:c>
      <ns0:c r="D118" t="str">
        <ns0:f>'신청원본'!D118</ns0:f>
        <ns0:v>영업</ns0:v>
      </ns0:c>
      <ns0:c r="E118" t="str">
        <ns0:f>'신청원본'!E118</ns0:f>
        <ns0:v>C05</ns0:v>
      </ns0:c>
      <ns0:c r="F118" t="str">
        <ns0:f>'신청원본'!H118</ns0:f>
        <ns0:v>대기</ns0:v>
      </ns0:c>
      <ns0:c r="G118" s="18" t="n">
        <ns0:f>VLOOKUP(E118,'교육기준'!$B$6:$F$17,3,FALSE)</ns0:f>
        <ns0:v>170009</ns0:v>
      </ns0:c>
      <ns0:c r="H118" s="18" t="n">
        <ns0:f>'신청원본'!G118</ns0:f>
        <ns0:v>4</ns0:v>
      </ns0:c>
      <ns0:c r="I118" s="19" t="n">
        <ns0:f>'신청원본'!I118</ns0:f>
        <ns0:v>0</ns0:v>
      </ns0:c>
      <ns0:c r="J118" s="18" t="n">
        <ns0:f>IF(F118="승인",IF(COUNTA('신청원본'!J118)=0,ROUND(G118*H118*(1-I118),'정책'!$C$8),'신청원본'!J118),0)</ns0:f>
        <ns0:v>0</ns0:v>
      </ns0:c>
      <ns0:c r="K118" t="n">
        <ns0:f>SUMIFS('출결원본'!$D$6:$D$1445,'출결원본'!$B$6:$B$1445,B118)</ns0:f>
        <ns0:v>3</ns0:v>
      </ns0:c>
      <ns0:c r="L118" t="n">
        <ns0:f>VLOOKUP(B118,'평가원본'!$B$6:$D$485,2,FALSE)</ns0:f>
        <ns0:v>69</ns0:v>
      </ns0:c>
      <ns0:c r="M118" t="n">
        <ns0:f>VLOOKUP(B118,'평가원본'!$B$6:$D$485,3,FALSE)</ns0:f>
        <ns0:v>1</ns0:v>
      </ns0:c>
      <ns0:c r="N118" t="n">
        <ns0:f>VLOOKUP(E118,'교육기준'!$B$6:$F$17,5,FALSE)</ns0:f>
        <ns0:v>70</ns0:v>
      </ns0:c>
      <ns0:c r="O118" t="n">
        <ns0:f>IF(AND(F118="승인",K118&gt;='정책'!$C$6,M118=1,L118&gt;=N118),1,0)</ns0:f>
        <ns0:v>0</ns0:v>
      </ns0:c>
    </ns0:row>
    <ns0:row r="119">
      <ns0:c r="B119" s="17" t="str">
        <ns0:f>'신청원본'!B119</ns0:f>
        <ns0:v>APP000114</ns0:v>
      </ns0:c>
      <ns0:c r="C119" s="17" t="str">
        <ns0:f>'신청원본'!C119</ns0:f>
        <ns0:v>000114</ns0:v>
      </ns0:c>
      <ns0:c r="D119" t="str">
        <ns0:f>'신청원본'!D119</ns0:f>
        <ns0:v>지원</ns0:v>
      </ns0:c>
      <ns0:c r="E119" t="str">
        <ns0:f>'신청원본'!E119</ns0:f>
        <ns0:v>C12</ns0:v>
      </ns0:c>
      <ns0:c r="F119" t="str">
        <ns0:f>'신청원본'!H119</ns0:f>
        <ns0:v>승인</ns0:v>
      </ns0:c>
      <ns0:c r="G119" s="18" t="n">
        <ns0:f>VLOOKUP(E119,'교육기준'!$B$6:$F$17,3,FALSE)</ns0:f>
        <ns0:v>292516</ns0:v>
      </ns0:c>
      <ns0:c r="H119" s="18" t="n">
        <ns0:f>'신청원본'!G119</ns0:f>
        <ns0:v>5</ns0:v>
      </ns0:c>
      <ns0:c r="I119" s="19" t="n">
        <ns0:f>'신청원본'!I119</ns0:f>
        <ns0:v>0.05</ns0:v>
      </ns0:c>
      <ns0:c r="J119" s="18" t="n">
        <ns0:f>IF(F119="승인",IF(COUNTA('신청원본'!J119)=0,ROUND(G119*H119*(1-I119),'정책'!$C$8),'신청원본'!J119),0)</ns0:f>
        <ns0:v>1389451</ns0:v>
      </ns0:c>
      <ns0:c r="K119" t="n">
        <ns0:f>SUMIFS('출결원본'!$D$6:$D$1445,'출결원본'!$B$6:$B$1445,B119)</ns0:f>
        <ns0:v>3</ns0:v>
      </ns0:c>
      <ns0:c r="L119" t="n">
        <ns0:f>VLOOKUP(B119,'평가원본'!$B$6:$D$485,2,FALSE)</ns0:f>
        <ns0:v>76</ns0:v>
      </ns0:c>
      <ns0:c r="M119" t="n">
        <ns0:f>VLOOKUP(B119,'평가원본'!$B$6:$D$485,3,FALSE)</ns0:f>
        <ns0:v>1</ns0:v>
      </ns0:c>
      <ns0:c r="N119" t="n">
        <ns0:f>VLOOKUP(E119,'교육기준'!$B$6:$F$17,5,FALSE)</ns0:f>
        <ns0:v>80</ns0:v>
      </ns0:c>
      <ns0:c r="O119" t="n">
        <ns0:f>IF(AND(F119="승인",K119&gt;='정책'!$C$6,M119=1,L119&gt;=N119),1,0)</ns0:f>
        <ns0:v>0</ns0:v>
      </ns0:c>
    </ns0:row>
    <ns0:row r="120">
      <ns0:c r="B120" s="17" t="str">
        <ns0:f>'신청원본'!B120</ns0:f>
        <ns0:v>APP000115</ns0:v>
      </ns0:c>
      <ns0:c r="C120" s="17" t="str">
        <ns0:f>'신청원본'!C120</ns0:f>
        <ns0:v>000115</ns0:v>
      </ns0:c>
      <ns0:c r="D120" t="str">
        <ns0:f>'신청원본'!D120</ns0:f>
        <ns0:v>개발</ns0:v>
      </ns0:c>
      <ns0:c r="E120" t="str">
        <ns0:f>'신청원본'!E120</ns0:f>
        <ns0:v>C07</ns0:v>
      </ns0:c>
      <ns0:c r="F120" t="str">
        <ns0:f>'신청원본'!H120</ns0:f>
        <ns0:v>승인</ns0:v>
      </ns0:c>
      <ns0:c r="G120" s="18" t="n">
        <ns0:f>VLOOKUP(E120,'교육기준'!$B$6:$F$17,3,FALSE)</ns0:f>
        <ns0:v>205011</ns0:v>
      </ns0:c>
      <ns0:c r="H120" s="18" t="n">
        <ns0:f>'신청원본'!G120</ns0:f>
        <ns0:v>0</ns0:v>
      </ns0:c>
      <ns0:c r="I120" s="19" t="n">
        <ns0:f>'신청원본'!I120</ns0:f>
        <ns0:v>0.1</ns0:v>
      </ns0:c>
      <ns0:c r="J120" s="18" t="n">
        <ns0:f>IF(F120="승인",IF(COUNTA('신청원본'!J120)=0,ROUND(G120*H120*(1-I120),'정책'!$C$8),'신청원본'!J120),0)</ns0:f>
        <ns0:v>0</ns0:v>
      </ns0:c>
      <ns0:c r="K120" t="n">
        <ns0:f>SUMIFS('출결원본'!$D$6:$D$1445,'출결원본'!$B$6:$B$1445,B120)</ns0:f>
        <ns0:v>3</ns0:v>
      </ns0:c>
      <ns0:c r="L120" t="n">
        <ns0:f>VLOOKUP(B120,'평가원본'!$B$6:$D$485,2,FALSE)</ns0:f>
        <ns0:v>83</ns0:v>
      </ns0:c>
      <ns0:c r="M120" t="n">
        <ns0:f>VLOOKUP(B120,'평가원본'!$B$6:$D$485,3,FALSE)</ns0:f>
        <ns0:v>0</ns0:v>
      </ns0:c>
      <ns0:c r="N120" t="n">
        <ns0:f>VLOOKUP(E120,'교육기준'!$B$6:$F$17,5,FALSE)</ns0:f>
        <ns0:v>60</ns0:v>
      </ns0:c>
      <ns0:c r="O120" t="n">
        <ns0:f>IF(AND(F120="승인",K120&gt;='정책'!$C$6,M120=1,L120&gt;=N120),1,0)</ns0:f>
        <ns0:v>0</ns0:v>
      </ns0:c>
    </ns0:row>
    <ns0:row r="121">
      <ns0:c r="B121" s="17" t="str">
        <ns0:f>'신청원본'!B121</ns0:f>
        <ns0:v>APP000116</ns0:v>
      </ns0:c>
      <ns0:c r="C121" s="17" t="str">
        <ns0:f>'신청원본'!C121</ns0:f>
        <ns0:v>000116</ns0:v>
      </ns0:c>
      <ns0:c r="D121" t="str">
        <ns0:f>'신청원본'!D121</ns0:f>
        <ns0:v>생산</ns0:v>
      </ns0:c>
      <ns0:c r="E121" t="str">
        <ns0:f>'신청원본'!E121</ns0:f>
        <ns0:v>C02</ns0:v>
      </ns0:c>
      <ns0:c r="F121" t="str">
        <ns0:f>'신청원본'!H121</ns0:f>
        <ns0:v>승인</ns0:v>
      </ns0:c>
      <ns0:c r="G121" s="18" t="n">
        <ns0:f>VLOOKUP(E121,'교육기준'!$B$6:$F$17,3,FALSE)</ns0:f>
        <ns0:v>117506</ns0:v>
      </ns0:c>
      <ns0:c r="H121" s="18" t="n">
        <ns0:f>'신청원본'!G121</ns0:f>
        <ns0:v>1</ns0:v>
      </ns0:c>
      <ns0:c r="I121" s="19" t="n">
        <ns0:f>'신청원본'!I121</ns0:f>
        <ns0:v>0.125</ns0:v>
      </ns0:c>
      <ns0:c r="J121" s="18" t="n">
        <ns0:f>IF(F121="승인",IF(COUNTA('신청원본'!J121)=0,ROUND(G121*H121*(1-I121),'정책'!$C$8),'신청원본'!J121),0)</ns0:f>
        <ns0:v>102818</ns0:v>
      </ns0:c>
      <ns0:c r="K121" t="n">
        <ns0:f>SUMIFS('출결원본'!$D$6:$D$1445,'출결원본'!$B$6:$B$1445,B121)</ns0:f>
        <ns0:v>3</ns0:v>
      </ns0:c>
      <ns0:c r="L121" t="n">
        <ns0:f>VLOOKUP(B121,'평가원본'!$B$6:$D$485,2,FALSE)</ns0:f>
        <ns0:v>90</ns0:v>
      </ns0:c>
      <ns0:c r="M121" t="n">
        <ns0:f>VLOOKUP(B121,'평가원본'!$B$6:$D$485,3,FALSE)</ns0:f>
        <ns0:v>1</ns0:v>
      </ns0:c>
      <ns0:c r="N121" t="n">
        <ns0:f>VLOOKUP(E121,'교육기준'!$B$6:$F$17,5,FALSE)</ns0:f>
        <ns0:v>70</ns0:v>
      </ns0:c>
      <ns0:c r="O121" t="n">
        <ns0:f>IF(AND(F121="승인",K121&gt;='정책'!$C$6,M121=1,L121&gt;=N121),1,0)</ns0:f>
        <ns0:v>1</ns0:v>
      </ns0:c>
    </ns0:row>
    <ns0:row r="122">
      <ns0:c r="B122" s="17" t="str">
        <ns0:f>'신청원본'!B122</ns0:f>
        <ns0:v>APP000117</ns0:v>
      </ns0:c>
      <ns0:c r="C122" s="17" t="str">
        <ns0:f>'신청원본'!C122</ns0:f>
        <ns0:v>000117</ns0:v>
      </ns0:c>
      <ns0:c r="D122" t="str">
        <ns0:f>'신청원본'!D122</ns0:f>
        <ns0:v>품질</ns0:v>
      </ns0:c>
      <ns0:c r="E122" t="str">
        <ns0:f>'신청원본'!E122</ns0:f>
        <ns0:v>C09</ns0:v>
      </ns0:c>
      <ns0:c r="F122" t="str">
        <ns0:f>'신청원본'!H122</ns0:f>
        <ns0:v>승인</ns0:v>
      </ns0:c>
      <ns0:c r="G122" s="18" t="n">
        <ns0:f>VLOOKUP(E122,'교육기준'!$B$6:$F$17,3,FALSE)</ns0:f>
        <ns0:v>240013</ns0:v>
      </ns0:c>
      <ns0:c r="H122" s="18" t="n">
        <ns0:f>'신청원본'!G122</ns0:f>
        <ns0:v>2</ns0:v>
      </ns0:c>
      <ns0:c r="I122" s="19" t="n">
        <ns0:f>'신청원본'!I122</ns0:f>
        <ns0:v>0</ns0:v>
      </ns0:c>
      <ns0:c r="J122" s="18" t="n">
        <ns0:f>IF(F122="승인",IF(COUNTA('신청원본'!J122)=0,ROUND(G122*H122*(1-I122),'정책'!$C$8),'신청원본'!J122),0)</ns0:f>
        <ns0:v>480026</ns0:v>
      </ns0:c>
      <ns0:c r="K122" t="n">
        <ns0:f>SUMIFS('출결원본'!$D$6:$D$1445,'출결원본'!$B$6:$B$1445,B122)</ns0:f>
        <ns0:v>3</ns0:v>
      </ns0:c>
      <ns0:c r="L122" t="n">
        <ns0:f>VLOOKUP(B122,'평가원본'!$B$6:$D$485,2,FALSE)</ns0:f>
        <ns0:v>97</ns0:v>
      </ns0:c>
      <ns0:c r="M122" t="n">
        <ns0:f>VLOOKUP(B122,'평가원본'!$B$6:$D$485,3,FALSE)</ns0:f>
        <ns0:v>1</ns0:v>
      </ns0:c>
      <ns0:c r="N122" t="n">
        <ns0:f>VLOOKUP(E122,'교육기준'!$B$6:$F$17,5,FALSE)</ns0:f>
        <ns0:v>80</ns0:v>
      </ns0:c>
      <ns0:c r="O122" t="n">
        <ns0:f>IF(AND(F122="승인",K122&gt;='정책'!$C$6,M122=1,L122&gt;=N122),1,0)</ns0:f>
        <ns0:v>1</ns0:v>
      </ns0:c>
    </ns0:row>
    <ns0:row r="123">
      <ns0:c r="B123" s="17" t="str">
        <ns0:f>'신청원본'!B123</ns0:f>
        <ns0:v>APP000118</ns0:v>
      </ns0:c>
      <ns0:c r="C123" s="17" t="str">
        <ns0:f>'신청원본'!C123</ns0:f>
        <ns0:v>000118</ns0:v>
      </ns0:c>
      <ns0:c r="D123" t="str">
        <ns0:f>'신청원본'!D123</ns0:f>
        <ns0:v>기획</ns0:v>
      </ns0:c>
      <ns0:c r="E123" t="str">
        <ns0:f>'신청원본'!E123</ns0:f>
        <ns0:v>C04</ns0:v>
      </ns0:c>
      <ns0:c r="F123" t="str">
        <ns0:f>'신청원본'!H123</ns0:f>
        <ns0:v>승인</ns0:v>
      </ns0:c>
      <ns0:c r="G123" s="18" t="n">
        <ns0:f>VLOOKUP(E123,'교육기준'!$B$6:$F$17,3,FALSE)</ns0:f>
        <ns0:v>152508</ns0:v>
      </ns0:c>
      <ns0:c r="H123" s="18" t="n">
        <ns0:f>'신청원본'!G123</ns0:f>
        <ns0:v>3</ns0:v>
      </ns0:c>
      <ns0:c r="I123" s="19" t="n">
        <ns0:f>'신청원본'!I123</ns0:f>
        <ns0:v>0.05</ns0:v>
      </ns0:c>
      <ns0:c r="J123" s="18" t="n">
        <ns0:f>IF(F123="승인",IF(COUNTA('신청원본'!J123)=0,ROUND(G123*H123*(1-I123),'정책'!$C$8),'신청원본'!J123),0)</ns0:f>
        <ns0:v>434648</ns0:v>
      </ns0:c>
      <ns0:c r="K123" t="n">
        <ns0:f>SUMIFS('출결원본'!$D$6:$D$1445,'출결원본'!$B$6:$B$1445,B123)</ns0:f>
        <ns0:v>1</ns0:v>
      </ns0:c>
      <ns0:c r="L123" t="n">
        <ns0:f>VLOOKUP(B123,'평가원본'!$B$6:$D$485,2,FALSE)</ns0:f>
        <ns0:v>53</ns0:v>
      </ns0:c>
      <ns0:c r="M123" t="n">
        <ns0:f>VLOOKUP(B123,'평가원본'!$B$6:$D$485,3,FALSE)</ns0:f>
        <ns0:v>1</ns0:v>
      </ns0:c>
      <ns0:c r="N123" t="n">
        <ns0:f>VLOOKUP(E123,'교육기준'!$B$6:$F$17,5,FALSE)</ns0:f>
        <ns0:v>60</ns0:v>
      </ns0:c>
      <ns0:c r="O123" t="n">
        <ns0:f>IF(AND(F123="승인",K123&gt;='정책'!$C$6,M123=1,L123&gt;=N123),1,0)</ns0:f>
        <ns0:v>0</ns0:v>
      </ns0:c>
    </ns0:row>
    <ns0:row r="124">
      <ns0:c r="B124" s="17" t="str">
        <ns0:f>'신청원본'!B124</ns0:f>
        <ns0:v>APP000119</ns0:v>
      </ns0:c>
      <ns0:c r="C124" s="17" t="str">
        <ns0:f>'신청원본'!C124</ns0:f>
        <ns0:v>000119</ns0:v>
      </ns0:c>
      <ns0:c r="D124" t="str">
        <ns0:f>'신청원본'!D124</ns0:f>
        <ns0:v>영업</ns0:v>
      </ns0:c>
      <ns0:c r="E124" t="str">
        <ns0:f>'신청원본'!E124</ns0:f>
        <ns0:v>C11</ns0:v>
      </ns0:c>
      <ns0:c r="F124" t="str">
        <ns0:f>'신청원본'!H124</ns0:f>
        <ns0:v>승인</ns0:v>
      </ns0:c>
      <ns0:c r="G124" s="18" t="n">
        <ns0:f>VLOOKUP(E124,'교육기준'!$B$6:$F$17,3,FALSE)</ns0:f>
        <ns0:v>275015</ns0:v>
      </ns0:c>
      <ns0:c r="H124" s="18" t="n">
        <ns0:f>'신청원본'!G124</ns0:f>
        <ns0:v>4</ns0:v>
      </ns0:c>
      <ns0:c r="I124" s="19" t="n">
        <ns0:f>'신청원본'!I124</ns0:f>
        <ns0:v>0.1</ns0:v>
      </ns0:c>
      <ns0:c r="J124" s="18" t="n">
        <ns0:f>IF(F124="승인",IF(COUNTA('신청원본'!J124)=0,ROUND(G124*H124*(1-I124),'정책'!$C$8),'신청원본'!J124),0)</ns0:f>
        <ns0:v>990054</ns0:v>
      </ns0:c>
      <ns0:c r="K124" t="n">
        <ns0:f>SUMIFS('출결원본'!$D$6:$D$1445,'출결원본'!$B$6:$B$1445,B124)</ns0:f>
        <ns0:v>3</ns0:v>
      </ns0:c>
      <ns0:c r="L124" t="n">
        <ns0:f>VLOOKUP(B124,'평가원본'!$B$6:$D$485,2,FALSE)</ns0:f>
        <ns0:v>60</ns0:v>
      </ns0:c>
      <ns0:c r="M124" t="n">
        <ns0:f>VLOOKUP(B124,'평가원본'!$B$6:$D$485,3,FALSE)</ns0:f>
        <ns0:v>1</ns0:v>
      </ns0:c>
      <ns0:c r="N124" t="n">
        <ns0:f>VLOOKUP(E124,'교육기준'!$B$6:$F$17,5,FALSE)</ns0:f>
        <ns0:v>70</ns0:v>
      </ns0:c>
      <ns0:c r="O124" t="n">
        <ns0:f>IF(AND(F124="승인",K124&gt;='정책'!$C$6,M124=1,L124&gt;=N124),1,0)</ns0:f>
        <ns0:v>0</ns0:v>
      </ns0:c>
    </ns0:row>
    <ns0:row r="125">
      <ns0:c r="B125" s="17" t="str">
        <ns0:f>'신청원본'!B125</ns0:f>
        <ns0:v>APP000120</ns0:v>
      </ns0:c>
      <ns0:c r="C125" s="17" t="str">
        <ns0:f>'신청원본'!C125</ns0:f>
        <ns0:v>000120</ns0:v>
      </ns0:c>
      <ns0:c r="D125" t="str">
        <ns0:f>'신청원본'!D125</ns0:f>
        <ns0:v>지원</ns0:v>
      </ns0:c>
      <ns0:c r="E125" t="str">
        <ns0:f>'신청원본'!E125</ns0:f>
        <ns0:v>C06</ns0:v>
      </ns0:c>
      <ns0:c r="F125" t="str">
        <ns0:f>'신청원본'!H125</ns0:f>
        <ns0:v>대기</ns0:v>
      </ns0:c>
      <ns0:c r="G125" s="18" t="n">
        <ns0:f>VLOOKUP(E125,'교육기준'!$B$6:$F$17,3,FALSE)</ns0:f>
        <ns0:v>187510</ns0:v>
      </ns0:c>
      <ns0:c r="H125" s="18" t="n">
        <ns0:f>'신청원본'!G125</ns0:f>
        <ns0:v>5</ns0:v>
      </ns0:c>
      <ns0:c r="I125" s="19" t="n">
        <ns0:f>'신청원본'!I125</ns0:f>
        <ns0:v>0.125</ns0:v>
      </ns0:c>
      <ns0:c r="J125" s="18" t="n">
        <ns0:f>IF(F125="승인",IF(COUNTA('신청원본'!J125)=0,ROUND(G125*H125*(1-I125),'정책'!$C$8),'신청원본'!J125),0)</ns0:f>
        <ns0:v>0</ns0:v>
      </ns0:c>
      <ns0:c r="K125" t="n">
        <ns0:f>SUMIFS('출결원본'!$D$6:$D$1445,'출결원본'!$B$6:$B$1445,B125)</ns0:f>
        <ns0:v>3</ns0:v>
      </ns0:c>
      <ns0:c r="L125" t="n">
        <ns0:f>VLOOKUP(B125,'평가원본'!$B$6:$D$485,2,FALSE)</ns0:f>
        <ns0:v>67</ns0:v>
      </ns0:c>
      <ns0:c r="M125" t="n">
        <ns0:f>VLOOKUP(B125,'평가원본'!$B$6:$D$485,3,FALSE)</ns0:f>
        <ns0:v>1</ns0:v>
      </ns0:c>
      <ns0:c r="N125" t="n">
        <ns0:f>VLOOKUP(E125,'교육기준'!$B$6:$F$17,5,FALSE)</ns0:f>
        <ns0:v>80</ns0:v>
      </ns0:c>
      <ns0:c r="O125" t="n">
        <ns0:f>IF(AND(F125="승인",K125&gt;='정책'!$C$6,M125=1,L125&gt;=N125),1,0)</ns0:f>
        <ns0:v>0</ns0:v>
      </ns0:c>
    </ns0:row>
    <ns0:row r="126">
      <ns0:c r="B126" s="17" t="str">
        <ns0:f>'신청원본'!B126</ns0:f>
        <ns0:v>APP000121</ns0:v>
      </ns0:c>
      <ns0:c r="C126" s="17" t="str">
        <ns0:f>'신청원본'!C126</ns0:f>
        <ns0:v>000121</ns0:v>
      </ns0:c>
      <ns0:c r="D126" t="str">
        <ns0:f>'신청원본'!D126</ns0:f>
        <ns0:v>개발</ns0:v>
      </ns0:c>
      <ns0:c r="E126" t="str">
        <ns0:f>'신청원본'!E126</ns0:f>
        <ns0:v>C01</ns0:v>
      </ns0:c>
      <ns0:c r="F126" t="str">
        <ns0:f>'신청원본'!H126</ns0:f>
        <ns0:v>승인</ns0:v>
      </ns0:c>
      <ns0:c r="G126" s="18" t="n">
        <ns0:f>VLOOKUP(E126,'교육기준'!$B$6:$F$17,3,FALSE)</ns0:f>
        <ns0:v>100005</ns0:v>
      </ns0:c>
      <ns0:c r="H126" s="18" t="n">
        <ns0:f>'신청원본'!G126</ns0:f>
        <ns0:v>0</ns0:v>
      </ns0:c>
      <ns0:c r="I126" s="19" t="n">
        <ns0:f>'신청원본'!I126</ns0:f>
        <ns0:v>0</ns0:v>
      </ns0:c>
      <ns0:c r="J126" s="18" t="n">
        <ns0:f>IF(F126="승인",IF(COUNTA('신청원본'!J126)=0,ROUND(G126*H126*(1-I126),'정책'!$C$8),'신청원본'!J126),0)</ns0:f>
        <ns0:v>0</ns0:v>
      </ns0:c>
      <ns0:c r="K126" t="n">
        <ns0:f>SUMIFS('출결원본'!$D$6:$D$1445,'출결원본'!$B$6:$B$1445,B126)</ns0:f>
        <ns0:v>3</ns0:v>
      </ns0:c>
      <ns0:c r="L126" t="n">
        <ns0:f>VLOOKUP(B126,'평가원본'!$B$6:$D$485,2,FALSE)</ns0:f>
        <ns0:v>74</ns0:v>
      </ns0:c>
      <ns0:c r="M126" t="n">
        <ns0:f>VLOOKUP(B126,'평가원본'!$B$6:$D$485,3,FALSE)</ns0:f>
        <ns0:v>1</ns0:v>
      </ns0:c>
      <ns0:c r="N126" t="n">
        <ns0:f>VLOOKUP(E126,'교육기준'!$B$6:$F$17,5,FALSE)</ns0:f>
        <ns0:v>60</ns0:v>
      </ns0:c>
      <ns0:c r="O126" t="n">
        <ns0:f>IF(AND(F126="승인",K126&gt;='정책'!$C$6,M126=1,L126&gt;=N126),1,0)</ns0:f>
        <ns0:v>1</ns0:v>
      </ns0:c>
    </ns0:row>
    <ns0:row r="127">
      <ns0:c r="B127" s="17" t="str">
        <ns0:f>'신청원본'!B127</ns0:f>
        <ns0:v>APP000122</ns0:v>
      </ns0:c>
      <ns0:c r="C127" s="17" t="str">
        <ns0:f>'신청원본'!C127</ns0:f>
        <ns0:v>000122</ns0:v>
      </ns0:c>
      <ns0:c r="D127" t="str">
        <ns0:f>'신청원본'!D127</ns0:f>
        <ns0:v>생산</ns0:v>
      </ns0:c>
      <ns0:c r="E127" t="str">
        <ns0:f>'신청원본'!E127</ns0:f>
        <ns0:v>C08</ns0:v>
      </ns0:c>
      <ns0:c r="F127" t="str">
        <ns0:f>'신청원본'!H127</ns0:f>
        <ns0:v>취소</ns0:v>
      </ns0:c>
      <ns0:c r="G127" s="18" t="n">
        <ns0:f>VLOOKUP(E127,'교육기준'!$B$6:$F$17,3,FALSE)</ns0:f>
        <ns0:v>222512</ns0:v>
      </ns0:c>
      <ns0:c r="H127" s="18" t="n">
        <ns0:f>'신청원본'!G127</ns0:f>
        <ns0:v>1</ns0:v>
      </ns0:c>
      <ns0:c r="I127" s="19" t="n">
        <ns0:f>'신청원본'!I127</ns0:f>
        <ns0:v>0.05</ns0:v>
      </ns0:c>
      <ns0:c r="J127" s="18" t="n">
        <ns0:f>IF(F127="승인",IF(COUNTA('신청원본'!J127)=0,ROUND(G127*H127*(1-I127),'정책'!$C$8),'신청원본'!J127),0)</ns0:f>
        <ns0:v>0</ns0:v>
      </ns0:c>
      <ns0:c r="K127" t="n">
        <ns0:f>SUMIFS('출결원본'!$D$6:$D$1445,'출결원본'!$B$6:$B$1445,B127)</ns0:f>
        <ns0:v>3</ns0:v>
      </ns0:c>
      <ns0:c r="L127" t="n">
        <ns0:f>VLOOKUP(B127,'평가원본'!$B$6:$D$485,2,FALSE)</ns0:f>
        <ns0:v>81</ns0:v>
      </ns0:c>
      <ns0:c r="M127" t="n">
        <ns0:f>VLOOKUP(B127,'평가원본'!$B$6:$D$485,3,FALSE)</ns0:f>
        <ns0:v>1</ns0:v>
      </ns0:c>
      <ns0:c r="N127" t="n">
        <ns0:f>VLOOKUP(E127,'교육기준'!$B$6:$F$17,5,FALSE)</ns0:f>
        <ns0:v>70</ns0:v>
      </ns0:c>
      <ns0:c r="O127" t="n">
        <ns0:f>IF(AND(F127="승인",K127&gt;='정책'!$C$6,M127=1,L127&gt;=N127),1,0)</ns0:f>
        <ns0:v>0</ns0:v>
      </ns0:c>
    </ns0:row>
    <ns0:row r="128">
      <ns0:c r="B128" s="17" t="str">
        <ns0:f>'신청원본'!B128</ns0:f>
        <ns0:v>APP000123</ns0:v>
      </ns0:c>
      <ns0:c r="C128" s="17" t="str">
        <ns0:f>'신청원본'!C128</ns0:f>
        <ns0:v>000123</ns0:v>
      </ns0:c>
      <ns0:c r="D128" t="str">
        <ns0:f>'신청원본'!D128</ns0:f>
        <ns0:v>품질</ns0:v>
      </ns0:c>
      <ns0:c r="E128" t="str">
        <ns0:f>'신청원본'!E128</ns0:f>
        <ns0:v>C03</ns0:v>
      </ns0:c>
      <ns0:c r="F128" t="str">
        <ns0:f>'신청원본'!H128</ns0:f>
        <ns0:v>승인</ns0:v>
      </ns0:c>
      <ns0:c r="G128" s="18" t="n">
        <ns0:f>VLOOKUP(E128,'교육기준'!$B$6:$F$17,3,FALSE)</ns0:f>
        <ns0:v>135007</ns0:v>
      </ns0:c>
      <ns0:c r="H128" s="18" t="n">
        <ns0:f>'신청원본'!G128</ns0:f>
        <ns0:v>2</ns0:v>
      </ns0:c>
      <ns0:c r="I128" s="19" t="n">
        <ns0:f>'신청원본'!I128</ns0:f>
        <ns0:v>0.1</ns0:v>
      </ns0:c>
      <ns0:c r="J128" s="18" t="n">
        <ns0:f>IF(F128="승인",IF(COUNTA('신청원본'!J128)=0,ROUND(G128*H128*(1-I128),'정책'!$C$8),'신청원본'!J128),0)</ns0:f>
        <ns0:v>243013</ns0:v>
      </ns0:c>
      <ns0:c r="K128" t="n">
        <ns0:f>SUMIFS('출결원본'!$D$6:$D$1445,'출결원본'!$B$6:$B$1445,B128)</ns0:f>
        <ns0:v>3</ns0:v>
      </ns0:c>
      <ns0:c r="L128" t="n">
        <ns0:f>VLOOKUP(B128,'평가원본'!$B$6:$D$485,2,FALSE)</ns0:f>
        <ns0:v>88</ns0:v>
      </ns0:c>
      <ns0:c r="M128" t="n">
        <ns0:f>VLOOKUP(B128,'평가원본'!$B$6:$D$485,3,FALSE)</ns0:f>
        <ns0:v>1</ns0:v>
      </ns0:c>
      <ns0:c r="N128" t="n">
        <ns0:f>VLOOKUP(E128,'교육기준'!$B$6:$F$17,5,FALSE)</ns0:f>
        <ns0:v>80</ns0:v>
      </ns0:c>
      <ns0:c r="O128" t="n">
        <ns0:f>IF(AND(F128="승인",K128&gt;='정책'!$C$6,M128=1,L128&gt;=N128),1,0)</ns0:f>
        <ns0:v>1</ns0:v>
      </ns0:c>
    </ns0:row>
    <ns0:row r="129">
      <ns0:c r="B129" s="17" t="str">
        <ns0:f>'신청원본'!B129</ns0:f>
        <ns0:v>APP000124</ns0:v>
      </ns0:c>
      <ns0:c r="C129" s="17" t="str">
        <ns0:f>'신청원본'!C129</ns0:f>
        <ns0:v>000124</ns0:v>
      </ns0:c>
      <ns0:c r="D129" t="str">
        <ns0:f>'신청원본'!D129</ns0:f>
        <ns0:v>기획</ns0:v>
      </ns0:c>
      <ns0:c r="E129" t="str">
        <ns0:f>'신청원본'!E129</ns0:f>
        <ns0:v>C10</ns0:v>
      </ns0:c>
      <ns0:c r="F129" t="str">
        <ns0:f>'신청원본'!H129</ns0:f>
        <ns0:v>승인</ns0:v>
      </ns0:c>
      <ns0:c r="G129" s="18" t="n">
        <ns0:f>VLOOKUP(E129,'교육기준'!$B$6:$F$17,3,FALSE)</ns0:f>
        <ns0:v>257514</ns0:v>
      </ns0:c>
      <ns0:c r="H129" s="18" t="n">
        <ns0:f>'신청원본'!G129</ns0:f>
        <ns0:v>3</ns0:v>
      </ns0:c>
      <ns0:c r="I129" s="19" t="n">
        <ns0:f>'신청원본'!I129</ns0:f>
        <ns0:v>0.125</ns0:v>
      </ns0:c>
      <ns0:c r="J129" s="18" t="n">
        <ns0:f>IF(F129="승인",IF(COUNTA('신청원본'!J129)=0,ROUND(G129*H129*(1-I129),'정책'!$C$8),'신청원본'!J129),0)</ns0:f>
        <ns0:v>675974</ns0:v>
      </ns0:c>
      <ns0:c r="K129" t="n">
        <ns0:f>SUMIFS('출결원본'!$D$6:$D$1445,'출결원본'!$B$6:$B$1445,B129)</ns0:f>
        <ns0:v>3</ns0:v>
      </ns0:c>
      <ns0:c r="L129" t="n">
        <ns0:f>VLOOKUP(B129,'평가원본'!$B$6:$D$485,2,FALSE)</ns0:f>
        <ns0:v>95</ns0:v>
      </ns0:c>
      <ns0:c r="M129" t="n">
        <ns0:f>VLOOKUP(B129,'평가원본'!$B$6:$D$485,3,FALSE)</ns0:f>
        <ns0:v>1</ns0:v>
      </ns0:c>
      <ns0:c r="N129" t="n">
        <ns0:f>VLOOKUP(E129,'교육기준'!$B$6:$F$17,5,FALSE)</ns0:f>
        <ns0:v>60</ns0:v>
      </ns0:c>
      <ns0:c r="O129" t="n">
        <ns0:f>IF(AND(F129="승인",K129&gt;='정책'!$C$6,M129=1,L129&gt;=N129),1,0)</ns0:f>
        <ns0:v>1</ns0:v>
      </ns0:c>
    </ns0:row>
    <ns0:row r="130">
      <ns0:c r="B130" s="17" t="str">
        <ns0:f>'신청원본'!B130</ns0:f>
        <ns0:v>APP000125</ns0:v>
      </ns0:c>
      <ns0:c r="C130" s="17" t="str">
        <ns0:f>'신청원본'!C130</ns0:f>
        <ns0:v>000125</ns0:v>
      </ns0:c>
      <ns0:c r="D130" t="str">
        <ns0:f>'신청원본'!D130</ns0:f>
        <ns0:v>영업</ns0:v>
      </ns0:c>
      <ns0:c r="E130" t="str">
        <ns0:f>'신청원본'!E130</ns0:f>
        <ns0:v>C05</ns0:v>
      </ns0:c>
      <ns0:c r="F130" t="str">
        <ns0:f>'신청원본'!H130</ns0:f>
        <ns0:v>승인</ns0:v>
      </ns0:c>
      <ns0:c r="G130" s="18" t="n">
        <ns0:f>VLOOKUP(E130,'교육기준'!$B$6:$F$17,3,FALSE)</ns0:f>
        <ns0:v>170009</ns0:v>
      </ns0:c>
      <ns0:c r="H130" s="18" t="n">
        <ns0:f>'신청원본'!G130</ns0:f>
        <ns0:v>4</ns0:v>
      </ns0:c>
      <ns0:c r="I130" s="19" t="n">
        <ns0:f>'신청원본'!I130</ns0:f>
        <ns0:v>0</ns0:v>
      </ns0:c>
      <ns0:c r="J130" s="18" t="n">
        <ns0:f>IF(F130="승인",IF(COUNTA('신청원본'!J130)=0,ROUND(G130*H130*(1-I130),'정책'!$C$8),'신청원본'!J130),0)</ns0:f>
        <ns0:v>680036</ns0:v>
      </ns0:c>
      <ns0:c r="K130" t="n">
        <ns0:f>SUMIFS('출결원본'!$D$6:$D$1445,'출결원본'!$B$6:$B$1445,B130)</ns0:f>
        <ns0:v>3</ns0:v>
      </ns0:c>
      <ns0:c r="L130" t="n">
        <ns0:f>VLOOKUP(B130,'평가원본'!$B$6:$D$485,2,FALSE)</ns0:f>
        <ns0:v>51</ns0:v>
      </ns0:c>
      <ns0:c r="M130" t="n">
        <ns0:f>VLOOKUP(B130,'평가원본'!$B$6:$D$485,3,FALSE)</ns0:f>
        <ns0:v>1</ns0:v>
      </ns0:c>
      <ns0:c r="N130" t="n">
        <ns0:f>VLOOKUP(E130,'교육기준'!$B$6:$F$17,5,FALSE)</ns0:f>
        <ns0:v>70</ns0:v>
      </ns0:c>
      <ns0:c r="O130" t="n">
        <ns0:f>IF(AND(F130="승인",K130&gt;='정책'!$C$6,M130=1,L130&gt;=N130),1,0)</ns0:f>
        <ns0:v>0</ns0:v>
      </ns0:c>
    </ns0:row>
    <ns0:row r="131">
      <ns0:c r="B131" s="17" t="str">
        <ns0:f>'신청원본'!B131</ns0:f>
        <ns0:v>APP000126</ns0:v>
      </ns0:c>
      <ns0:c r="C131" s="17" t="str">
        <ns0:f>'신청원본'!C131</ns0:f>
        <ns0:v>000126</ns0:v>
      </ns0:c>
      <ns0:c r="D131" t="str">
        <ns0:f>'신청원본'!D131</ns0:f>
        <ns0:v>지원</ns0:v>
      </ns0:c>
      <ns0:c r="E131" t="str">
        <ns0:f>'신청원본'!E131</ns0:f>
        <ns0:v>C12</ns0:v>
      </ns0:c>
      <ns0:c r="F131" t="str">
        <ns0:f>'신청원본'!H131</ns0:f>
        <ns0:v>승인</ns0:v>
      </ns0:c>
      <ns0:c r="G131" s="18" t="n">
        <ns0:f>VLOOKUP(E131,'교육기준'!$B$6:$F$17,3,FALSE)</ns0:f>
        <ns0:v>292516</ns0:v>
      </ns0:c>
      <ns0:c r="H131" s="18" t="n">
        <ns0:f>'신청원본'!G131</ns0:f>
        <ns0:v>5</ns0:v>
      </ns0:c>
      <ns0:c r="I131" s="19" t="n">
        <ns0:f>'신청원본'!I131</ns0:f>
        <ns0:v>0.05</ns0:v>
      </ns0:c>
      <ns0:c r="J131" s="18" t="n">
        <ns0:f>IF(F131="승인",IF(COUNTA('신청원본'!J131)=0,ROUND(G131*H131*(1-I131),'정책'!$C$8),'신청원본'!J131),0)</ns0:f>
        <ns0:v>1389451</ns0:v>
      </ns0:c>
      <ns0:c r="K131" t="n">
        <ns0:f>SUMIFS('출결원본'!$D$6:$D$1445,'출결원본'!$B$6:$B$1445,B131)</ns0:f>
        <ns0:v>3</ns0:v>
      </ns0:c>
      <ns0:c r="L131" t="n">
        <ns0:f>VLOOKUP(B131,'평가원본'!$B$6:$D$485,2,FALSE)</ns0:f>
        <ns0:v>58</ns0:v>
      </ns0:c>
      <ns0:c r="M131" t="n">
        <ns0:f>VLOOKUP(B131,'평가원본'!$B$6:$D$485,3,FALSE)</ns0:f>
        <ns0:v>1</ns0:v>
      </ns0:c>
      <ns0:c r="N131" t="n">
        <ns0:f>VLOOKUP(E131,'교육기준'!$B$6:$F$17,5,FALSE)</ns0:f>
        <ns0:v>80</ns0:v>
      </ns0:c>
      <ns0:c r="O131" t="n">
        <ns0:f>IF(AND(F131="승인",K131&gt;='정책'!$C$6,M131=1,L131&gt;=N131),1,0)</ns0:f>
        <ns0:v>0</ns0:v>
      </ns0:c>
    </ns0:row>
    <ns0:row r="132">
      <ns0:c r="B132" s="17" t="str">
        <ns0:f>'신청원본'!B132</ns0:f>
        <ns0:v>APP000127</ns0:v>
      </ns0:c>
      <ns0:c r="C132" s="17" t="str">
        <ns0:f>'신청원본'!C132</ns0:f>
        <ns0:v>000127</ns0:v>
      </ns0:c>
      <ns0:c r="D132" t="str">
        <ns0:f>'신청원본'!D132</ns0:f>
        <ns0:v>개발</ns0:v>
      </ns0:c>
      <ns0:c r="E132" t="str">
        <ns0:f>'신청원본'!E132</ns0:f>
        <ns0:v>C07</ns0:v>
      </ns0:c>
      <ns0:c r="F132" t="str">
        <ns0:f>'신청원본'!H132</ns0:f>
        <ns0:v>대기</ns0:v>
      </ns0:c>
      <ns0:c r="G132" s="18" t="n">
        <ns0:f>VLOOKUP(E132,'교육기준'!$B$6:$F$17,3,FALSE)</ns0:f>
        <ns0:v>205011</ns0:v>
      </ns0:c>
      <ns0:c r="H132" s="18" t="n">
        <ns0:f>'신청원본'!G132</ns0:f>
        <ns0:v>0</ns0:v>
      </ns0:c>
      <ns0:c r="I132" s="19" t="n">
        <ns0:f>'신청원본'!I132</ns0:f>
        <ns0:v>0.1</ns0:v>
      </ns0:c>
      <ns0:c r="J132" s="18" t="n">
        <ns0:f>IF(F132="승인",IF(COUNTA('신청원본'!J132)=0,ROUND(G132*H132*(1-I132),'정책'!$C$8),'신청원본'!J132),0)</ns0:f>
        <ns0:v>0</ns0:v>
      </ns0:c>
      <ns0:c r="K132" t="n">
        <ns0:f>SUMIFS('출결원본'!$D$6:$D$1445,'출결원본'!$B$6:$B$1445,B132)</ns0:f>
        <ns0:v>2</ns0:v>
      </ns0:c>
      <ns0:c r="L132" t="n">
        <ns0:f>VLOOKUP(B132,'평가원본'!$B$6:$D$485,2,FALSE)</ns0:f>
        <ns0:v>65</ns0:v>
      </ns0:c>
      <ns0:c r="M132" t="n">
        <ns0:f>VLOOKUP(B132,'평가원본'!$B$6:$D$485,3,FALSE)</ns0:f>
        <ns0:v>1</ns0:v>
      </ns0:c>
      <ns0:c r="N132" t="n">
        <ns0:f>VLOOKUP(E132,'교육기준'!$B$6:$F$17,5,FALSE)</ns0:f>
        <ns0:v>60</ns0:v>
      </ns0:c>
      <ns0:c r="O132" t="n">
        <ns0:f>IF(AND(F132="승인",K132&gt;='정책'!$C$6,M132=1,L132&gt;=N132),1,0)</ns0:f>
        <ns0:v>0</ns0:v>
      </ns0:c>
    </ns0:row>
    <ns0:row r="133">
      <ns0:c r="B133" s="17" t="str">
        <ns0:f>'신청원본'!B133</ns0:f>
        <ns0:v>APP000128</ns0:v>
      </ns0:c>
      <ns0:c r="C133" s="17" t="str">
        <ns0:f>'신청원본'!C133</ns0:f>
        <ns0:v>000128</ns0:v>
      </ns0:c>
      <ns0:c r="D133" t="str">
        <ns0:f>'신청원본'!D133</ns0:f>
        <ns0:v>생산</ns0:v>
      </ns0:c>
      <ns0:c r="E133" t="str">
        <ns0:f>'신청원본'!E133</ns0:f>
        <ns0:v>C02</ns0:v>
      </ns0:c>
      <ns0:c r="F133" t="str">
        <ns0:f>'신청원본'!H133</ns0:f>
        <ns0:v>승인</ns0:v>
      </ns0:c>
      <ns0:c r="G133" s="18" t="n">
        <ns0:f>VLOOKUP(E133,'교육기준'!$B$6:$F$17,3,FALSE)</ns0:f>
        <ns0:v>117506</ns0:v>
      </ns0:c>
      <ns0:c r="H133" s="18" t="n">
        <ns0:f>'신청원본'!G133</ns0:f>
        <ns0:v>1</ns0:v>
      </ns0:c>
      <ns0:c r="I133" s="19" t="n">
        <ns0:f>'신청원본'!I133</ns0:f>
        <ns0:v>0.125</ns0:v>
      </ns0:c>
      <ns0:c r="J133" s="18" t="n">
        <ns0:f>IF(F133="승인",IF(COUNTA('신청원본'!J133)=0,ROUND(G133*H133*(1-I133),'정책'!$C$8),'신청원본'!J133),0)</ns0:f>
        <ns0:v>102818</ns0:v>
      </ns0:c>
      <ns0:c r="K133" t="n">
        <ns0:f>SUMIFS('출결원본'!$D$6:$D$1445,'출결원본'!$B$6:$B$1445,B133)</ns0:f>
        <ns0:v>3</ns0:v>
      </ns0:c>
      <ns0:c r="L133" t="n">
        <ns0:f>VLOOKUP(B133,'평가원본'!$B$6:$D$485,2,FALSE)</ns0:f>
        <ns0:v>72</ns0:v>
      </ns0:c>
      <ns0:c r="M133" t="n">
        <ns0:f>VLOOKUP(B133,'평가원본'!$B$6:$D$485,3,FALSE)</ns0:f>
        <ns0:v>1</ns0:v>
      </ns0:c>
      <ns0:c r="N133" t="n">
        <ns0:f>VLOOKUP(E133,'교육기준'!$B$6:$F$17,5,FALSE)</ns0:f>
        <ns0:v>70</ns0:v>
      </ns0:c>
      <ns0:c r="O133" t="n">
        <ns0:f>IF(AND(F133="승인",K133&gt;='정책'!$C$6,M133=1,L133&gt;=N133),1,0)</ns0:f>
        <ns0:v>1</ns0:v>
      </ns0:c>
    </ns0:row>
    <ns0:row r="134">
      <ns0:c r="B134" s="17" t="str">
        <ns0:f>'신청원본'!B134</ns0:f>
        <ns0:v>APP000129</ns0:v>
      </ns0:c>
      <ns0:c r="C134" s="17" t="str">
        <ns0:f>'신청원본'!C134</ns0:f>
        <ns0:v>000129</ns0:v>
      </ns0:c>
      <ns0:c r="D134" t="str">
        <ns0:f>'신청원본'!D134</ns0:f>
        <ns0:v>품질</ns0:v>
      </ns0:c>
      <ns0:c r="E134" t="str">
        <ns0:f>'신청원본'!E134</ns0:f>
        <ns0:v>C09</ns0:v>
      </ns0:c>
      <ns0:c r="F134" t="str">
        <ns0:f>'신청원본'!H134</ns0:f>
        <ns0:v>승인</ns0:v>
      </ns0:c>
      <ns0:c r="G134" s="18" t="n">
        <ns0:f>VLOOKUP(E134,'교육기준'!$B$6:$F$17,3,FALSE)</ns0:f>
        <ns0:v>240013</ns0:v>
      </ns0:c>
      <ns0:c r="H134" s="18" t="n">
        <ns0:f>'신청원본'!G134</ns0:f>
        <ns0:v>2</ns0:v>
      </ns0:c>
      <ns0:c r="I134" s="19" t="n">
        <ns0:f>'신청원본'!I134</ns0:f>
        <ns0:v>0</ns0:v>
      </ns0:c>
      <ns0:c r="J134" s="18" t="n">
        <ns0:f>IF(F134="승인",IF(COUNTA('신청원본'!J134)=0,ROUND(G134*H134*(1-I134),'정책'!$C$8),'신청원본'!J134),0)</ns0:f>
        <ns0:v>480026</ns0:v>
      </ns0:c>
      <ns0:c r="K134" t="n">
        <ns0:f>SUMIFS('출결원본'!$D$6:$D$1445,'출결원본'!$B$6:$B$1445,B134)</ns0:f>
        <ns0:v>3</ns0:v>
      </ns0:c>
      <ns0:c r="L134" t="n">
        <ns0:f>VLOOKUP(B134,'평가원본'!$B$6:$D$485,2,FALSE)</ns0:f>
        <ns0:v>79</ns0:v>
      </ns0:c>
      <ns0:c r="M134" t="n">
        <ns0:f>VLOOKUP(B134,'평가원본'!$B$6:$D$485,3,FALSE)</ns0:f>
        <ns0:v>1</ns0:v>
      </ns0:c>
      <ns0:c r="N134" t="n">
        <ns0:f>VLOOKUP(E134,'교육기준'!$B$6:$F$17,5,FALSE)</ns0:f>
        <ns0:v>80</ns0:v>
      </ns0:c>
      <ns0:c r="O134" t="n">
        <ns0:f>IF(AND(F134="승인",K134&gt;='정책'!$C$6,M134=1,L134&gt;=N134),1,0)</ns0:f>
        <ns0:v>0</ns0:v>
      </ns0:c>
    </ns0:row>
    <ns0:row r="135">
      <ns0:c r="B135" s="17" t="str">
        <ns0:f>'신청원본'!B135</ns0:f>
        <ns0:v>APP000130</ns0:v>
      </ns0:c>
      <ns0:c r="C135" s="17" t="str">
        <ns0:f>'신청원본'!C135</ns0:f>
        <ns0:v>000130</ns0:v>
      </ns0:c>
      <ns0:c r="D135" t="str">
        <ns0:f>'신청원본'!D135</ns0:f>
        <ns0:v>기획</ns0:v>
      </ns0:c>
      <ns0:c r="E135" t="str">
        <ns0:f>'신청원본'!E135</ns0:f>
        <ns0:v>C04</ns0:v>
      </ns0:c>
      <ns0:c r="F135" t="str">
        <ns0:f>'신청원본'!H135</ns0:f>
        <ns0:v>승인</ns0:v>
      </ns0:c>
      <ns0:c r="G135" s="18" t="n">
        <ns0:f>VLOOKUP(E135,'교육기준'!$B$6:$F$17,3,FALSE)</ns0:f>
        <ns0:v>152508</ns0:v>
      </ns0:c>
      <ns0:c r="H135" s="18" t="n">
        <ns0:f>'신청원본'!G135</ns0:f>
        <ns0:v>3</ns0:v>
      </ns0:c>
      <ns0:c r="I135" s="19" t="n">
        <ns0:f>'신청원본'!I135</ns0:f>
        <ns0:v>0.05</ns0:v>
      </ns0:c>
      <ns0:c r="J135" s="18" t="n">
        <ns0:f>IF(F135="승인",IF(COUNTA('신청원본'!J135)=0,ROUND(G135*H135*(1-I135),'정책'!$C$8),'신청원본'!J135),0)</ns0:f>
        <ns0:v>434648</ns0:v>
      </ns0:c>
      <ns0:c r="K135" t="n">
        <ns0:f>SUMIFS('출결원본'!$D$6:$D$1445,'출결원본'!$B$6:$B$1445,B135)</ns0:f>
        <ns0:v>3</ns0:v>
      </ns0:c>
      <ns0:c r="L135" t="n">
        <ns0:f>VLOOKUP(B135,'평가원본'!$B$6:$D$485,2,FALSE)</ns0:f>
        <ns0:v>86</ns0:v>
      </ns0:c>
      <ns0:c r="M135" t="n">
        <ns0:f>VLOOKUP(B135,'평가원본'!$B$6:$D$485,3,FALSE)</ns0:f>
        <ns0:v>1</ns0:v>
      </ns0:c>
      <ns0:c r="N135" t="n">
        <ns0:f>VLOOKUP(E135,'교육기준'!$B$6:$F$17,5,FALSE)</ns0:f>
        <ns0:v>60</ns0:v>
      </ns0:c>
      <ns0:c r="O135" t="n">
        <ns0:f>IF(AND(F135="승인",K135&gt;='정책'!$C$6,M135=1,L135&gt;=N135),1,0)</ns0:f>
        <ns0:v>1</ns0:v>
      </ns0:c>
    </ns0:row>
    <ns0:row r="136">
      <ns0:c r="B136" s="17" t="str">
        <ns0:f>'신청원본'!B136</ns0:f>
        <ns0:v>APP000131</ns0:v>
      </ns0:c>
      <ns0:c r="C136" s="17" t="str">
        <ns0:f>'신청원본'!C136</ns0:f>
        <ns0:v>000131</ns0:v>
      </ns0:c>
      <ns0:c r="D136" t="str">
        <ns0:f>'신청원본'!D136</ns0:f>
        <ns0:v>영업</ns0:v>
      </ns0:c>
      <ns0:c r="E136" t="str">
        <ns0:f>'신청원본'!E136</ns0:f>
        <ns0:v>C11</ns0:v>
      </ns0:c>
      <ns0:c r="F136" t="str">
        <ns0:f>'신청원본'!H136</ns0:f>
        <ns0:v>승인</ns0:v>
      </ns0:c>
      <ns0:c r="G136" s="18" t="n">
        <ns0:f>VLOOKUP(E136,'교육기준'!$B$6:$F$17,3,FALSE)</ns0:f>
        <ns0:v>275015</ns0:v>
      </ns0:c>
      <ns0:c r="H136" s="18" t="n">
        <ns0:f>'신청원본'!G136</ns0:f>
        <ns0:v>4</ns0:v>
      </ns0:c>
      <ns0:c r="I136" s="19" t="n">
        <ns0:f>'신청원본'!I136</ns0:f>
        <ns0:v>0.1</ns0:v>
      </ns0:c>
      <ns0:c r="J136" s="18" t="n">
        <ns0:f>IF(F136="승인",IF(COUNTA('신청원본'!J136)=0,ROUND(G136*H136*(1-I136),'정책'!$C$8),'신청원본'!J136),0)</ns0:f>
        <ns0:v>990054</ns0:v>
      </ns0:c>
      <ns0:c r="K136" t="n">
        <ns0:f>SUMIFS('출결원본'!$D$6:$D$1445,'출결원본'!$B$6:$B$1445,B136)</ns0:f>
        <ns0:v>2</ns0:v>
      </ns0:c>
      <ns0:c r="L136" t="n">
        <ns0:f>VLOOKUP(B136,'평가원본'!$B$6:$D$485,2,FALSE)</ns0:f>
        <ns0:v>93</ns0:v>
      </ns0:c>
      <ns0:c r="M136" t="n">
        <ns0:f>VLOOKUP(B136,'평가원본'!$B$6:$D$485,3,FALSE)</ns0:f>
        <ns0:v>1</ns0:v>
      </ns0:c>
      <ns0:c r="N136" t="n">
        <ns0:f>VLOOKUP(E136,'교육기준'!$B$6:$F$17,5,FALSE)</ns0:f>
        <ns0:v>70</ns0:v>
      </ns0:c>
      <ns0:c r="O136" t="n">
        <ns0:f>IF(AND(F136="승인",K136&gt;='정책'!$C$6,M136=1,L136&gt;=N136),1,0)</ns0:f>
        <ns0:v>0</ns0:v>
      </ns0:c>
    </ns0:row>
    <ns0:row r="137">
      <ns0:c r="B137" s="17" t="str">
        <ns0:f>'신청원본'!B137</ns0:f>
        <ns0:v>APP000132</ns0:v>
      </ns0:c>
      <ns0:c r="C137" s="17" t="str">
        <ns0:f>'신청원본'!C137</ns0:f>
        <ns0:v>000132</ns0:v>
      </ns0:c>
      <ns0:c r="D137" t="str">
        <ns0:f>'신청원본'!D137</ns0:f>
        <ns0:v>지원</ns0:v>
      </ns0:c>
      <ns0:c r="E137" t="str">
        <ns0:f>'신청원본'!E137</ns0:f>
        <ns0:v>C06</ns0:v>
      </ns0:c>
      <ns0:c r="F137" t="str">
        <ns0:f>'신청원본'!H137</ns0:f>
        <ns0:v>승인</ns0:v>
      </ns0:c>
      <ns0:c r="G137" s="18" t="n">
        <ns0:f>VLOOKUP(E137,'교육기준'!$B$6:$F$17,3,FALSE)</ns0:f>
        <ns0:v>187510</ns0:v>
      </ns0:c>
      <ns0:c r="H137" s="18" t="n">
        <ns0:f>'신청원본'!G137</ns0:f>
        <ns0:v>5</ns0:v>
      </ns0:c>
      <ns0:c r="I137" s="19" t="n">
        <ns0:f>'신청원본'!I137</ns0:f>
        <ns0:v>0.125</ns0:v>
      </ns0:c>
      <ns0:c r="J137" s="18" t="n">
        <ns0:f>IF(F137="승인",IF(COUNTA('신청원본'!J137)=0,ROUND(G137*H137*(1-I137),'정책'!$C$8),'신청원본'!J137),0)</ns0:f>
        <ns0:v>820356</ns0:v>
      </ns0:c>
      <ns0:c r="K137" t="n">
        <ns0:f>SUMIFS('출결원본'!$D$6:$D$1445,'출결원본'!$B$6:$B$1445,B137)</ns0:f>
        <ns0:v>3</ns0:v>
      </ns0:c>
      <ns0:c r="L137" t="n">
        <ns0:f>VLOOKUP(B137,'평가원본'!$B$6:$D$485,2,FALSE)</ns0:f>
        <ns0:v>100</ns0:v>
      </ns0:c>
      <ns0:c r="M137" t="n">
        <ns0:f>VLOOKUP(B137,'평가원본'!$B$6:$D$485,3,FALSE)</ns0:f>
        <ns0:v>1</ns0:v>
      </ns0:c>
      <ns0:c r="N137" t="n">
        <ns0:f>VLOOKUP(E137,'교육기준'!$B$6:$F$17,5,FALSE)</ns0:f>
        <ns0:v>80</ns0:v>
      </ns0:c>
      <ns0:c r="O137" t="n">
        <ns0:f>IF(AND(F137="승인",K137&gt;='정책'!$C$6,M137=1,L137&gt;=N137),1,0)</ns0:f>
        <ns0:v>1</ns0:v>
      </ns0:c>
    </ns0:row>
    <ns0:row r="138">
      <ns0:c r="B138" s="17" t="str">
        <ns0:f>'신청원본'!B138</ns0:f>
        <ns0:v>APP000133</ns0:v>
      </ns0:c>
      <ns0:c r="C138" s="17" t="str">
        <ns0:f>'신청원본'!C138</ns0:f>
        <ns0:v>000133</ns0:v>
      </ns0:c>
      <ns0:c r="D138" t="str">
        <ns0:f>'신청원본'!D138</ns0:f>
        <ns0:v>개발</ns0:v>
      </ns0:c>
      <ns0:c r="E138" t="str">
        <ns0:f>'신청원본'!E138</ns0:f>
        <ns0:v>C01</ns0:v>
      </ns0:c>
      <ns0:c r="F138" t="str">
        <ns0:f>'신청원본'!H138</ns0:f>
        <ns0:v>취소</ns0:v>
      </ns0:c>
      <ns0:c r="G138" s="18" t="n">
        <ns0:f>VLOOKUP(E138,'교육기준'!$B$6:$F$17,3,FALSE)</ns0:f>
        <ns0:v>100005</ns0:v>
      </ns0:c>
      <ns0:c r="H138" s="18" t="n">
        <ns0:f>'신청원본'!G138</ns0:f>
        <ns0:v>0</ns0:v>
      </ns0:c>
      <ns0:c r="I138" s="19" t="n">
        <ns0:f>'신청원본'!I138</ns0:f>
        <ns0:v>0</ns0:v>
      </ns0:c>
      <ns0:c r="J138" s="18" t="n">
        <ns0:f>IF(F138="승인",IF(COUNTA('신청원본'!J138)=0,ROUND(G138*H138*(1-I138),'정책'!$C$8),'신청원본'!J138),0)</ns0:f>
        <ns0:v>0</ns0:v>
      </ns0:c>
      <ns0:c r="K138" t="n">
        <ns0:f>SUMIFS('출결원본'!$D$6:$D$1445,'출결원본'!$B$6:$B$1445,B138)</ns0:f>
        <ns0:v>3</ns0:v>
      </ns0:c>
      <ns0:c r="L138" t="n">
        <ns0:f>VLOOKUP(B138,'평가원본'!$B$6:$D$485,2,FALSE)</ns0:f>
        <ns0:v>56</ns0:v>
      </ns0:c>
      <ns0:c r="M138" t="n">
        <ns0:f>VLOOKUP(B138,'평가원본'!$B$6:$D$485,3,FALSE)</ns0:f>
        <ns0:v>1</ns0:v>
      </ns0:c>
      <ns0:c r="N138" t="n">
        <ns0:f>VLOOKUP(E138,'교육기준'!$B$6:$F$17,5,FALSE)</ns0:f>
        <ns0:v>60</ns0:v>
      </ns0:c>
      <ns0:c r="O138" t="n">
        <ns0:f>IF(AND(F138="승인",K138&gt;='정책'!$C$6,M138=1,L138&gt;=N138),1,0)</ns0:f>
        <ns0:v>0</ns0:v>
      </ns0:c>
    </ns0:row>
    <ns0:row r="139">
      <ns0:c r="B139" s="17" t="str">
        <ns0:f>'신청원본'!B139</ns0:f>
        <ns0:v>APP000134</ns0:v>
      </ns0:c>
      <ns0:c r="C139" s="17" t="str">
        <ns0:f>'신청원본'!C139</ns0:f>
        <ns0:v>000134</ns0:v>
      </ns0:c>
      <ns0:c r="D139" t="str">
        <ns0:f>'신청원본'!D139</ns0:f>
        <ns0:v>생산</ns0:v>
      </ns0:c>
      <ns0:c r="E139" t="str">
        <ns0:f>'신청원본'!E139</ns0:f>
        <ns0:v>C08</ns0:v>
      </ns0:c>
      <ns0:c r="F139" t="str">
        <ns0:f>'신청원본'!H139</ns0:f>
        <ns0:v>대기</ns0:v>
      </ns0:c>
      <ns0:c r="G139" s="18" t="n">
        <ns0:f>VLOOKUP(E139,'교육기준'!$B$6:$F$17,3,FALSE)</ns0:f>
        <ns0:v>222512</ns0:v>
      </ns0:c>
      <ns0:c r="H139" s="18" t="n">
        <ns0:f>'신청원본'!G139</ns0:f>
        <ns0:v>1</ns0:v>
      </ns0:c>
      <ns0:c r="I139" s="19" t="n">
        <ns0:f>'신청원본'!I139</ns0:f>
        <ns0:v>0.05</ns0:v>
      </ns0:c>
      <ns0:c r="J139" s="18" t="n">
        <ns0:f>IF(F139="승인",IF(COUNTA('신청원본'!J139)=0,ROUND(G139*H139*(1-I139),'정책'!$C$8),'신청원본'!J139),0)</ns0:f>
        <ns0:v>0</ns0:v>
      </ns0:c>
      <ns0:c r="K139" t="n">
        <ns0:f>SUMIFS('출결원본'!$D$6:$D$1445,'출결원본'!$B$6:$B$1445,B139)</ns0:f>
        <ns0:v>3</ns0:v>
      </ns0:c>
      <ns0:c r="L139" t="n">
        <ns0:f>VLOOKUP(B139,'평가원본'!$B$6:$D$485,2,FALSE)</ns0:f>
        <ns0:v>63</ns0:v>
      </ns0:c>
      <ns0:c r="M139" t="n">
        <ns0:f>VLOOKUP(B139,'평가원본'!$B$6:$D$485,3,FALSE)</ns0:f>
        <ns0:v>0</ns0:v>
      </ns0:c>
      <ns0:c r="N139" t="n">
        <ns0:f>VLOOKUP(E139,'교육기준'!$B$6:$F$17,5,FALSE)</ns0:f>
        <ns0:v>70</ns0:v>
      </ns0:c>
      <ns0:c r="O139" t="n">
        <ns0:f>IF(AND(F139="승인",K139&gt;='정책'!$C$6,M139=1,L139&gt;=N139),1,0)</ns0:f>
        <ns0:v>0</ns0:v>
      </ns0:c>
    </ns0:row>
    <ns0:row r="140">
      <ns0:c r="B140" s="17" t="str">
        <ns0:f>'신청원본'!B140</ns0:f>
        <ns0:v>APP000135</ns0:v>
      </ns0:c>
      <ns0:c r="C140" s="17" t="str">
        <ns0:f>'신청원본'!C140</ns0:f>
        <ns0:v>000135</ns0:v>
      </ns0:c>
      <ns0:c r="D140" t="str">
        <ns0:f>'신청원본'!D140</ns0:f>
        <ns0:v>품질</ns0:v>
      </ns0:c>
      <ns0:c r="E140" t="str">
        <ns0:f>'신청원본'!E140</ns0:f>
        <ns0:v>C03</ns0:v>
      </ns0:c>
      <ns0:c r="F140" t="str">
        <ns0:f>'신청원본'!H140</ns0:f>
        <ns0:v>승인</ns0:v>
      </ns0:c>
      <ns0:c r="G140" s="18" t="n">
        <ns0:f>VLOOKUP(E140,'교육기준'!$B$6:$F$17,3,FALSE)</ns0:f>
        <ns0:v>135007</ns0:v>
      </ns0:c>
      <ns0:c r="H140" s="18" t="n">
        <ns0:f>'신청원본'!G140</ns0:f>
        <ns0:v>2</ns0:v>
      </ns0:c>
      <ns0:c r="I140" s="19" t="n">
        <ns0:f>'신청원본'!I140</ns0:f>
        <ns0:v>0.1</ns0:v>
      </ns0:c>
      <ns0:c r="J140" s="18" t="n">
        <ns0:f>IF(F140="승인",IF(COUNTA('신청원본'!J140)=0,ROUND(G140*H140*(1-I140),'정책'!$C$8),'신청원본'!J140),0)</ns0:f>
        <ns0:v>243013</ns0:v>
      </ns0:c>
      <ns0:c r="K140" t="n">
        <ns0:f>SUMIFS('출결원본'!$D$6:$D$1445,'출결원본'!$B$6:$B$1445,B140)</ns0:f>
        <ns0:v>3</ns0:v>
      </ns0:c>
      <ns0:c r="L140" t="n">
        <ns0:f>VLOOKUP(B140,'평가원본'!$B$6:$D$485,2,FALSE)</ns0:f>
        <ns0:v>70</ns0:v>
      </ns0:c>
      <ns0:c r="M140" t="n">
        <ns0:f>VLOOKUP(B140,'평가원본'!$B$6:$D$485,3,FALSE)</ns0:f>
        <ns0:v>1</ns0:v>
      </ns0:c>
      <ns0:c r="N140" t="n">
        <ns0:f>VLOOKUP(E140,'교육기준'!$B$6:$F$17,5,FALSE)</ns0:f>
        <ns0:v>80</ns0:v>
      </ns0:c>
      <ns0:c r="O140" t="n">
        <ns0:f>IF(AND(F140="승인",K140&gt;='정책'!$C$6,M140=1,L140&gt;=N140),1,0)</ns0:f>
        <ns0:v>0</ns0:v>
      </ns0:c>
    </ns0:row>
    <ns0:row r="141">
      <ns0:c r="B141" s="17" t="str">
        <ns0:f>'신청원본'!B141</ns0:f>
        <ns0:v>APP000136</ns0:v>
      </ns0:c>
      <ns0:c r="C141" s="17" t="str">
        <ns0:f>'신청원본'!C141</ns0:f>
        <ns0:v>000136</ns0:v>
      </ns0:c>
      <ns0:c r="D141" t="str">
        <ns0:f>'신청원본'!D141</ns0:f>
        <ns0:v>기획</ns0:v>
      </ns0:c>
      <ns0:c r="E141" t="str">
        <ns0:f>'신청원본'!E141</ns0:f>
        <ns0:v>C10</ns0:v>
      </ns0:c>
      <ns0:c r="F141" t="str">
        <ns0:f>'신청원본'!H141</ns0:f>
        <ns0:v>승인</ns0:v>
      </ns0:c>
      <ns0:c r="G141" s="18" t="n">
        <ns0:f>VLOOKUP(E141,'교육기준'!$B$6:$F$17,3,FALSE)</ns0:f>
        <ns0:v>257514</ns0:v>
      </ns0:c>
      <ns0:c r="H141" s="18" t="n">
        <ns0:f>'신청원본'!G141</ns0:f>
        <ns0:v>3</ns0:v>
      </ns0:c>
      <ns0:c r="I141" s="19" t="n">
        <ns0:f>'신청원본'!I141</ns0:f>
        <ns0:v>0.125</ns0:v>
      </ns0:c>
      <ns0:c r="J141" s="18" t="n">
        <ns0:f>IF(F141="승인",IF(COUNTA('신청원본'!J141)=0,ROUND(G141*H141*(1-I141),'정책'!$C$8),'신청원본'!J141),0)</ns0:f>
        <ns0:v>675974</ns0:v>
      </ns0:c>
      <ns0:c r="K141" t="n">
        <ns0:f>SUMIFS('출결원본'!$D$6:$D$1445,'출결원본'!$B$6:$B$1445,B141)</ns0:f>
        <ns0:v>2</ns0:v>
      </ns0:c>
      <ns0:c r="L141" t="n">
        <ns0:f>VLOOKUP(B141,'평가원본'!$B$6:$D$485,2,FALSE)</ns0:f>
        <ns0:v>77</ns0:v>
      </ns0:c>
      <ns0:c r="M141" t="n">
        <ns0:f>VLOOKUP(B141,'평가원본'!$B$6:$D$485,3,FALSE)</ns0:f>
        <ns0:v>1</ns0:v>
      </ns0:c>
      <ns0:c r="N141" t="n">
        <ns0:f>VLOOKUP(E141,'교육기준'!$B$6:$F$17,5,FALSE)</ns0:f>
        <ns0:v>60</ns0:v>
      </ns0:c>
      <ns0:c r="O141" t="n">
        <ns0:f>IF(AND(F141="승인",K141&gt;='정책'!$C$6,M141=1,L141&gt;=N141),1,0)</ns0:f>
        <ns0:v>0</ns0:v>
      </ns0:c>
    </ns0:row>
    <ns0:row r="142">
      <ns0:c r="B142" s="17" t="str">
        <ns0:f>'신청원본'!B142</ns0:f>
        <ns0:v>APP000137</ns0:v>
      </ns0:c>
      <ns0:c r="C142" s="17" t="str">
        <ns0:f>'신청원본'!C142</ns0:f>
        <ns0:v>000137</ns0:v>
      </ns0:c>
      <ns0:c r="D142" t="str">
        <ns0:f>'신청원본'!D142</ns0:f>
        <ns0:v>영업</ns0:v>
      </ns0:c>
      <ns0:c r="E142" t="str">
        <ns0:f>'신청원본'!E142</ns0:f>
        <ns0:v>C05</ns0:v>
      </ns0:c>
      <ns0:c r="F142" t="str">
        <ns0:f>'신청원본'!H142</ns0:f>
        <ns0:v>승인</ns0:v>
      </ns0:c>
      <ns0:c r="G142" s="18" t="n">
        <ns0:f>VLOOKUP(E142,'교육기준'!$B$6:$F$17,3,FALSE)</ns0:f>
        <ns0:v>170009</ns0:v>
      </ns0:c>
      <ns0:c r="H142" s="18" t="n">
        <ns0:f>'신청원본'!G142</ns0:f>
        <ns0:v>4</ns0:v>
      </ns0:c>
      <ns0:c r="I142" s="19" t="n">
        <ns0:f>'신청원본'!I142</ns0:f>
        <ns0:v>0</ns0:v>
      </ns0:c>
      <ns0:c r="J142" s="18" t="n">
        <ns0:f>IF(F142="승인",IF(COUNTA('신청원본'!J142)=0,ROUND(G142*H142*(1-I142),'정책'!$C$8),'신청원본'!J142),0)</ns0:f>
        <ns0:v>680036</ns0:v>
      </ns0:c>
      <ns0:c r="K142" t="n">
        <ns0:f>SUMIFS('출결원본'!$D$6:$D$1445,'출결원본'!$B$6:$B$1445,B142)</ns0:f>
        <ns0:v>3</ns0:v>
      </ns0:c>
      <ns0:c r="L142" t="n">
        <ns0:f>VLOOKUP(B142,'평가원본'!$B$6:$D$485,2,FALSE)</ns0:f>
        <ns0:v>84</ns0:v>
      </ns0:c>
      <ns0:c r="M142" t="n">
        <ns0:f>VLOOKUP(B142,'평가원본'!$B$6:$D$485,3,FALSE)</ns0:f>
        <ns0:v>1</ns0:v>
      </ns0:c>
      <ns0:c r="N142" t="n">
        <ns0:f>VLOOKUP(E142,'교육기준'!$B$6:$F$17,5,FALSE)</ns0:f>
        <ns0:v>70</ns0:v>
      </ns0:c>
      <ns0:c r="O142" t="n">
        <ns0:f>IF(AND(F142="승인",K142&gt;='정책'!$C$6,M142=1,L142&gt;=N142),1,0)</ns0:f>
        <ns0:v>1</ns0:v>
      </ns0:c>
    </ns0:row>
    <ns0:row r="143">
      <ns0:c r="B143" s="17" t="str">
        <ns0:f>'신청원본'!B143</ns0:f>
        <ns0:v>APP000138</ns0:v>
      </ns0:c>
      <ns0:c r="C143" s="17" t="str">
        <ns0:f>'신청원본'!C143</ns0:f>
        <ns0:v>000138</ns0:v>
      </ns0:c>
      <ns0:c r="D143" t="str">
        <ns0:f>'신청원본'!D143</ns0:f>
        <ns0:v>지원</ns0:v>
      </ns0:c>
      <ns0:c r="E143" t="str">
        <ns0:f>'신청원본'!E143</ns0:f>
        <ns0:v>C12</ns0:v>
      </ns0:c>
      <ns0:c r="F143" t="str">
        <ns0:f>'신청원본'!H143</ns0:f>
        <ns0:v>승인</ns0:v>
      </ns0:c>
      <ns0:c r="G143" s="18" t="n">
        <ns0:f>VLOOKUP(E143,'교육기준'!$B$6:$F$17,3,FALSE)</ns0:f>
        <ns0:v>292516</ns0:v>
      </ns0:c>
      <ns0:c r="H143" s="18" t="n">
        <ns0:f>'신청원본'!G143</ns0:f>
        <ns0:v>5</ns0:v>
      </ns0:c>
      <ns0:c r="I143" s="19" t="n">
        <ns0:f>'신청원본'!I143</ns0:f>
        <ns0:v>0.05</ns0:v>
      </ns0:c>
      <ns0:c r="J143" s="18" t="n">
        <ns0:f>IF(F143="승인",IF(COUNTA('신청원본'!J143)=0,ROUND(G143*H143*(1-I143),'정책'!$C$8),'신청원본'!J143),0)</ns0:f>
        <ns0:v>1389451</ns0:v>
      </ns0:c>
      <ns0:c r="K143" t="n">
        <ns0:f>SUMIFS('출결원본'!$D$6:$D$1445,'출결원본'!$B$6:$B$1445,B143)</ns0:f>
        <ns0:v>3</ns0:v>
      </ns0:c>
      <ns0:c r="L143" t="n">
        <ns0:f>VLOOKUP(B143,'평가원본'!$B$6:$D$485,2,FALSE)</ns0:f>
        <ns0:v>91</ns0:v>
      </ns0:c>
      <ns0:c r="M143" t="n">
        <ns0:f>VLOOKUP(B143,'평가원본'!$B$6:$D$485,3,FALSE)</ns0:f>
        <ns0:v>1</ns0:v>
      </ns0:c>
      <ns0:c r="N143" t="n">
        <ns0:f>VLOOKUP(E143,'교육기준'!$B$6:$F$17,5,FALSE)</ns0:f>
        <ns0:v>80</ns0:v>
      </ns0:c>
      <ns0:c r="O143" t="n">
        <ns0:f>IF(AND(F143="승인",K143&gt;='정책'!$C$6,M143=1,L143&gt;=N143),1,0)</ns0:f>
        <ns0:v>1</ns0:v>
      </ns0:c>
    </ns0:row>
    <ns0:row r="144">
      <ns0:c r="B144" s="17" t="str">
        <ns0:f>'신청원본'!B144</ns0:f>
        <ns0:v>APP000139</ns0:v>
      </ns0:c>
      <ns0:c r="C144" s="17" t="str">
        <ns0:f>'신청원본'!C144</ns0:f>
        <ns0:v>000139</ns0:v>
      </ns0:c>
      <ns0:c r="D144" t="str">
        <ns0:f>'신청원본'!D144</ns0:f>
        <ns0:v>개발</ns0:v>
      </ns0:c>
      <ns0:c r="E144" t="str">
        <ns0:f>'신청원본'!E144</ns0:f>
        <ns0:v>C07</ns0:v>
      </ns0:c>
      <ns0:c r="F144" t="str">
        <ns0:f>'신청원본'!H144</ns0:f>
        <ns0:v>승인</ns0:v>
      </ns0:c>
      <ns0:c r="G144" s="18" t="n">
        <ns0:f>VLOOKUP(E144,'교육기준'!$B$6:$F$17,3,FALSE)</ns0:f>
        <ns0:v>205011</ns0:v>
      </ns0:c>
      <ns0:c r="H144" s="18" t="n">
        <ns0:f>'신청원본'!G144</ns0:f>
        <ns0:v>0</ns0:v>
      </ns0:c>
      <ns0:c r="I144" s="19" t="n">
        <ns0:f>'신청원본'!I144</ns0:f>
        <ns0:v>0.1</ns0:v>
      </ns0:c>
      <ns0:c r="J144" s="18" t="n">
        <ns0:f>IF(F144="승인",IF(COUNTA('신청원본'!J144)=0,ROUND(G144*H144*(1-I144),'정책'!$C$8),'신청원본'!J144),0)</ns0:f>
        <ns0:v>0</ns0:v>
      </ns0:c>
      <ns0:c r="K144" t="n">
        <ns0:f>SUMIFS('출결원본'!$D$6:$D$1445,'출결원본'!$B$6:$B$1445,B144)</ns0:f>
        <ns0:v>3</ns0:v>
      </ns0:c>
      <ns0:c r="L144" t="n">
        <ns0:f>VLOOKUP(B144,'평가원본'!$B$6:$D$485,2,FALSE)</ns0:f>
        <ns0:v>98</ns0:v>
      </ns0:c>
      <ns0:c r="M144" t="n">
        <ns0:f>VLOOKUP(B144,'평가원본'!$B$6:$D$485,3,FALSE)</ns0:f>
        <ns0:v>1</ns0:v>
      </ns0:c>
      <ns0:c r="N144" t="n">
        <ns0:f>VLOOKUP(E144,'교육기준'!$B$6:$F$17,5,FALSE)</ns0:f>
        <ns0:v>60</ns0:v>
      </ns0:c>
      <ns0:c r="O144" t="n">
        <ns0:f>IF(AND(F144="승인",K144&gt;='정책'!$C$6,M144=1,L144&gt;=N144),1,0)</ns0:f>
        <ns0:v>1</ns0:v>
      </ns0:c>
    </ns0:row>
    <ns0:row r="145">
      <ns0:c r="B145" s="17" t="str">
        <ns0:f>'신청원본'!B145</ns0:f>
        <ns0:v>APP000140</ns0:v>
      </ns0:c>
      <ns0:c r="C145" s="17" t="str">
        <ns0:f>'신청원본'!C145</ns0:f>
        <ns0:v>000140</ns0:v>
      </ns0:c>
      <ns0:c r="D145" t="str">
        <ns0:f>'신청원본'!D145</ns0:f>
        <ns0:v>생산</ns0:v>
      </ns0:c>
      <ns0:c r="E145" t="str">
        <ns0:f>'신청원본'!E145</ns0:f>
        <ns0:v>C02</ns0:v>
      </ns0:c>
      <ns0:c r="F145" t="str">
        <ns0:f>'신청원본'!H145</ns0:f>
        <ns0:v>승인</ns0:v>
      </ns0:c>
      <ns0:c r="G145" s="18" t="n">
        <ns0:f>VLOOKUP(E145,'교육기준'!$B$6:$F$17,3,FALSE)</ns0:f>
        <ns0:v>117506</ns0:v>
      </ns0:c>
      <ns0:c r="H145" s="18" t="n">
        <ns0:f>'신청원본'!G145</ns0:f>
        <ns0:v>1</ns0:v>
      </ns0:c>
      <ns0:c r="I145" s="19" t="n">
        <ns0:f>'신청원본'!I145</ns0:f>
        <ns0:v>0.125</ns0:v>
      </ns0:c>
      <ns0:c r="J145" s="18" t="n">
        <ns0:f>IF(F145="승인",IF(COUNTA('신청원본'!J145)=0,ROUND(G145*H145*(1-I145),'정책'!$C$8),'신청원본'!J145),0)</ns0:f>
        <ns0:v>102818</ns0:v>
      </ns0:c>
      <ns0:c r="K145" t="n">
        <ns0:f>SUMIFS('출결원본'!$D$6:$D$1445,'출결원본'!$B$6:$B$1445,B145)</ns0:f>
        <ns0:v>3</ns0:v>
      </ns0:c>
      <ns0:c r="L145" t="n">
        <ns0:f>VLOOKUP(B145,'평가원본'!$B$6:$D$485,2,FALSE)</ns0:f>
        <ns0:v>54</ns0:v>
      </ns0:c>
      <ns0:c r="M145" t="n">
        <ns0:f>VLOOKUP(B145,'평가원본'!$B$6:$D$485,3,FALSE)</ns0:f>
        <ns0:v>1</ns0:v>
      </ns0:c>
      <ns0:c r="N145" t="n">
        <ns0:f>VLOOKUP(E145,'교육기준'!$B$6:$F$17,5,FALSE)</ns0:f>
        <ns0:v>70</ns0:v>
      </ns0:c>
      <ns0:c r="O145" t="n">
        <ns0:f>IF(AND(F145="승인",K145&gt;='정책'!$C$6,M145=1,L145&gt;=N145),1,0)</ns0:f>
        <ns0:v>0</ns0:v>
      </ns0:c>
    </ns0:row>
    <ns0:row r="146">
      <ns0:c r="B146" s="17" t="str">
        <ns0:f>'신청원본'!B146</ns0:f>
        <ns0:v>APP000141</ns0:v>
      </ns0:c>
      <ns0:c r="C146" s="17" t="str">
        <ns0:f>'신청원본'!C146</ns0:f>
        <ns0:v>000141</ns0:v>
      </ns0:c>
      <ns0:c r="D146" t="str">
        <ns0:f>'신청원본'!D146</ns0:f>
        <ns0:v>품질</ns0:v>
      </ns0:c>
      <ns0:c r="E146" t="str">
        <ns0:f>'신청원본'!E146</ns0:f>
        <ns0:v>C09</ns0:v>
      </ns0:c>
      <ns0:c r="F146" t="str">
        <ns0:f>'신청원본'!H146</ns0:f>
        <ns0:v>대기</ns0:v>
      </ns0:c>
      <ns0:c r="G146" s="18" t="n">
        <ns0:f>VLOOKUP(E146,'교육기준'!$B$6:$F$17,3,FALSE)</ns0:f>
        <ns0:v>240013</ns0:v>
      </ns0:c>
      <ns0:c r="H146" s="18" t="n">
        <ns0:f>'신청원본'!G146</ns0:f>
        <ns0:v>2</ns0:v>
      </ns0:c>
      <ns0:c r="I146" s="19" t="n">
        <ns0:f>'신청원본'!I146</ns0:f>
        <ns0:v>0</ns0:v>
      </ns0:c>
      <ns0:c r="J146" s="18" t="n">
        <ns0:f>IF(F146="승인",IF(COUNTA('신청원본'!J146)=0,ROUND(G146*H146*(1-I146),'정책'!$C$8),'신청원본'!J146),0)</ns0:f>
        <ns0:v>0</ns0:v>
      </ns0:c>
      <ns0:c r="K146" t="n">
        <ns0:f>SUMIFS('출결원본'!$D$6:$D$1445,'출결원본'!$B$6:$B$1445,B146)</ns0:f>
        <ns0:v>3</ns0:v>
      </ns0:c>
      <ns0:c r="L146" t="n">
        <ns0:f>VLOOKUP(B146,'평가원본'!$B$6:$D$485,2,FALSE)</ns0:f>
        <ns0:v>61</ns0:v>
      </ns0:c>
      <ns0:c r="M146" t="n">
        <ns0:f>VLOOKUP(B146,'평가원본'!$B$6:$D$485,3,FALSE)</ns0:f>
        <ns0:v>1</ns0:v>
      </ns0:c>
      <ns0:c r="N146" t="n">
        <ns0:f>VLOOKUP(E146,'교육기준'!$B$6:$F$17,5,FALSE)</ns0:f>
        <ns0:v>80</ns0:v>
      </ns0:c>
      <ns0:c r="O146" t="n">
        <ns0:f>IF(AND(F146="승인",K146&gt;='정책'!$C$6,M146=1,L146&gt;=N146),1,0)</ns0:f>
        <ns0:v>0</ns0:v>
      </ns0:c>
    </ns0:row>
    <ns0:row r="147">
      <ns0:c r="B147" s="17" t="str">
        <ns0:f>'신청원본'!B147</ns0:f>
        <ns0:v>APP000142</ns0:v>
      </ns0:c>
      <ns0:c r="C147" s="17" t="str">
        <ns0:f>'신청원본'!C147</ns0:f>
        <ns0:v>000142</ns0:v>
      </ns0:c>
      <ns0:c r="D147" t="str">
        <ns0:f>'신청원본'!D147</ns0:f>
        <ns0:v>기획</ns0:v>
      </ns0:c>
      <ns0:c r="E147" t="str">
        <ns0:f>'신청원본'!E147</ns0:f>
        <ns0:v>C04</ns0:v>
      </ns0:c>
      <ns0:c r="F147" t="str">
        <ns0:f>'신청원본'!H147</ns0:f>
        <ns0:v>승인</ns0:v>
      </ns0:c>
      <ns0:c r="G147" s="18" t="n">
        <ns0:f>VLOOKUP(E147,'교육기준'!$B$6:$F$17,3,FALSE)</ns0:f>
        <ns0:v>152508</ns0:v>
      </ns0:c>
      <ns0:c r="H147" s="18" t="n">
        <ns0:f>'신청원본'!G147</ns0:f>
        <ns0:v>3</ns0:v>
      </ns0:c>
      <ns0:c r="I147" s="19" t="n">
        <ns0:f>'신청원본'!I147</ns0:f>
        <ns0:v>0.05</ns0:v>
      </ns0:c>
      <ns0:c r="J147" s="18" t="n">
        <ns0:f>IF(F147="승인",IF(COUNTA('신청원본'!J147)=0,ROUND(G147*H147*(1-I147),'정책'!$C$8),'신청원본'!J147),0)</ns0:f>
        <ns0:v>434648</ns0:v>
      </ns0:c>
      <ns0:c r="K147" t="n">
        <ns0:f>SUMIFS('출결원본'!$D$6:$D$1445,'출결원본'!$B$6:$B$1445,B147)</ns0:f>
        <ns0:v>3</ns0:v>
      </ns0:c>
      <ns0:c r="L147" t="n">
        <ns0:f>VLOOKUP(B147,'평가원본'!$B$6:$D$485,2,FALSE)</ns0:f>
        <ns0:v>68</ns0:v>
      </ns0:c>
      <ns0:c r="M147" t="n">
        <ns0:f>VLOOKUP(B147,'평가원본'!$B$6:$D$485,3,FALSE)</ns0:f>
        <ns0:v>1</ns0:v>
      </ns0:c>
      <ns0:c r="N147" t="n">
        <ns0:f>VLOOKUP(E147,'교육기준'!$B$6:$F$17,5,FALSE)</ns0:f>
        <ns0:v>60</ns0:v>
      </ns0:c>
      <ns0:c r="O147" t="n">
        <ns0:f>IF(AND(F147="승인",K147&gt;='정책'!$C$6,M147=1,L147&gt;=N147),1,0)</ns0:f>
        <ns0:v>1</ns0:v>
      </ns0:c>
    </ns0:row>
    <ns0:row r="148">
      <ns0:c r="B148" s="17" t="str">
        <ns0:f>'신청원본'!B148</ns0:f>
        <ns0:v>APP000143</ns0:v>
      </ns0:c>
      <ns0:c r="C148" s="17" t="str">
        <ns0:f>'신청원본'!C148</ns0:f>
        <ns0:v>000143</ns0:v>
      </ns0:c>
      <ns0:c r="D148" t="str">
        <ns0:f>'신청원본'!D148</ns0:f>
        <ns0:v>영업</ns0:v>
      </ns0:c>
      <ns0:c r="E148" t="str">
        <ns0:f>'신청원본'!E148</ns0:f>
        <ns0:v>C11</ns0:v>
      </ns0:c>
      <ns0:c r="F148" t="str">
        <ns0:f>'신청원본'!H148</ns0:f>
        <ns0:v>승인</ns0:v>
      </ns0:c>
      <ns0:c r="G148" s="18" t="n">
        <ns0:f>VLOOKUP(E148,'교육기준'!$B$6:$F$17,3,FALSE)</ns0:f>
        <ns0:v>275015</ns0:v>
      </ns0:c>
      <ns0:c r="H148" s="18" t="n">
        <ns0:f>'신청원본'!G148</ns0:f>
        <ns0:v>4</ns0:v>
      </ns0:c>
      <ns0:c r="I148" s="19" t="n">
        <ns0:f>'신청원본'!I148</ns0:f>
        <ns0:v>0.1</ns0:v>
      </ns0:c>
      <ns0:c r="J148" s="18" t="n">
        <ns0:f>IF(F148="승인",IF(COUNTA('신청원본'!J148)=0,ROUND(G148*H148*(1-I148),'정책'!$C$8),'신청원본'!J148),0)</ns0:f>
        <ns0:v>990054</ns0:v>
      </ns0:c>
      <ns0:c r="K148" t="n">
        <ns0:f>SUMIFS('출결원본'!$D$6:$D$1445,'출결원본'!$B$6:$B$1445,B148)</ns0:f>
        <ns0:v>3</ns0:v>
      </ns0:c>
      <ns0:c r="L148" t="n">
        <ns0:f>VLOOKUP(B148,'평가원본'!$B$6:$D$485,2,FALSE)</ns0:f>
        <ns0:v>75</ns0:v>
      </ns0:c>
      <ns0:c r="M148" t="n">
        <ns0:f>VLOOKUP(B148,'평가원본'!$B$6:$D$485,3,FALSE)</ns0:f>
        <ns0:v>1</ns0:v>
      </ns0:c>
      <ns0:c r="N148" t="n">
        <ns0:f>VLOOKUP(E148,'교육기준'!$B$6:$F$17,5,FALSE)</ns0:f>
        <ns0:v>70</ns0:v>
      </ns0:c>
      <ns0:c r="O148" t="n">
        <ns0:f>IF(AND(F148="승인",K148&gt;='정책'!$C$6,M148=1,L148&gt;=N148),1,0)</ns0:f>
        <ns0:v>1</ns0:v>
      </ns0:c>
    </ns0:row>
    <ns0:row r="149">
      <ns0:c r="B149" s="17" t="str">
        <ns0:f>'신청원본'!B149</ns0:f>
        <ns0:v>APP000144</ns0:v>
      </ns0:c>
      <ns0:c r="C149" s="17" t="str">
        <ns0:f>'신청원본'!C149</ns0:f>
        <ns0:v>000144</ns0:v>
      </ns0:c>
      <ns0:c r="D149" t="str">
        <ns0:f>'신청원본'!D149</ns0:f>
        <ns0:v>지원</ns0:v>
      </ns0:c>
      <ns0:c r="E149" t="str">
        <ns0:f>'신청원본'!E149</ns0:f>
        <ns0:v>C06</ns0:v>
      </ns0:c>
      <ns0:c r="F149" t="str">
        <ns0:f>'신청원본'!H149</ns0:f>
        <ns0:v>취소</ns0:v>
      </ns0:c>
      <ns0:c r="G149" s="18" t="n">
        <ns0:f>VLOOKUP(E149,'교육기준'!$B$6:$F$17,3,FALSE)</ns0:f>
        <ns0:v>187510</ns0:v>
      </ns0:c>
      <ns0:c r="H149" s="18" t="n">
        <ns0:f>'신청원본'!G149</ns0:f>
        <ns0:v>5</ns0:v>
      </ns0:c>
      <ns0:c r="I149" s="19" t="n">
        <ns0:f>'신청원본'!I149</ns0:f>
        <ns0:v>0.125</ns0:v>
      </ns0:c>
      <ns0:c r="J149" s="18" t="n">
        <ns0:f>IF(F149="승인",IF(COUNTA('신청원본'!J149)=0,ROUND(G149*H149*(1-I149),'정책'!$C$8),'신청원본'!J149),0)</ns0:f>
        <ns0:v>0</ns0:v>
      </ns0:c>
      <ns0:c r="K149" t="n">
        <ns0:f>SUMIFS('출결원본'!$D$6:$D$1445,'출결원본'!$B$6:$B$1445,B149)</ns0:f>
        <ns0:v>2</ns0:v>
      </ns0:c>
      <ns0:c r="L149" t="n">
        <ns0:f>VLOOKUP(B149,'평가원본'!$B$6:$D$485,2,FALSE)</ns0:f>
        <ns0:v>82</ns0:v>
      </ns0:c>
      <ns0:c r="M149" t="n">
        <ns0:f>VLOOKUP(B149,'평가원본'!$B$6:$D$485,3,FALSE)</ns0:f>
        <ns0:v>1</ns0:v>
      </ns0:c>
      <ns0:c r="N149" t="n">
        <ns0:f>VLOOKUP(E149,'교육기준'!$B$6:$F$17,5,FALSE)</ns0:f>
        <ns0:v>80</ns0:v>
      </ns0:c>
      <ns0:c r="O149" t="n">
        <ns0:f>IF(AND(F149="승인",K149&gt;='정책'!$C$6,M149=1,L149&gt;=N149),1,0)</ns0:f>
        <ns0:v>0</ns0:v>
      </ns0:c>
    </ns0:row>
    <ns0:row r="150">
      <ns0:c r="B150" s="17" t="str">
        <ns0:f>'신청원본'!B150</ns0:f>
        <ns0:v>APP000145</ns0:v>
      </ns0:c>
      <ns0:c r="C150" s="17" t="str">
        <ns0:f>'신청원본'!C150</ns0:f>
        <ns0:v>000145</ns0:v>
      </ns0:c>
      <ns0:c r="D150" t="str">
        <ns0:f>'신청원본'!D150</ns0:f>
        <ns0:v>개발</ns0:v>
      </ns0:c>
      <ns0:c r="E150" t="str">
        <ns0:f>'신청원본'!E150</ns0:f>
        <ns0:v>C01</ns0:v>
      </ns0:c>
      <ns0:c r="F150" t="str">
        <ns0:f>'신청원본'!H150</ns0:f>
        <ns0:v>승인</ns0:v>
      </ns0:c>
      <ns0:c r="G150" s="18" t="n">
        <ns0:f>VLOOKUP(E150,'교육기준'!$B$6:$F$17,3,FALSE)</ns0:f>
        <ns0:v>100005</ns0:v>
      </ns0:c>
      <ns0:c r="H150" s="18" t="n">
        <ns0:f>'신청원본'!G150</ns0:f>
        <ns0:v>0</ns0:v>
      </ns0:c>
      <ns0:c r="I150" s="19" t="n">
        <ns0:f>'신청원본'!I150</ns0:f>
        <ns0:v>0</ns0:v>
      </ns0:c>
      <ns0:c r="J150" s="18" t="n">
        <ns0:f>IF(F150="승인",IF(COUNTA('신청원본'!J150)=0,ROUND(G150*H150*(1-I150),'정책'!$C$8),'신청원본'!J150),0)</ns0:f>
        <ns0:v>0</ns0:v>
      </ns0:c>
      <ns0:c r="K150" t="n">
        <ns0:f>SUMIFS('출결원본'!$D$6:$D$1445,'출결원본'!$B$6:$B$1445,B150)</ns0:f>
        <ns0:v>2</ns0:v>
      </ns0:c>
      <ns0:c r="L150" t="n">
        <ns0:f>VLOOKUP(B150,'평가원본'!$B$6:$D$485,2,FALSE)</ns0:f>
        <ns0:v>89</ns0:v>
      </ns0:c>
      <ns0:c r="M150" t="n">
        <ns0:f>VLOOKUP(B150,'평가원본'!$B$6:$D$485,3,FALSE)</ns0:f>
        <ns0:v>1</ns0:v>
      </ns0:c>
      <ns0:c r="N150" t="n">
        <ns0:f>VLOOKUP(E150,'교육기준'!$B$6:$F$17,5,FALSE)</ns0:f>
        <ns0:v>60</ns0:v>
      </ns0:c>
      <ns0:c r="O150" t="n">
        <ns0:f>IF(AND(F150="승인",K150&gt;='정책'!$C$6,M150=1,L150&gt;=N150),1,0)</ns0:f>
        <ns0:v>0</ns0:v>
      </ns0:c>
    </ns0:row>
    <ns0:row r="151">
      <ns0:c r="B151" s="17" t="str">
        <ns0:f>'신청원본'!B151</ns0:f>
        <ns0:v>APP000146</ns0:v>
      </ns0:c>
      <ns0:c r="C151" s="17" t="str">
        <ns0:f>'신청원본'!C151</ns0:f>
        <ns0:v>000146</ns0:v>
      </ns0:c>
      <ns0:c r="D151" t="str">
        <ns0:f>'신청원본'!D151</ns0:f>
        <ns0:v>생산</ns0:v>
      </ns0:c>
      <ns0:c r="E151" t="str">
        <ns0:f>'신청원본'!E151</ns0:f>
        <ns0:v>C08</ns0:v>
      </ns0:c>
      <ns0:c r="F151" t="str">
        <ns0:f>'신청원본'!H151</ns0:f>
        <ns0:v>승인</ns0:v>
      </ns0:c>
      <ns0:c r="G151" s="18" t="n">
        <ns0:f>VLOOKUP(E151,'교육기준'!$B$6:$F$17,3,FALSE)</ns0:f>
        <ns0:v>222512</ns0:v>
      </ns0:c>
      <ns0:c r="H151" s="18" t="n">
        <ns0:f>'신청원본'!G151</ns0:f>
        <ns0:v>1</ns0:v>
      </ns0:c>
      <ns0:c r="I151" s="19" t="n">
        <ns0:f>'신청원본'!I151</ns0:f>
        <ns0:v>0.05</ns0:v>
      </ns0:c>
      <ns0:c r="J151" s="18" t="n">
        <ns0:f>IF(F151="승인",IF(COUNTA('신청원본'!J151)=0,ROUND(G151*H151*(1-I151),'정책'!$C$8),'신청원본'!J151),0)</ns0:f>
        <ns0:v>211386</ns0:v>
      </ns0:c>
      <ns0:c r="K151" t="n">
        <ns0:f>SUMIFS('출결원본'!$D$6:$D$1445,'출결원본'!$B$6:$B$1445,B151)</ns0:f>
        <ns0:v>3</ns0:v>
      </ns0:c>
      <ns0:c r="L151" t="n">
        <ns0:f>VLOOKUP(B151,'평가원본'!$B$6:$D$485,2,FALSE)</ns0:f>
        <ns0:v>96</ns0:v>
      </ns0:c>
      <ns0:c r="M151" t="n">
        <ns0:f>VLOOKUP(B151,'평가원본'!$B$6:$D$485,3,FALSE)</ns0:f>
        <ns0:v>1</ns0:v>
      </ns0:c>
      <ns0:c r="N151" t="n">
        <ns0:f>VLOOKUP(E151,'교육기준'!$B$6:$F$17,5,FALSE)</ns0:f>
        <ns0:v>70</ns0:v>
      </ns0:c>
      <ns0:c r="O151" t="n">
        <ns0:f>IF(AND(F151="승인",K151&gt;='정책'!$C$6,M151=1,L151&gt;=N151),1,0)</ns0:f>
        <ns0:v>1</ns0:v>
      </ns0:c>
    </ns0:row>
    <ns0:row r="152">
      <ns0:c r="B152" s="17" t="str">
        <ns0:f>'신청원본'!B152</ns0:f>
        <ns0:v>APP000147</ns0:v>
      </ns0:c>
      <ns0:c r="C152" s="17" t="str">
        <ns0:f>'신청원본'!C152</ns0:f>
        <ns0:v>000147</ns0:v>
      </ns0:c>
      <ns0:c r="D152" t="str">
        <ns0:f>'신청원본'!D152</ns0:f>
        <ns0:v>품질</ns0:v>
      </ns0:c>
      <ns0:c r="E152" t="str">
        <ns0:f>'신청원본'!E152</ns0:f>
        <ns0:v>C03</ns0:v>
      </ns0:c>
      <ns0:c r="F152" t="str">
        <ns0:f>'신청원본'!H152</ns0:f>
        <ns0:v>승인</ns0:v>
      </ns0:c>
      <ns0:c r="G152" s="18" t="n">
        <ns0:f>VLOOKUP(E152,'교육기준'!$B$6:$F$17,3,FALSE)</ns0:f>
        <ns0:v>135007</ns0:v>
      </ns0:c>
      <ns0:c r="H152" s="18" t="n">
        <ns0:f>'신청원본'!G152</ns0:f>
        <ns0:v>2</ns0:v>
      </ns0:c>
      <ns0:c r="I152" s="19" t="n">
        <ns0:f>'신청원본'!I152</ns0:f>
        <ns0:v>0.1</ns0:v>
      </ns0:c>
      <ns0:c r="J152" s="18" t="n">
        <ns0:f>IF(F152="승인",IF(COUNTA('신청원본'!J152)=0,ROUND(G152*H152*(1-I152),'정책'!$C$8),'신청원본'!J152),0)</ns0:f>
        <ns0:v>243013</ns0:v>
      </ns0:c>
      <ns0:c r="K152" t="n">
        <ns0:f>SUMIFS('출결원본'!$D$6:$D$1445,'출결원본'!$B$6:$B$1445,B152)</ns0:f>
        <ns0:v>3</ns0:v>
      </ns0:c>
      <ns0:c r="L152" t="n">
        <ns0:f>VLOOKUP(B152,'평가원본'!$B$6:$D$485,2,FALSE)</ns0:f>
        <ns0:v>52</ns0:v>
      </ns0:c>
      <ns0:c r="M152" t="n">
        <ns0:f>VLOOKUP(B152,'평가원본'!$B$6:$D$485,3,FALSE)</ns0:f>
        <ns0:v>1</ns0:v>
      </ns0:c>
      <ns0:c r="N152" t="n">
        <ns0:f>VLOOKUP(E152,'교육기준'!$B$6:$F$17,5,FALSE)</ns0:f>
        <ns0:v>80</ns0:v>
      </ns0:c>
      <ns0:c r="O152" t="n">
        <ns0:f>IF(AND(F152="승인",K152&gt;='정책'!$C$6,M152=1,L152&gt;=N152),1,0)</ns0:f>
        <ns0:v>0</ns0:v>
      </ns0:c>
    </ns0:row>
    <ns0:row r="153">
      <ns0:c r="B153" s="17" t="str">
        <ns0:f>'신청원본'!B153</ns0:f>
        <ns0:v>APP000148</ns0:v>
      </ns0:c>
      <ns0:c r="C153" s="17" t="str">
        <ns0:f>'신청원본'!C153</ns0:f>
        <ns0:v>000148</ns0:v>
      </ns0:c>
      <ns0:c r="D153" t="str">
        <ns0:f>'신청원본'!D153</ns0:f>
        <ns0:v>기획</ns0:v>
      </ns0:c>
      <ns0:c r="E153" t="str">
        <ns0:f>'신청원본'!E153</ns0:f>
        <ns0:v>C10</ns0:v>
      </ns0:c>
      <ns0:c r="F153" t="str">
        <ns0:f>'신청원본'!H153</ns0:f>
        <ns0:v>대기</ns0:v>
      </ns0:c>
      <ns0:c r="G153" s="18" t="n">
        <ns0:f>VLOOKUP(E153,'교육기준'!$B$6:$F$17,3,FALSE)</ns0:f>
        <ns0:v>257514</ns0:v>
      </ns0:c>
      <ns0:c r="H153" s="18" t="n">
        <ns0:f>'신청원본'!G153</ns0:f>
        <ns0:v>3</ns0:v>
      </ns0:c>
      <ns0:c r="I153" s="19" t="n">
        <ns0:f>'신청원본'!I153</ns0:f>
        <ns0:v>0.125</ns0:v>
      </ns0:c>
      <ns0:c r="J153" s="18" t="n">
        <ns0:f>IF(F153="승인",IF(COUNTA('신청원본'!J153)=0,ROUND(G153*H153*(1-I153),'정책'!$C$8),'신청원본'!J153),0)</ns0:f>
        <ns0:v>0</ns0:v>
      </ns0:c>
      <ns0:c r="K153" t="n">
        <ns0:f>SUMIFS('출결원본'!$D$6:$D$1445,'출결원본'!$B$6:$B$1445,B153)</ns0:f>
        <ns0:v>3</ns0:v>
      </ns0:c>
      <ns0:c r="L153" t="n">
        <ns0:f>VLOOKUP(B153,'평가원본'!$B$6:$D$485,2,FALSE)</ns0:f>
        <ns0:v>59</ns0:v>
      </ns0:c>
      <ns0:c r="M153" t="n">
        <ns0:f>VLOOKUP(B153,'평가원본'!$B$6:$D$485,3,FALSE)</ns0:f>
        <ns0:v>1</ns0:v>
      </ns0:c>
      <ns0:c r="N153" t="n">
        <ns0:f>VLOOKUP(E153,'교육기준'!$B$6:$F$17,5,FALSE)</ns0:f>
        <ns0:v>60</ns0:v>
      </ns0:c>
      <ns0:c r="O153" t="n">
        <ns0:f>IF(AND(F153="승인",K153&gt;='정책'!$C$6,M153=1,L153&gt;=N153),1,0)</ns0:f>
        <ns0:v>0</ns0:v>
      </ns0:c>
    </ns0:row>
    <ns0:row r="154">
      <ns0:c r="B154" s="17" t="str">
        <ns0:f>'신청원본'!B154</ns0:f>
        <ns0:v>APP000149</ns0:v>
      </ns0:c>
      <ns0:c r="C154" s="17" t="str">
        <ns0:f>'신청원본'!C154</ns0:f>
        <ns0:v>000149</ns0:v>
      </ns0:c>
      <ns0:c r="D154" t="str">
        <ns0:f>'신청원본'!D154</ns0:f>
        <ns0:v>영업</ns0:v>
      </ns0:c>
      <ns0:c r="E154" t="str">
        <ns0:f>'신청원본'!E154</ns0:f>
        <ns0:v>C05</ns0:v>
      </ns0:c>
      <ns0:c r="F154" t="str">
        <ns0:f>'신청원본'!H154</ns0:f>
        <ns0:v>승인</ns0:v>
      </ns0:c>
      <ns0:c r="G154" s="18" t="n">
        <ns0:f>VLOOKUP(E154,'교육기준'!$B$6:$F$17,3,FALSE)</ns0:f>
        <ns0:v>170009</ns0:v>
      </ns0:c>
      <ns0:c r="H154" s="18" t="n">
        <ns0:f>'신청원본'!G154</ns0:f>
        <ns0:v>4</ns0:v>
      </ns0:c>
      <ns0:c r="I154" s="19" t="n">
        <ns0:f>'신청원본'!I154</ns0:f>
        <ns0:v>0</ns0:v>
      </ns0:c>
      <ns0:c r="J154" s="18" t="n">
        <ns0:f>IF(F154="승인",IF(COUNTA('신청원본'!J154)=0,ROUND(G154*H154*(1-I154),'정책'!$C$8),'신청원본'!J154),0)</ns0:f>
        <ns0:v>680036</ns0:v>
      </ns0:c>
      <ns0:c r="K154" t="n">
        <ns0:f>SUMIFS('출결원본'!$D$6:$D$1445,'출결원본'!$B$6:$B$1445,B154)</ns0:f>
        <ns0:v>3</ns0:v>
      </ns0:c>
      <ns0:c r="L154" t="n">
        <ns0:f>VLOOKUP(B154,'평가원본'!$B$6:$D$485,2,FALSE)</ns0:f>
        <ns0:v>66</ns0:v>
      </ns0:c>
      <ns0:c r="M154" t="n">
        <ns0:f>VLOOKUP(B154,'평가원본'!$B$6:$D$485,3,FALSE)</ns0:f>
        <ns0:v>1</ns0:v>
      </ns0:c>
      <ns0:c r="N154" t="n">
        <ns0:f>VLOOKUP(E154,'교육기준'!$B$6:$F$17,5,FALSE)</ns0:f>
        <ns0:v>70</ns0:v>
      </ns0:c>
      <ns0:c r="O154" t="n">
        <ns0:f>IF(AND(F154="승인",K154&gt;='정책'!$C$6,M154=1,L154&gt;=N154),1,0)</ns0:f>
        <ns0:v>0</ns0:v>
      </ns0:c>
    </ns0:row>
    <ns0:row r="155">
      <ns0:c r="B155" s="17" t="str">
        <ns0:f>'신청원본'!B155</ns0:f>
        <ns0:v>APP000150</ns0:v>
      </ns0:c>
      <ns0:c r="C155" s="17" t="str">
        <ns0:f>'신청원본'!C155</ns0:f>
        <ns0:v>000150</ns0:v>
      </ns0:c>
      <ns0:c r="D155" t="str">
        <ns0:f>'신청원본'!D155</ns0:f>
        <ns0:v>지원</ns0:v>
      </ns0:c>
      <ns0:c r="E155" t="str">
        <ns0:f>'신청원본'!E155</ns0:f>
        <ns0:v>C12</ns0:v>
      </ns0:c>
      <ns0:c r="F155" t="str">
        <ns0:f>'신청원본'!H155</ns0:f>
        <ns0:v>승인</ns0:v>
      </ns0:c>
      <ns0:c r="G155" s="18" t="n">
        <ns0:f>VLOOKUP(E155,'교육기준'!$B$6:$F$17,3,FALSE)</ns0:f>
        <ns0:v>292516</ns0:v>
      </ns0:c>
      <ns0:c r="H155" s="18" t="n">
        <ns0:f>'신청원본'!G155</ns0:f>
        <ns0:v>5</ns0:v>
      </ns0:c>
      <ns0:c r="I155" s="19" t="n">
        <ns0:f>'신청원본'!I155</ns0:f>
        <ns0:v>0.05</ns0:v>
      </ns0:c>
      <ns0:c r="J155" s="18" t="n">
        <ns0:f>IF(F155="승인",IF(COUNTA('신청원본'!J155)=0,ROUND(G155*H155*(1-I155),'정책'!$C$8),'신청원본'!J155),0)</ns0:f>
        <ns0:v>1389451</ns0:v>
      </ns0:c>
      <ns0:c r="K155" t="n">
        <ns0:f>SUMIFS('출결원본'!$D$6:$D$1445,'출결원본'!$B$6:$B$1445,B155)</ns0:f>
        <ns0:v>3</ns0:v>
      </ns0:c>
      <ns0:c r="L155" t="n">
        <ns0:f>VLOOKUP(B155,'평가원본'!$B$6:$D$485,2,FALSE)</ns0:f>
        <ns0:v>73</ns0:v>
      </ns0:c>
      <ns0:c r="M155" t="n">
        <ns0:f>VLOOKUP(B155,'평가원본'!$B$6:$D$485,3,FALSE)</ns0:f>
        <ns0:v>1</ns0:v>
      </ns0:c>
      <ns0:c r="N155" t="n">
        <ns0:f>VLOOKUP(E155,'교육기준'!$B$6:$F$17,5,FALSE)</ns0:f>
        <ns0:v>80</ns0:v>
      </ns0:c>
      <ns0:c r="O155" t="n">
        <ns0:f>IF(AND(F155="승인",K155&gt;='정책'!$C$6,M155=1,L155&gt;=N155),1,0)</ns0:f>
        <ns0:v>0</ns0:v>
      </ns0:c>
    </ns0:row>
    <ns0:row r="156">
      <ns0:c r="B156" s="17" t="str">
        <ns0:f>'신청원본'!B156</ns0:f>
        <ns0:v>APP000151</ns0:v>
      </ns0:c>
      <ns0:c r="C156" s="17" t="str">
        <ns0:f>'신청원본'!C156</ns0:f>
        <ns0:v>000151</ns0:v>
      </ns0:c>
      <ns0:c r="D156" t="str">
        <ns0:f>'신청원본'!D156</ns0:f>
        <ns0:v>개발</ns0:v>
      </ns0:c>
      <ns0:c r="E156" t="str">
        <ns0:f>'신청원본'!E156</ns0:f>
        <ns0:v>C07</ns0:v>
      </ns0:c>
      <ns0:c r="F156" t="str">
        <ns0:f>'신청원본'!H156</ns0:f>
        <ns0:v>승인</ns0:v>
      </ns0:c>
      <ns0:c r="G156" s="18" t="n">
        <ns0:f>VLOOKUP(E156,'교육기준'!$B$6:$F$17,3,FALSE)</ns0:f>
        <ns0:v>205011</ns0:v>
      </ns0:c>
      <ns0:c r="H156" s="18" t="n">
        <ns0:f>'신청원본'!G156</ns0:f>
        <ns0:v>0</ns0:v>
      </ns0:c>
      <ns0:c r="I156" s="19" t="n">
        <ns0:f>'신청원본'!I156</ns0:f>
        <ns0:v>0.1</ns0:v>
      </ns0:c>
      <ns0:c r="J156" s="18" t="n">
        <ns0:f>IF(F156="승인",IF(COUNTA('신청원본'!J156)=0,ROUND(G156*H156*(1-I156),'정책'!$C$8),'신청원본'!J156),0)</ns0:f>
        <ns0:v>0</ns0:v>
      </ns0:c>
      <ns0:c r="K156" t="n">
        <ns0:f>SUMIFS('출결원본'!$D$6:$D$1445,'출결원본'!$B$6:$B$1445,B156)</ns0:f>
        <ns0:v>3</ns0:v>
      </ns0:c>
      <ns0:c r="L156" t="n">
        <ns0:f>VLOOKUP(B156,'평가원본'!$B$6:$D$485,2,FALSE)</ns0:f>
        <ns0:v>80</ns0:v>
      </ns0:c>
      <ns0:c r="M156" t="n">
        <ns0:f>VLOOKUP(B156,'평가원본'!$B$6:$D$485,3,FALSE)</ns0:f>
        <ns0:v>1</ns0:v>
      </ns0:c>
      <ns0:c r="N156" t="n">
        <ns0:f>VLOOKUP(E156,'교육기준'!$B$6:$F$17,5,FALSE)</ns0:f>
        <ns0:v>60</ns0:v>
      </ns0:c>
      <ns0:c r="O156" t="n">
        <ns0:f>IF(AND(F156="승인",K156&gt;='정책'!$C$6,M156=1,L156&gt;=N156),1,0)</ns0:f>
        <ns0:v>1</ns0:v>
      </ns0:c>
    </ns0:row>
    <ns0:row r="157">
      <ns0:c r="B157" s="17" t="str">
        <ns0:f>'신청원본'!B157</ns0:f>
        <ns0:v>APP000152</ns0:v>
      </ns0:c>
      <ns0:c r="C157" s="17" t="str">
        <ns0:f>'신청원본'!C157</ns0:f>
        <ns0:v>000152</ns0:v>
      </ns0:c>
      <ns0:c r="D157" t="str">
        <ns0:f>'신청원본'!D157</ns0:f>
        <ns0:v>생산</ns0:v>
      </ns0:c>
      <ns0:c r="E157" t="str">
        <ns0:f>'신청원본'!E157</ns0:f>
        <ns0:v>C02</ns0:v>
      </ns0:c>
      <ns0:c r="F157" t="str">
        <ns0:f>'신청원본'!H157</ns0:f>
        <ns0:v>승인</ns0:v>
      </ns0:c>
      <ns0:c r="G157" s="18" t="n">
        <ns0:f>VLOOKUP(E157,'교육기준'!$B$6:$F$17,3,FALSE)</ns0:f>
        <ns0:v>117506</ns0:v>
      </ns0:c>
      <ns0:c r="H157" s="18" t="n">
        <ns0:f>'신청원본'!G157</ns0:f>
        <ns0:v>1</ns0:v>
      </ns0:c>
      <ns0:c r="I157" s="19" t="n">
        <ns0:f>'신청원본'!I157</ns0:f>
        <ns0:v>0.125</ns0:v>
      </ns0:c>
      <ns0:c r="J157" s="18" t="n">
        <ns0:f>IF(F157="승인",IF(COUNTA('신청원본'!J157)=0,ROUND(G157*H157*(1-I157),'정책'!$C$8),'신청원본'!J157),0)</ns0:f>
        <ns0:v>102818</ns0:v>
      </ns0:c>
      <ns0:c r="K157" t="n">
        <ns0:f>SUMIFS('출결원본'!$D$6:$D$1445,'출결원본'!$B$6:$B$1445,B157)</ns0:f>
        <ns0:v>3</ns0:v>
      </ns0:c>
      <ns0:c r="L157" t="n">
        <ns0:f>VLOOKUP(B157,'평가원본'!$B$6:$D$485,2,FALSE)</ns0:f>
        <ns0:v>87</ns0:v>
      </ns0:c>
      <ns0:c r="M157" t="n">
        <ns0:f>VLOOKUP(B157,'평가원본'!$B$6:$D$485,3,FALSE)</ns0:f>
        <ns0:v>1</ns0:v>
      </ns0:c>
      <ns0:c r="N157" t="n">
        <ns0:f>VLOOKUP(E157,'교육기준'!$B$6:$F$17,5,FALSE)</ns0:f>
        <ns0:v>70</ns0:v>
      </ns0:c>
      <ns0:c r="O157" t="n">
        <ns0:f>IF(AND(F157="승인",K157&gt;='정책'!$C$6,M157=1,L157&gt;=N157),1,0)</ns0:f>
        <ns0:v>1</ns0:v>
      </ns0:c>
    </ns0:row>
    <ns0:row r="158">
      <ns0:c r="B158" s="17" t="str">
        <ns0:f>'신청원본'!B158</ns0:f>
        <ns0:v>APP000153</ns0:v>
      </ns0:c>
      <ns0:c r="C158" s="17" t="str">
        <ns0:f>'신청원본'!C158</ns0:f>
        <ns0:v>000153</ns0:v>
      </ns0:c>
      <ns0:c r="D158" t="str">
        <ns0:f>'신청원본'!D158</ns0:f>
        <ns0:v>품질</ns0:v>
      </ns0:c>
      <ns0:c r="E158" t="str">
        <ns0:f>'신청원본'!E158</ns0:f>
        <ns0:v>C09</ns0:v>
      </ns0:c>
      <ns0:c r="F158" t="str">
        <ns0:f>'신청원본'!H158</ns0:f>
        <ns0:v>승인</ns0:v>
      </ns0:c>
      <ns0:c r="G158" s="18" t="n">
        <ns0:f>VLOOKUP(E158,'교육기준'!$B$6:$F$17,3,FALSE)</ns0:f>
        <ns0:v>240013</ns0:v>
      </ns0:c>
      <ns0:c r="H158" s="18" t="n">
        <ns0:f>'신청원본'!G158</ns0:f>
        <ns0:v>2</ns0:v>
      </ns0:c>
      <ns0:c r="I158" s="19" t="n">
        <ns0:f>'신청원본'!I158</ns0:f>
        <ns0:v>0</ns0:v>
      </ns0:c>
      <ns0:c r="J158" s="18" t="n">
        <ns0:f>IF(F158="승인",IF(COUNTA('신청원본'!J158)=0,ROUND(G158*H158*(1-I158),'정책'!$C$8),'신청원본'!J158),0)</ns0:f>
        <ns0:v>480026</ns0:v>
      </ns0:c>
      <ns0:c r="K158" t="n">
        <ns0:f>SUMIFS('출결원본'!$D$6:$D$1445,'출결원본'!$B$6:$B$1445,B158)</ns0:f>
        <ns0:v>3</ns0:v>
      </ns0:c>
      <ns0:c r="L158" t="n">
        <ns0:f>VLOOKUP(B158,'평가원본'!$B$6:$D$485,2,FALSE)</ns0:f>
        <ns0:v>94</ns0:v>
      </ns0:c>
      <ns0:c r="M158" t="n">
        <ns0:f>VLOOKUP(B158,'평가원본'!$B$6:$D$485,3,FALSE)</ns0:f>
        <ns0:v>0</ns0:v>
      </ns0:c>
      <ns0:c r="N158" t="n">
        <ns0:f>VLOOKUP(E158,'교육기준'!$B$6:$F$17,5,FALSE)</ns0:f>
        <ns0:v>80</ns0:v>
      </ns0:c>
      <ns0:c r="O158" t="n">
        <ns0:f>IF(AND(F158="승인",K158&gt;='정책'!$C$6,M158=1,L158&gt;=N158),1,0)</ns0:f>
        <ns0:v>0</ns0:v>
      </ns0:c>
    </ns0:row>
    <ns0:row r="159">
      <ns0:c r="B159" s="17" t="str">
        <ns0:f>'신청원본'!B159</ns0:f>
        <ns0:v>APP000154</ns0:v>
      </ns0:c>
      <ns0:c r="C159" s="17" t="str">
        <ns0:f>'신청원본'!C159</ns0:f>
        <ns0:v>000154</ns0:v>
      </ns0:c>
      <ns0:c r="D159" t="str">
        <ns0:f>'신청원본'!D159</ns0:f>
        <ns0:v>기획</ns0:v>
      </ns0:c>
      <ns0:c r="E159" t="str">
        <ns0:f>'신청원본'!E159</ns0:f>
        <ns0:v>C04</ns0:v>
      </ns0:c>
      <ns0:c r="F159" t="str">
        <ns0:f>'신청원본'!H159</ns0:f>
        <ns0:v>승인</ns0:v>
      </ns0:c>
      <ns0:c r="G159" s="18" t="n">
        <ns0:f>VLOOKUP(E159,'교육기준'!$B$6:$F$17,3,FALSE)</ns0:f>
        <ns0:v>152508</ns0:v>
      </ns0:c>
      <ns0:c r="H159" s="18" t="n">
        <ns0:f>'신청원본'!G159</ns0:f>
        <ns0:v>3</ns0:v>
      </ns0:c>
      <ns0:c r="I159" s="19" t="n">
        <ns0:f>'신청원본'!I159</ns0:f>
        <ns0:v>0.05</ns0:v>
      </ns0:c>
      <ns0:c r="J159" s="18" t="n">
        <ns0:f>IF(F159="승인",IF(COUNTA('신청원본'!J159)=0,ROUND(G159*H159*(1-I159),'정책'!$C$8),'신청원본'!J159),0)</ns0:f>
        <ns0:v>434648</ns0:v>
      </ns0:c>
      <ns0:c r="K159" t="n">
        <ns0:f>SUMIFS('출결원본'!$D$6:$D$1445,'출결원본'!$B$6:$B$1445,B159)</ns0:f>
        <ns0:v>2</ns0:v>
      </ns0:c>
      <ns0:c r="L159" t="n">
        <ns0:f>VLOOKUP(B159,'평가원본'!$B$6:$D$485,2,FALSE)</ns0:f>
        <ns0:v>50</ns0:v>
      </ns0:c>
      <ns0:c r="M159" t="n">
        <ns0:f>VLOOKUP(B159,'평가원본'!$B$6:$D$485,3,FALSE)</ns0:f>
        <ns0:v>1</ns0:v>
      </ns0:c>
      <ns0:c r="N159" t="n">
        <ns0:f>VLOOKUP(E159,'교육기준'!$B$6:$F$17,5,FALSE)</ns0:f>
        <ns0:v>60</ns0:v>
      </ns0:c>
      <ns0:c r="O159" t="n">
        <ns0:f>IF(AND(F159="승인",K159&gt;='정책'!$C$6,M159=1,L159&gt;=N159),1,0)</ns0:f>
        <ns0:v>0</ns0:v>
      </ns0:c>
    </ns0:row>
    <ns0:row r="160">
      <ns0:c r="B160" s="17" t="str">
        <ns0:f>'신청원본'!B160</ns0:f>
        <ns0:v>APP000155</ns0:v>
      </ns0:c>
      <ns0:c r="C160" s="17" t="str">
        <ns0:f>'신청원본'!C160</ns0:f>
        <ns0:v>000155</ns0:v>
      </ns0:c>
      <ns0:c r="D160" t="str">
        <ns0:f>'신청원본'!D160</ns0:f>
        <ns0:v>영업</ns0:v>
      </ns0:c>
      <ns0:c r="E160" t="str">
        <ns0:f>'신청원본'!E160</ns0:f>
        <ns0:v>C11</ns0:v>
      </ns0:c>
      <ns0:c r="F160" t="str">
        <ns0:f>'신청원본'!H160</ns0:f>
        <ns0:v>취소</ns0:v>
      </ns0:c>
      <ns0:c r="G160" s="18" t="n">
        <ns0:f>VLOOKUP(E160,'교육기준'!$B$6:$F$17,3,FALSE)</ns0:f>
        <ns0:v>275015</ns0:v>
      </ns0:c>
      <ns0:c r="H160" s="18" t="n">
        <ns0:f>'신청원본'!G160</ns0:f>
        <ns0:v>4</ns0:v>
      </ns0:c>
      <ns0:c r="I160" s="19" t="n">
        <ns0:f>'신청원본'!I160</ns0:f>
        <ns0:v>0.1</ns0:v>
      </ns0:c>
      <ns0:c r="J160" s="18" t="n">
        <ns0:f>IF(F160="승인",IF(COUNTA('신청원본'!J160)=0,ROUND(G160*H160*(1-I160),'정책'!$C$8),'신청원본'!J160),0)</ns0:f>
        <ns0:v>0</ns0:v>
      </ns0:c>
      <ns0:c r="K160" t="n">
        <ns0:f>SUMIFS('출결원본'!$D$6:$D$1445,'출결원본'!$B$6:$B$1445,B160)</ns0:f>
        <ns0:v>3</ns0:v>
      </ns0:c>
      <ns0:c r="L160" t="n">
        <ns0:f>VLOOKUP(B160,'평가원본'!$B$6:$D$485,2,FALSE)</ns0:f>
        <ns0:v>57</ns0:v>
      </ns0:c>
      <ns0:c r="M160" t="n">
        <ns0:f>VLOOKUP(B160,'평가원본'!$B$6:$D$485,3,FALSE)</ns0:f>
        <ns0:v>1</ns0:v>
      </ns0:c>
      <ns0:c r="N160" t="n">
        <ns0:f>VLOOKUP(E160,'교육기준'!$B$6:$F$17,5,FALSE)</ns0:f>
        <ns0:v>70</ns0:v>
      </ns0:c>
      <ns0:c r="O160" t="n">
        <ns0:f>IF(AND(F160="승인",K160&gt;='정책'!$C$6,M160=1,L160&gt;=N160),1,0)</ns0:f>
        <ns0:v>0</ns0:v>
      </ns0:c>
    </ns0:row>
    <ns0:row r="161">
      <ns0:c r="B161" s="17" t="str">
        <ns0:f>'신청원본'!B161</ns0:f>
        <ns0:v>APP000156</ns0:v>
      </ns0:c>
      <ns0:c r="C161" s="17" t="str">
        <ns0:f>'신청원본'!C161</ns0:f>
        <ns0:v>000156</ns0:v>
      </ns0:c>
      <ns0:c r="D161" t="str">
        <ns0:f>'신청원본'!D161</ns0:f>
        <ns0:v>지원</ns0:v>
      </ns0:c>
      <ns0:c r="E161" t="str">
        <ns0:f>'신청원본'!E161</ns0:f>
        <ns0:v>C06</ns0:v>
      </ns0:c>
      <ns0:c r="F161" t="str">
        <ns0:f>'신청원본'!H161</ns0:f>
        <ns0:v>승인</ns0:v>
      </ns0:c>
      <ns0:c r="G161" s="18" t="n">
        <ns0:f>VLOOKUP(E161,'교육기준'!$B$6:$F$17,3,FALSE)</ns0:f>
        <ns0:v>187510</ns0:v>
      </ns0:c>
      <ns0:c r="H161" s="18" t="n">
        <ns0:f>'신청원본'!G161</ns0:f>
        <ns0:v>5</ns0:v>
      </ns0:c>
      <ns0:c r="I161" s="19" t="n">
        <ns0:f>'신청원본'!I161</ns0:f>
        <ns0:v>0.125</ns0:v>
      </ns0:c>
      <ns0:c r="J161" s="18" t="n">
        <ns0:f>IF(F161="승인",IF(COUNTA('신청원본'!J161)=0,ROUND(G161*H161*(1-I161),'정책'!$C$8),'신청원본'!J161),0)</ns0:f>
        <ns0:v>820356</ns0:v>
      </ns0:c>
      <ns0:c r="K161" t="n">
        <ns0:f>SUMIFS('출결원본'!$D$6:$D$1445,'출결원본'!$B$6:$B$1445,B161)</ns0:f>
        <ns0:v>3</ns0:v>
      </ns0:c>
      <ns0:c r="L161" t="n">
        <ns0:f>VLOOKUP(B161,'평가원본'!$B$6:$D$485,2,FALSE)</ns0:f>
        <ns0:v>64</ns0:v>
      </ns0:c>
      <ns0:c r="M161" t="n">
        <ns0:f>VLOOKUP(B161,'평가원본'!$B$6:$D$485,3,FALSE)</ns0:f>
        <ns0:v>1</ns0:v>
      </ns0:c>
      <ns0:c r="N161" t="n">
        <ns0:f>VLOOKUP(E161,'교육기준'!$B$6:$F$17,5,FALSE)</ns0:f>
        <ns0:v>80</ns0:v>
      </ns0:c>
      <ns0:c r="O161" t="n">
        <ns0:f>IF(AND(F161="승인",K161&gt;='정책'!$C$6,M161=1,L161&gt;=N161),1,0)</ns0:f>
        <ns0:v>0</ns0:v>
      </ns0:c>
    </ns0:row>
    <ns0:row r="162">
      <ns0:c r="B162" s="17" t="str">
        <ns0:f>'신청원본'!B162</ns0:f>
        <ns0:v>APP000157</ns0:v>
      </ns0:c>
      <ns0:c r="C162" s="17" t="str">
        <ns0:f>'신청원본'!C162</ns0:f>
        <ns0:v>000157</ns0:v>
      </ns0:c>
      <ns0:c r="D162" t="str">
        <ns0:f>'신청원본'!D162</ns0:f>
        <ns0:v>개발</ns0:v>
      </ns0:c>
      <ns0:c r="E162" t="str">
        <ns0:f>'신청원본'!E162</ns0:f>
        <ns0:v>C01</ns0:v>
      </ns0:c>
      <ns0:c r="F162" t="str">
        <ns0:f>'신청원본'!H162</ns0:f>
        <ns0:v>승인</ns0:v>
      </ns0:c>
      <ns0:c r="G162" s="18" t="n">
        <ns0:f>VLOOKUP(E162,'교육기준'!$B$6:$F$17,3,FALSE)</ns0:f>
        <ns0:v>100005</ns0:v>
      </ns0:c>
      <ns0:c r="H162" s="18" t="n">
        <ns0:f>'신청원본'!G162</ns0:f>
        <ns0:v>0</ns0:v>
      </ns0:c>
      <ns0:c r="I162" s="19" t="n">
        <ns0:f>'신청원본'!I162</ns0:f>
        <ns0:v>0</ns0:v>
      </ns0:c>
      <ns0:c r="J162" s="18" t="n">
        <ns0:f>IF(F162="승인",IF(COUNTA('신청원본'!J162)=0,ROUND(G162*H162*(1-I162),'정책'!$C$8),'신청원본'!J162),0)</ns0:f>
        <ns0:v>0</ns0:v>
      </ns0:c>
      <ns0:c r="K162" t="n">
        <ns0:f>SUMIFS('출결원본'!$D$6:$D$1445,'출결원본'!$B$6:$B$1445,B162)</ns0:f>
        <ns0:v>2</ns0:v>
      </ns0:c>
      <ns0:c r="L162" t="n">
        <ns0:f>VLOOKUP(B162,'평가원본'!$B$6:$D$485,2,FALSE)</ns0:f>
        <ns0:v>71</ns0:v>
      </ns0:c>
      <ns0:c r="M162" t="n">
        <ns0:f>VLOOKUP(B162,'평가원본'!$B$6:$D$485,3,FALSE)</ns0:f>
        <ns0:v>1</ns0:v>
      </ns0:c>
      <ns0:c r="N162" t="n">
        <ns0:f>VLOOKUP(E162,'교육기준'!$B$6:$F$17,5,FALSE)</ns0:f>
        <ns0:v>60</ns0:v>
      </ns0:c>
      <ns0:c r="O162" t="n">
        <ns0:f>IF(AND(F162="승인",K162&gt;='정책'!$C$6,M162=1,L162&gt;=N162),1,0)</ns0:f>
        <ns0:v>0</ns0:v>
      </ns0:c>
    </ns0:row>
    <ns0:row r="163">
      <ns0:c r="B163" s="17" t="str">
        <ns0:f>'신청원본'!B163</ns0:f>
        <ns0:v>APP000158</ns0:v>
      </ns0:c>
      <ns0:c r="C163" s="17" t="str">
        <ns0:f>'신청원본'!C163</ns0:f>
        <ns0:v>000158</ns0:v>
      </ns0:c>
      <ns0:c r="D163" t="str">
        <ns0:f>'신청원본'!D163</ns0:f>
        <ns0:v>생산</ns0:v>
      </ns0:c>
      <ns0:c r="E163" t="str">
        <ns0:f>'신청원본'!E163</ns0:f>
        <ns0:v>C08</ns0:v>
      </ns0:c>
      <ns0:c r="F163" t="str">
        <ns0:f>'신청원본'!H163</ns0:f>
        <ns0:v>승인</ns0:v>
      </ns0:c>
      <ns0:c r="G163" s="18" t="n">
        <ns0:f>VLOOKUP(E163,'교육기준'!$B$6:$F$17,3,FALSE)</ns0:f>
        <ns0:v>222512</ns0:v>
      </ns0:c>
      <ns0:c r="H163" s="18" t="n">
        <ns0:f>'신청원본'!G163</ns0:f>
        <ns0:v>1</ns0:v>
      </ns0:c>
      <ns0:c r="I163" s="19" t="n">
        <ns0:f>'신청원본'!I163</ns0:f>
        <ns0:v>0.05</ns0:v>
      </ns0:c>
      <ns0:c r="J163" s="18" t="n">
        <ns0:f>IF(F163="승인",IF(COUNTA('신청원본'!J163)=0,ROUND(G163*H163*(1-I163),'정책'!$C$8),'신청원본'!J163),0)</ns0:f>
        <ns0:v>211386</ns0:v>
      </ns0:c>
      <ns0:c r="K163" t="n">
        <ns0:f>SUMIFS('출결원본'!$D$6:$D$1445,'출결원본'!$B$6:$B$1445,B163)</ns0:f>
        <ns0:v>3</ns0:v>
      </ns0:c>
      <ns0:c r="L163" t="n">
        <ns0:f>VLOOKUP(B163,'평가원본'!$B$6:$D$485,2,FALSE)</ns0:f>
        <ns0:v>78</ns0:v>
      </ns0:c>
      <ns0:c r="M163" t="n">
        <ns0:f>VLOOKUP(B163,'평가원본'!$B$6:$D$485,3,FALSE)</ns0:f>
        <ns0:v>1</ns0:v>
      </ns0:c>
      <ns0:c r="N163" t="n">
        <ns0:f>VLOOKUP(E163,'교육기준'!$B$6:$F$17,5,FALSE)</ns0:f>
        <ns0:v>70</ns0:v>
      </ns0:c>
      <ns0:c r="O163" t="n">
        <ns0:f>IF(AND(F163="승인",K163&gt;='정책'!$C$6,M163=1,L163&gt;=N163),1,0)</ns0:f>
        <ns0:v>1</ns0:v>
      </ns0:c>
    </ns0:row>
    <ns0:row r="164">
      <ns0:c r="B164" s="17" t="str">
        <ns0:f>'신청원본'!B164</ns0:f>
        <ns0:v>APP000159</ns0:v>
      </ns0:c>
      <ns0:c r="C164" s="17" t="str">
        <ns0:f>'신청원본'!C164</ns0:f>
        <ns0:v>000159</ns0:v>
      </ns0:c>
      <ns0:c r="D164" t="str">
        <ns0:f>'신청원본'!D164</ns0:f>
        <ns0:v>품질</ns0:v>
      </ns0:c>
      <ns0:c r="E164" t="str">
        <ns0:f>'신청원본'!E164</ns0:f>
        <ns0:v>C03</ns0:v>
      </ns0:c>
      <ns0:c r="F164" t="str">
        <ns0:f>'신청원본'!H164</ns0:f>
        <ns0:v>승인</ns0:v>
      </ns0:c>
      <ns0:c r="G164" s="18" t="n">
        <ns0:f>VLOOKUP(E164,'교육기준'!$B$6:$F$17,3,FALSE)</ns0:f>
        <ns0:v>135007</ns0:v>
      </ns0:c>
      <ns0:c r="H164" s="18" t="n">
        <ns0:f>'신청원본'!G164</ns0:f>
        <ns0:v>2</ns0:v>
      </ns0:c>
      <ns0:c r="I164" s="19" t="n">
        <ns0:f>'신청원본'!I164</ns0:f>
        <ns0:v>0.1</ns0:v>
      </ns0:c>
      <ns0:c r="J164" s="18" t="n">
        <ns0:f>IF(F164="승인",IF(COUNTA('신청원본'!J164)=0,ROUND(G164*H164*(1-I164),'정책'!$C$8),'신청원본'!J164),0)</ns0:f>
        <ns0:v>12345</ns0:v>
      </ns0:c>
      <ns0:c r="K164" t="n">
        <ns0:f>SUMIFS('출결원본'!$D$6:$D$1445,'출결원본'!$B$6:$B$1445,B164)</ns0:f>
        <ns0:v>3</ns0:v>
      </ns0:c>
      <ns0:c r="L164" t="n">
        <ns0:f>VLOOKUP(B164,'평가원본'!$B$6:$D$485,2,FALSE)</ns0:f>
        <ns0:v>85</ns0:v>
      </ns0:c>
      <ns0:c r="M164" t="n">
        <ns0:f>VLOOKUP(B164,'평가원본'!$B$6:$D$485,3,FALSE)</ns0:f>
        <ns0:v>1</ns0:v>
      </ns0:c>
      <ns0:c r="N164" t="n">
        <ns0:f>VLOOKUP(E164,'교육기준'!$B$6:$F$17,5,FALSE)</ns0:f>
        <ns0:v>80</ns0:v>
      </ns0:c>
      <ns0:c r="O164" t="n">
        <ns0:f>IF(AND(F164="승인",K164&gt;='정책'!$C$6,M164=1,L164&gt;=N164),1,0)</ns0:f>
        <ns0:v>1</ns0:v>
      </ns0:c>
    </ns0:row>
    <ns0:row r="165">
      <ns0:c r="B165" s="17" t="str">
        <ns0:f>'신청원본'!B165</ns0:f>
        <ns0:v>APP000160</ns0:v>
      </ns0:c>
      <ns0:c r="C165" s="17" t="str">
        <ns0:f>'신청원본'!C165</ns0:f>
        <ns0:v>000160</ns0:v>
      </ns0:c>
      <ns0:c r="D165" t="str">
        <ns0:f>'신청원본'!D165</ns0:f>
        <ns0:v>기획</ns0:v>
      </ns0:c>
      <ns0:c r="E165" t="str">
        <ns0:f>'신청원본'!E165</ns0:f>
        <ns0:v>C10</ns0:v>
      </ns0:c>
      <ns0:c r="F165" t="str">
        <ns0:f>'신청원본'!H165</ns0:f>
        <ns0:v>승인</ns0:v>
      </ns0:c>
      <ns0:c r="G165" s="18" t="n">
        <ns0:f>VLOOKUP(E165,'교육기준'!$B$6:$F$17,3,FALSE)</ns0:f>
        <ns0:v>257514</ns0:v>
      </ns0:c>
      <ns0:c r="H165" s="18" t="n">
        <ns0:f>'신청원본'!G165</ns0:f>
        <ns0:v>3</ns0:v>
      </ns0:c>
      <ns0:c r="I165" s="19" t="n">
        <ns0:f>'신청원본'!I165</ns0:f>
        <ns0:v>0.125</ns0:v>
      </ns0:c>
      <ns0:c r="J165" s="18" t="n">
        <ns0:f>IF(F165="승인",IF(COUNTA('신청원본'!J165)=0,ROUND(G165*H165*(1-I165),'정책'!$C$8),'신청원본'!J165),0)</ns0:f>
        <ns0:v>0</ns0:v>
      </ns0:c>
      <ns0:c r="K165" t="n">
        <ns0:f>SUMIFS('출결원본'!$D$6:$D$1445,'출결원본'!$B$6:$B$1445,B165)</ns0:f>
        <ns0:v>3</ns0:v>
      </ns0:c>
      <ns0:c r="L165" t="n">
        <ns0:f>VLOOKUP(B165,'평가원본'!$B$6:$D$485,2,FALSE)</ns0:f>
        <ns0:v>92</ns0:v>
      </ns0:c>
      <ns0:c r="M165" t="n">
        <ns0:f>VLOOKUP(B165,'평가원본'!$B$6:$D$485,3,FALSE)</ns0:f>
        <ns0:v>1</ns0:v>
      </ns0:c>
      <ns0:c r="N165" t="n">
        <ns0:f>VLOOKUP(E165,'교육기준'!$B$6:$F$17,5,FALSE)</ns0:f>
        <ns0:v>60</ns0:v>
      </ns0:c>
      <ns0:c r="O165" t="n">
        <ns0:f>IF(AND(F165="승인",K165&gt;='정책'!$C$6,M165=1,L165&gt;=N165),1,0)</ns0:f>
        <ns0:v>1</ns0:v>
      </ns0:c>
    </ns0:row>
    <ns0:row r="166">
      <ns0:c r="B166" s="17" t="str">
        <ns0:f>'신청원본'!B166</ns0:f>
        <ns0:v>APP000161</ns0:v>
      </ns0:c>
      <ns0:c r="C166" s="17" t="str">
        <ns0:f>'신청원본'!C166</ns0:f>
        <ns0:v>000001</ns0:v>
      </ns0:c>
      <ns0:c r="D166" t="str">
        <ns0:f>'신청원본'!D166</ns0:f>
        <ns0:v>개발</ns0:v>
      </ns0:c>
      <ns0:c r="E166" t="str">
        <ns0:f>'신청원본'!E166</ns0:f>
        <ns0:v>C05</ns0:v>
      </ns0:c>
      <ns0:c r="F166" t="str">
        <ns0:f>'신청원본'!H166</ns0:f>
        <ns0:v>승인</ns0:v>
      </ns0:c>
      <ns0:c r="G166" s="18" t="n">
        <ns0:f>VLOOKUP(E166,'교육기준'!$B$6:$F$17,3,FALSE)</ns0:f>
        <ns0:v>170009</ns0:v>
      </ns0:c>
      <ns0:c r="H166" s="18" t="n">
        <ns0:f>'신청원본'!G166</ns0:f>
        <ns0:v>4</ns0:v>
      </ns0:c>
      <ns0:c r="I166" s="19" t="n">
        <ns0:f>'신청원본'!I166</ns0:f>
        <ns0:v>0</ns0:v>
      </ns0:c>
      <ns0:c r="J166" s="18" t="n">
        <ns0:f>IF(F166="승인",IF(COUNTA('신청원본'!J166)=0,ROUND(G166*H166*(1-I166),'정책'!$C$8),'신청원본'!J166),0)</ns0:f>
        <ns0:v>680036</ns0:v>
      </ns0:c>
      <ns0:c r="K166" t="n">
        <ns0:f>SUMIFS('출결원본'!$D$6:$D$1445,'출결원본'!$B$6:$B$1445,B166)</ns0:f>
        <ns0:v>3</ns0:v>
      </ns0:c>
      <ns0:c r="L166" t="n">
        <ns0:f>VLOOKUP(B166,'평가원본'!$B$6:$D$485,2,FALSE)</ns0:f>
        <ns0:v>99</ns0:v>
      </ns0:c>
      <ns0:c r="M166" t="n">
        <ns0:f>VLOOKUP(B166,'평가원본'!$B$6:$D$485,3,FALSE)</ns0:f>
        <ns0:v>1</ns0:v>
      </ns0:c>
      <ns0:c r="N166" t="n">
        <ns0:f>VLOOKUP(E166,'교육기준'!$B$6:$F$17,5,FALSE)</ns0:f>
        <ns0:v>70</ns0:v>
      </ns0:c>
      <ns0:c r="O166" t="n">
        <ns0:f>IF(AND(F166="승인",K166&gt;='정책'!$C$6,M166=1,L166&gt;=N166),1,0)</ns0:f>
        <ns0:v>1</ns0:v>
      </ns0:c>
    </ns0:row>
    <ns0:row r="167">
      <ns0:c r="B167" s="17" t="str">
        <ns0:f>'신청원본'!B167</ns0:f>
        <ns0:v>APP000162</ns0:v>
      </ns0:c>
      <ns0:c r="C167" s="17" t="str">
        <ns0:f>'신청원본'!C167</ns0:f>
        <ns0:v>000002</ns0:v>
      </ns0:c>
      <ns0:c r="D167" t="str">
        <ns0:f>'신청원본'!D167</ns0:f>
        <ns0:v>생산</ns0:v>
      </ns0:c>
      <ns0:c r="E167" t="str">
        <ns0:f>'신청원본'!E167</ns0:f>
        <ns0:v>C12</ns0:v>
      </ns0:c>
      <ns0:c r="F167" t="str">
        <ns0:f>'신청원본'!H167</ns0:f>
        <ns0:v>대기</ns0:v>
      </ns0:c>
      <ns0:c r="G167" s="18" t="n">
        <ns0:f>VLOOKUP(E167,'교육기준'!$B$6:$F$17,3,FALSE)</ns0:f>
        <ns0:v>292516</ns0:v>
      </ns0:c>
      <ns0:c r="H167" s="18" t="n">
        <ns0:f>'신청원본'!G167</ns0:f>
        <ns0:v>5</ns0:v>
      </ns0:c>
      <ns0:c r="I167" s="19" t="n">
        <ns0:f>'신청원본'!I167</ns0:f>
        <ns0:v>0.05</ns0:v>
      </ns0:c>
      <ns0:c r="J167" s="18" t="n">
        <ns0:f>IF(F167="승인",IF(COUNTA('신청원본'!J167)=0,ROUND(G167*H167*(1-I167),'정책'!$C$8),'신청원본'!J167),0)</ns0:f>
        <ns0:v>0</ns0:v>
      </ns0:c>
      <ns0:c r="K167" t="n">
        <ns0:f>SUMIFS('출결원본'!$D$6:$D$1445,'출결원본'!$B$6:$B$1445,B167)</ns0:f>
        <ns0:v>3</ns0:v>
      </ns0:c>
      <ns0:c r="L167" t="n">
        <ns0:f>VLOOKUP(B167,'평가원본'!$B$6:$D$485,2,FALSE)</ns0:f>
        <ns0:v>55</ns0:v>
      </ns0:c>
      <ns0:c r="M167" t="n">
        <ns0:f>VLOOKUP(B167,'평가원본'!$B$6:$D$485,3,FALSE)</ns0:f>
        <ns0:v>1</ns0:v>
      </ns0:c>
      <ns0:c r="N167" t="n">
        <ns0:f>VLOOKUP(E167,'교육기준'!$B$6:$F$17,5,FALSE)</ns0:f>
        <ns0:v>80</ns0:v>
      </ns0:c>
      <ns0:c r="O167" t="n">
        <ns0:f>IF(AND(F167="승인",K167&gt;='정책'!$C$6,M167=1,L167&gt;=N167),1,0)</ns0:f>
        <ns0:v>0</ns0:v>
      </ns0:c>
    </ns0:row>
    <ns0:row r="168">
      <ns0:c r="B168" s="17" t="str">
        <ns0:f>'신청원본'!B168</ns0:f>
        <ns0:v>APP000163</ns0:v>
      </ns0:c>
      <ns0:c r="C168" s="17" t="str">
        <ns0:f>'신청원본'!C168</ns0:f>
        <ns0:v>000003</ns0:v>
      </ns0:c>
      <ns0:c r="D168" t="str">
        <ns0:f>'신청원본'!D168</ns0:f>
        <ns0:v>품질</ns0:v>
      </ns0:c>
      <ns0:c r="E168" t="str">
        <ns0:f>'신청원본'!E168</ns0:f>
        <ns0:v>C07</ns0:v>
      </ns0:c>
      <ns0:c r="F168" t="str">
        <ns0:f>'신청원본'!H168</ns0:f>
        <ns0:v>승인</ns0:v>
      </ns0:c>
      <ns0:c r="G168" s="18" t="n">
        <ns0:f>VLOOKUP(E168,'교육기준'!$B$6:$F$17,3,FALSE)</ns0:f>
        <ns0:v>205011</ns0:v>
      </ns0:c>
      <ns0:c r="H168" s="18" t="n">
        <ns0:f>'신청원본'!G168</ns0:f>
        <ns0:v>0</ns0:v>
      </ns0:c>
      <ns0:c r="I168" s="19" t="n">
        <ns0:f>'신청원본'!I168</ns0:f>
        <ns0:v>0.1</ns0:v>
      </ns0:c>
      <ns0:c r="J168" s="18" t="n">
        <ns0:f>IF(F168="승인",IF(COUNTA('신청원본'!J168)=0,ROUND(G168*H168*(1-I168),'정책'!$C$8),'신청원본'!J168),0)</ns0:f>
        <ns0:v>0</ns0:v>
      </ns0:c>
      <ns0:c r="K168" t="n">
        <ns0:f>SUMIFS('출결원본'!$D$6:$D$1445,'출결원본'!$B$6:$B$1445,B168)</ns0:f>
        <ns0:v>2</ns0:v>
      </ns0:c>
      <ns0:c r="L168" t="n">
        <ns0:f>VLOOKUP(B168,'평가원본'!$B$6:$D$485,2,FALSE)</ns0:f>
        <ns0:v>62</ns0:v>
      </ns0:c>
      <ns0:c r="M168" t="n">
        <ns0:f>VLOOKUP(B168,'평가원본'!$B$6:$D$485,3,FALSE)</ns0:f>
        <ns0:v>1</ns0:v>
      </ns0:c>
      <ns0:c r="N168" t="n">
        <ns0:f>VLOOKUP(E168,'교육기준'!$B$6:$F$17,5,FALSE)</ns0:f>
        <ns0:v>60</ns0:v>
      </ns0:c>
      <ns0:c r="O168" t="n">
        <ns0:f>IF(AND(F168="승인",K168&gt;='정책'!$C$6,M168=1,L168&gt;=N168),1,0)</ns0:f>
        <ns0:v>0</ns0:v>
      </ns0:c>
    </ns0:row>
    <ns0:row r="169">
      <ns0:c r="B169" s="17" t="str">
        <ns0:f>'신청원본'!B169</ns0:f>
        <ns0:v>APP000164</ns0:v>
      </ns0:c>
      <ns0:c r="C169" s="17" t="str">
        <ns0:f>'신청원본'!C169</ns0:f>
        <ns0:v>000004</ns0:v>
      </ns0:c>
      <ns0:c r="D169" t="str">
        <ns0:f>'신청원본'!D169</ns0:f>
        <ns0:v>기획</ns0:v>
      </ns0:c>
      <ns0:c r="E169" t="str">
        <ns0:f>'신청원본'!E169</ns0:f>
        <ns0:v>C02</ns0:v>
      </ns0:c>
      <ns0:c r="F169" t="str">
        <ns0:f>'신청원본'!H169</ns0:f>
        <ns0:v>승인</ns0:v>
      </ns0:c>
      <ns0:c r="G169" s="18" t="n">
        <ns0:f>VLOOKUP(E169,'교육기준'!$B$6:$F$17,3,FALSE)</ns0:f>
        <ns0:v>117506</ns0:v>
      </ns0:c>
      <ns0:c r="H169" s="18" t="n">
        <ns0:f>'신청원본'!G169</ns0:f>
        <ns0:v>1</ns0:v>
      </ns0:c>
      <ns0:c r="I169" s="19" t="n">
        <ns0:f>'신청원본'!I169</ns0:f>
        <ns0:v>0.125</ns0:v>
      </ns0:c>
      <ns0:c r="J169" s="18" t="n">
        <ns0:f>IF(F169="승인",IF(COUNTA('신청원본'!J169)=0,ROUND(G169*H169*(1-I169),'정책'!$C$8),'신청원본'!J169),0)</ns0:f>
        <ns0:v>102818</ns0:v>
      </ns0:c>
      <ns0:c r="K169" t="n">
        <ns0:f>SUMIFS('출결원본'!$D$6:$D$1445,'출결원본'!$B$6:$B$1445,B169)</ns0:f>
        <ns0:v>3</ns0:v>
      </ns0:c>
      <ns0:c r="L169" t="n">
        <ns0:f>VLOOKUP(B169,'평가원본'!$B$6:$D$485,2,FALSE)</ns0:f>
        <ns0:v>69</ns0:v>
      </ns0:c>
      <ns0:c r="M169" t="n">
        <ns0:f>VLOOKUP(B169,'평가원본'!$B$6:$D$485,3,FALSE)</ns0:f>
        <ns0:v>1</ns0:v>
      </ns0:c>
      <ns0:c r="N169" t="n">
        <ns0:f>VLOOKUP(E169,'교육기준'!$B$6:$F$17,5,FALSE)</ns0:f>
        <ns0:v>70</ns0:v>
      </ns0:c>
      <ns0:c r="O169" t="n">
        <ns0:f>IF(AND(F169="승인",K169&gt;='정책'!$C$6,M169=1,L169&gt;=N169),1,0)</ns0:f>
        <ns0:v>0</ns0:v>
      </ns0:c>
    </ns0:row>
    <ns0:row r="170">
      <ns0:c r="B170" s="17" t="str">
        <ns0:f>'신청원본'!B170</ns0:f>
        <ns0:v>APP000165</ns0:v>
      </ns0:c>
      <ns0:c r="C170" s="17" t="str">
        <ns0:f>'신청원본'!C170</ns0:f>
        <ns0:v>000005</ns0:v>
      </ns0:c>
      <ns0:c r="D170" t="str">
        <ns0:f>'신청원본'!D170</ns0:f>
        <ns0:v>영업</ns0:v>
      </ns0:c>
      <ns0:c r="E170" t="str">
        <ns0:f>'신청원본'!E170</ns0:f>
        <ns0:v>C09</ns0:v>
      </ns0:c>
      <ns0:c r="F170" t="str">
        <ns0:f>'신청원본'!H170</ns0:f>
        <ns0:v>승인</ns0:v>
      </ns0:c>
      <ns0:c r="G170" s="18" t="n">
        <ns0:f>VLOOKUP(E170,'교육기준'!$B$6:$F$17,3,FALSE)</ns0:f>
        <ns0:v>240013</ns0:v>
      </ns0:c>
      <ns0:c r="H170" s="18" t="n">
        <ns0:f>'신청원본'!G170</ns0:f>
        <ns0:v>2</ns0:v>
      </ns0:c>
      <ns0:c r="I170" s="19" t="n">
        <ns0:f>'신청원본'!I170</ns0:f>
        <ns0:v>0</ns0:v>
      </ns0:c>
      <ns0:c r="J170" s="18" t="n">
        <ns0:f>IF(F170="승인",IF(COUNTA('신청원본'!J170)=0,ROUND(G170*H170*(1-I170),'정책'!$C$8),'신청원본'!J170),0)</ns0:f>
        <ns0:v>480026</ns0:v>
      </ns0:c>
      <ns0:c r="K170" t="n">
        <ns0:f>SUMIFS('출결원본'!$D$6:$D$1445,'출결원본'!$B$6:$B$1445,B170)</ns0:f>
        <ns0:v>3</ns0:v>
      </ns0:c>
      <ns0:c r="L170" t="n">
        <ns0:f>VLOOKUP(B170,'평가원본'!$B$6:$D$485,2,FALSE)</ns0:f>
        <ns0:v>76</ns0:v>
      </ns0:c>
      <ns0:c r="M170" t="n">
        <ns0:f>VLOOKUP(B170,'평가원본'!$B$6:$D$485,3,FALSE)</ns0:f>
        <ns0:v>1</ns0:v>
      </ns0:c>
      <ns0:c r="N170" t="n">
        <ns0:f>VLOOKUP(E170,'교육기준'!$B$6:$F$17,5,FALSE)</ns0:f>
        <ns0:v>80</ns0:v>
      </ns0:c>
      <ns0:c r="O170" t="n">
        <ns0:f>IF(AND(F170="승인",K170&gt;='정책'!$C$6,M170=1,L170&gt;=N170),1,0)</ns0:f>
        <ns0:v>0</ns0:v>
      </ns0:c>
    </ns0:row>
    <ns0:row r="171">
      <ns0:c r="B171" s="17" t="str">
        <ns0:f>'신청원본'!B171</ns0:f>
        <ns0:v>APP000166</ns0:v>
      </ns0:c>
      <ns0:c r="C171" s="17" t="str">
        <ns0:f>'신청원본'!C171</ns0:f>
        <ns0:v>000006</ns0:v>
      </ns0:c>
      <ns0:c r="D171" t="str">
        <ns0:f>'신청원본'!D171</ns0:f>
        <ns0:v>지원</ns0:v>
      </ns0:c>
      <ns0:c r="E171" t="str">
        <ns0:f>'신청원본'!E171</ns0:f>
        <ns0:v>C04</ns0:v>
      </ns0:c>
      <ns0:c r="F171" t="str">
        <ns0:f>'신청원본'!H171</ns0:f>
        <ns0:v>취소</ns0:v>
      </ns0:c>
      <ns0:c r="G171" s="18" t="n">
        <ns0:f>VLOOKUP(E171,'교육기준'!$B$6:$F$17,3,FALSE)</ns0:f>
        <ns0:v>152508</ns0:v>
      </ns0:c>
      <ns0:c r="H171" s="18" t="n">
        <ns0:f>'신청원본'!G171</ns0:f>
        <ns0:v>3</ns0:v>
      </ns0:c>
      <ns0:c r="I171" s="19" t="n">
        <ns0:f>'신청원본'!I171</ns0:f>
        <ns0:v>0.05</ns0:v>
      </ns0:c>
      <ns0:c r="J171" s="18" t="n">
        <ns0:f>IF(F171="승인",IF(COUNTA('신청원본'!J171)=0,ROUND(G171*H171*(1-I171),'정책'!$C$8),'신청원본'!J171),0)</ns0:f>
        <ns0:v>0</ns0:v>
      </ns0:c>
      <ns0:c r="K171" t="n">
        <ns0:f>SUMIFS('출결원본'!$D$6:$D$1445,'출결원본'!$B$6:$B$1445,B171)</ns0:f>
        <ns0:v>3</ns0:v>
      </ns0:c>
      <ns0:c r="L171" t="n">
        <ns0:f>VLOOKUP(B171,'평가원본'!$B$6:$D$485,2,FALSE)</ns0:f>
        <ns0:v>83</ns0:v>
      </ns0:c>
      <ns0:c r="M171" t="n">
        <ns0:f>VLOOKUP(B171,'평가원본'!$B$6:$D$485,3,FALSE)</ns0:f>
        <ns0:v>1</ns0:v>
      </ns0:c>
      <ns0:c r="N171" t="n">
        <ns0:f>VLOOKUP(E171,'교육기준'!$B$6:$F$17,5,FALSE)</ns0:f>
        <ns0:v>60</ns0:v>
      </ns0:c>
      <ns0:c r="O171" t="n">
        <ns0:f>IF(AND(F171="승인",K171&gt;='정책'!$C$6,M171=1,L171&gt;=N171),1,0)</ns0:f>
        <ns0:v>0</ns0:v>
      </ns0:c>
    </ns0:row>
    <ns0:row r="172">
      <ns0:c r="B172" s="17" t="str">
        <ns0:f>'신청원본'!B172</ns0:f>
        <ns0:v>APP000167</ns0:v>
      </ns0:c>
      <ns0:c r="C172" s="17" t="str">
        <ns0:f>'신청원본'!C172</ns0:f>
        <ns0:v>000007</ns0:v>
      </ns0:c>
      <ns0:c r="D172" t="str">
        <ns0:f>'신청원본'!D172</ns0:f>
        <ns0:v>개발</ns0:v>
      </ns0:c>
      <ns0:c r="E172" t="str">
        <ns0:f>'신청원본'!E172</ns0:f>
        <ns0:v>C11</ns0:v>
      </ns0:c>
      <ns0:c r="F172" t="str">
        <ns0:f>'신청원본'!H172</ns0:f>
        <ns0:v>승인</ns0:v>
      </ns0:c>
      <ns0:c r="G172" s="18" t="n">
        <ns0:f>VLOOKUP(E172,'교육기준'!$B$6:$F$17,3,FALSE)</ns0:f>
        <ns0:v>275015</ns0:v>
      </ns0:c>
      <ns0:c r="H172" s="18" t="n">
        <ns0:f>'신청원본'!G172</ns0:f>
        <ns0:v>4</ns0:v>
      </ns0:c>
      <ns0:c r="I172" s="19" t="n">
        <ns0:f>'신청원본'!I172</ns0:f>
        <ns0:v>0.1</ns0:v>
      </ns0:c>
      <ns0:c r="J172" s="18" t="n">
        <ns0:f>IF(F172="승인",IF(COUNTA('신청원본'!J172)=0,ROUND(G172*H172*(1-I172),'정책'!$C$8),'신청원본'!J172),0)</ns0:f>
        <ns0:v>990054</ns0:v>
      </ns0:c>
      <ns0:c r="K172" t="n">
        <ns0:f>SUMIFS('출결원본'!$D$6:$D$1445,'출결원본'!$B$6:$B$1445,B172)</ns0:f>
        <ns0:v>3</ns0:v>
      </ns0:c>
      <ns0:c r="L172" t="n">
        <ns0:f>VLOOKUP(B172,'평가원본'!$B$6:$D$485,2,FALSE)</ns0:f>
        <ns0:v>90</ns0:v>
      </ns0:c>
      <ns0:c r="M172" t="n">
        <ns0:f>VLOOKUP(B172,'평가원본'!$B$6:$D$485,3,FALSE)</ns0:f>
        <ns0:v>1</ns0:v>
      </ns0:c>
      <ns0:c r="N172" t="n">
        <ns0:f>VLOOKUP(E172,'교육기준'!$B$6:$F$17,5,FALSE)</ns0:f>
        <ns0:v>70</ns0:v>
      </ns0:c>
      <ns0:c r="O172" t="n">
        <ns0:f>IF(AND(F172="승인",K172&gt;='정책'!$C$6,M172=1,L172&gt;=N172),1,0)</ns0:f>
        <ns0:v>1</ns0:v>
      </ns0:c>
    </ns0:row>
    <ns0:row r="173">
      <ns0:c r="B173" s="17" t="str">
        <ns0:f>'신청원본'!B173</ns0:f>
        <ns0:v>APP000168</ns0:v>
      </ns0:c>
      <ns0:c r="C173" s="17" t="str">
        <ns0:f>'신청원본'!C173</ns0:f>
        <ns0:v>000008</ns0:v>
      </ns0:c>
      <ns0:c r="D173" t="str">
        <ns0:f>'신청원본'!D173</ns0:f>
        <ns0:v>생산</ns0:v>
      </ns0:c>
      <ns0:c r="E173" t="str">
        <ns0:f>'신청원본'!E173</ns0:f>
        <ns0:v>C06</ns0:v>
      </ns0:c>
      <ns0:c r="F173" t="str">
        <ns0:f>'신청원본'!H173</ns0:f>
        <ns0:v>승인</ns0:v>
      </ns0:c>
      <ns0:c r="G173" s="18" t="n">
        <ns0:f>VLOOKUP(E173,'교육기준'!$B$6:$F$17,3,FALSE)</ns0:f>
        <ns0:v>187510</ns0:v>
      </ns0:c>
      <ns0:c r="H173" s="18" t="n">
        <ns0:f>'신청원본'!G173</ns0:f>
        <ns0:v>5</ns0:v>
      </ns0:c>
      <ns0:c r="I173" s="19" t="n">
        <ns0:f>'신청원본'!I173</ns0:f>
        <ns0:v>0.125</ns0:v>
      </ns0:c>
      <ns0:c r="J173" s="18" t="n">
        <ns0:f>IF(F173="승인",IF(COUNTA('신청원본'!J173)=0,ROUND(G173*H173*(1-I173),'정책'!$C$8),'신청원본'!J173),0)</ns0:f>
        <ns0:v>820356</ns0:v>
      </ns0:c>
      <ns0:c r="K173" t="n">
        <ns0:f>SUMIFS('출결원본'!$D$6:$D$1445,'출결원본'!$B$6:$B$1445,B173)</ns0:f>
        <ns0:v>3</ns0:v>
      </ns0:c>
      <ns0:c r="L173" t="n">
        <ns0:f>VLOOKUP(B173,'평가원본'!$B$6:$D$485,2,FALSE)</ns0:f>
        <ns0:v>97</ns0:v>
      </ns0:c>
      <ns0:c r="M173" t="n">
        <ns0:f>VLOOKUP(B173,'평가원본'!$B$6:$D$485,3,FALSE)</ns0:f>
        <ns0:v>1</ns0:v>
      </ns0:c>
      <ns0:c r="N173" t="n">
        <ns0:f>VLOOKUP(E173,'교육기준'!$B$6:$F$17,5,FALSE)</ns0:f>
        <ns0:v>80</ns0:v>
      </ns0:c>
      <ns0:c r="O173" t="n">
        <ns0:f>IF(AND(F173="승인",K173&gt;='정책'!$C$6,M173=1,L173&gt;=N173),1,0)</ns0:f>
        <ns0:v>1</ns0:v>
      </ns0:c>
    </ns0:row>
    <ns0:row r="174">
      <ns0:c r="B174" s="17" t="str">
        <ns0:f>'신청원본'!B174</ns0:f>
        <ns0:v>APP000169</ns0:v>
      </ns0:c>
      <ns0:c r="C174" s="17" t="str">
        <ns0:f>'신청원본'!C174</ns0:f>
        <ns0:v>000009</ns0:v>
      </ns0:c>
      <ns0:c r="D174" t="str">
        <ns0:f>'신청원본'!D174</ns0:f>
        <ns0:v>품질</ns0:v>
      </ns0:c>
      <ns0:c r="E174" t="str">
        <ns0:f>'신청원본'!E174</ns0:f>
        <ns0:v>C01</ns0:v>
      </ns0:c>
      <ns0:c r="F174" t="str">
        <ns0:f>'신청원본'!H174</ns0:f>
        <ns0:v>대기</ns0:v>
      </ns0:c>
      <ns0:c r="G174" s="18" t="n">
        <ns0:f>VLOOKUP(E174,'교육기준'!$B$6:$F$17,3,FALSE)</ns0:f>
        <ns0:v>100005</ns0:v>
      </ns0:c>
      <ns0:c r="H174" s="18" t="n">
        <ns0:f>'신청원본'!G174</ns0:f>
        <ns0:v>0</ns0:v>
      </ns0:c>
      <ns0:c r="I174" s="19" t="n">
        <ns0:f>'신청원본'!I174</ns0:f>
        <ns0:v>0</ns0:v>
      </ns0:c>
      <ns0:c r="J174" s="18" t="n">
        <ns0:f>IF(F174="승인",IF(COUNTA('신청원본'!J174)=0,ROUND(G174*H174*(1-I174),'정책'!$C$8),'신청원본'!J174),0)</ns0:f>
        <ns0:v>0</ns0:v>
      </ns0:c>
      <ns0:c r="K174" t="n">
        <ns0:f>SUMIFS('출결원본'!$D$6:$D$1445,'출결원본'!$B$6:$B$1445,B174)</ns0:f>
        <ns0:v>3</ns0:v>
      </ns0:c>
      <ns0:c r="L174" t="n">
        <ns0:f>VLOOKUP(B174,'평가원본'!$B$6:$D$485,2,FALSE)</ns0:f>
        <ns0:v>53</ns0:v>
      </ns0:c>
      <ns0:c r="M174" t="n">
        <ns0:f>VLOOKUP(B174,'평가원본'!$B$6:$D$485,3,FALSE)</ns0:f>
        <ns0:v>1</ns0:v>
      </ns0:c>
      <ns0:c r="N174" t="n">
        <ns0:f>VLOOKUP(E174,'교육기준'!$B$6:$F$17,5,FALSE)</ns0:f>
        <ns0:v>60</ns0:v>
      </ns0:c>
      <ns0:c r="O174" t="n">
        <ns0:f>IF(AND(F174="승인",K174&gt;='정책'!$C$6,M174=1,L174&gt;=N174),1,0)</ns0:f>
        <ns0:v>0</ns0:v>
      </ns0:c>
    </ns0:row>
    <ns0:row r="175">
      <ns0:c r="B175" s="17" t="str">
        <ns0:f>'신청원본'!B175</ns0:f>
        <ns0:v>APP000170</ns0:v>
      </ns0:c>
      <ns0:c r="C175" s="17" t="str">
        <ns0:f>'신청원본'!C175</ns0:f>
        <ns0:v>000010</ns0:v>
      </ns0:c>
      <ns0:c r="D175" t="str">
        <ns0:f>'신청원본'!D175</ns0:f>
        <ns0:v>기획</ns0:v>
      </ns0:c>
      <ns0:c r="E175" t="str">
        <ns0:f>'신청원본'!E175</ns0:f>
        <ns0:v>C08</ns0:v>
      </ns0:c>
      <ns0:c r="F175" t="str">
        <ns0:f>'신청원본'!H175</ns0:f>
        <ns0:v>승인</ns0:v>
      </ns0:c>
      <ns0:c r="G175" s="18" t="n">
        <ns0:f>VLOOKUP(E175,'교육기준'!$B$6:$F$17,3,FALSE)</ns0:f>
        <ns0:v>222512</ns0:v>
      </ns0:c>
      <ns0:c r="H175" s="18" t="n">
        <ns0:f>'신청원본'!G175</ns0:f>
        <ns0:v>1</ns0:v>
      </ns0:c>
      <ns0:c r="I175" s="19" t="n">
        <ns0:f>'신청원본'!I175</ns0:f>
        <ns0:v>0.05</ns0:v>
      </ns0:c>
      <ns0:c r="J175" s="18" t="n">
        <ns0:f>IF(F175="승인",IF(COUNTA('신청원본'!J175)=0,ROUND(G175*H175*(1-I175),'정책'!$C$8),'신청원본'!J175),0)</ns0:f>
        <ns0:v>211386</ns0:v>
      </ns0:c>
      <ns0:c r="K175" t="n">
        <ns0:f>SUMIFS('출결원본'!$D$6:$D$1445,'출결원본'!$B$6:$B$1445,B175)</ns0:f>
        <ns0:v>2</ns0:v>
      </ns0:c>
      <ns0:c r="L175" t="n">
        <ns0:f>VLOOKUP(B175,'평가원본'!$B$6:$D$485,2,FALSE)</ns0:f>
        <ns0:v>60</ns0:v>
      </ns0:c>
      <ns0:c r="M175" t="n">
        <ns0:f>VLOOKUP(B175,'평가원본'!$B$6:$D$485,3,FALSE)</ns0:f>
        <ns0:v>1</ns0:v>
      </ns0:c>
      <ns0:c r="N175" t="n">
        <ns0:f>VLOOKUP(E175,'교육기준'!$B$6:$F$17,5,FALSE)</ns0:f>
        <ns0:v>70</ns0:v>
      </ns0:c>
      <ns0:c r="O175" t="n">
        <ns0:f>IF(AND(F175="승인",K175&gt;='정책'!$C$6,M175=1,L175&gt;=N175),1,0)</ns0:f>
        <ns0:v>0</ns0:v>
      </ns0:c>
    </ns0:row>
    <ns0:row r="176">
      <ns0:c r="B176" s="17" t="str">
        <ns0:f>'신청원본'!B176</ns0:f>
        <ns0:v>APP000171</ns0:v>
      </ns0:c>
      <ns0:c r="C176" s="17" t="str">
        <ns0:f>'신청원본'!C176</ns0:f>
        <ns0:v>000011</ns0:v>
      </ns0:c>
      <ns0:c r="D176" t="str">
        <ns0:f>'신청원본'!D176</ns0:f>
        <ns0:v>영업</ns0:v>
      </ns0:c>
      <ns0:c r="E176" t="str">
        <ns0:f>'신청원본'!E176</ns0:f>
        <ns0:v>C03</ns0:v>
      </ns0:c>
      <ns0:c r="F176" t="str">
        <ns0:f>'신청원본'!H176</ns0:f>
        <ns0:v>승인</ns0:v>
      </ns0:c>
      <ns0:c r="G176" s="18" t="n">
        <ns0:f>VLOOKUP(E176,'교육기준'!$B$6:$F$17,3,FALSE)</ns0:f>
        <ns0:v>135007</ns0:v>
      </ns0:c>
      <ns0:c r="H176" s="18" t="n">
        <ns0:f>'신청원본'!G176</ns0:f>
        <ns0:v>2</ns0:v>
      </ns0:c>
      <ns0:c r="I176" s="19" t="n">
        <ns0:f>'신청원본'!I176</ns0:f>
        <ns0:v>0.1</ns0:v>
      </ns0:c>
      <ns0:c r="J176" s="18" t="n">
        <ns0:f>IF(F176="승인",IF(COUNTA('신청원본'!J176)=0,ROUND(G176*H176*(1-I176),'정책'!$C$8),'신청원본'!J176),0)</ns0:f>
        <ns0:v>243013</ns0:v>
      </ns0:c>
      <ns0:c r="K176" t="n">
        <ns0:f>SUMIFS('출결원본'!$D$6:$D$1445,'출결원본'!$B$6:$B$1445,B176)</ns0:f>
        <ns0:v>3</ns0:v>
      </ns0:c>
      <ns0:c r="L176" t="n">
        <ns0:f>VLOOKUP(B176,'평가원본'!$B$6:$D$485,2,FALSE)</ns0:f>
        <ns0:v>67</ns0:v>
      </ns0:c>
      <ns0:c r="M176" t="n">
        <ns0:f>VLOOKUP(B176,'평가원본'!$B$6:$D$485,3,FALSE)</ns0:f>
        <ns0:v>1</ns0:v>
      </ns0:c>
      <ns0:c r="N176" t="n">
        <ns0:f>VLOOKUP(E176,'교육기준'!$B$6:$F$17,5,FALSE)</ns0:f>
        <ns0:v>80</ns0:v>
      </ns0:c>
      <ns0:c r="O176" t="n">
        <ns0:f>IF(AND(F176="승인",K176&gt;='정책'!$C$6,M176=1,L176&gt;=N176),1,0)</ns0:f>
        <ns0:v>0</ns0:v>
      </ns0:c>
    </ns0:row>
    <ns0:row r="177">
      <ns0:c r="B177" s="17" t="str">
        <ns0:f>'신청원본'!B177</ns0:f>
        <ns0:v>APP000172</ns0:v>
      </ns0:c>
      <ns0:c r="C177" s="17" t="str">
        <ns0:f>'신청원본'!C177</ns0:f>
        <ns0:v>000012</ns0:v>
      </ns0:c>
      <ns0:c r="D177" t="str">
        <ns0:f>'신청원본'!D177</ns0:f>
        <ns0:v>지원</ns0:v>
      </ns0:c>
      <ns0:c r="E177" t="str">
        <ns0:f>'신청원본'!E177</ns0:f>
        <ns0:v>C10</ns0:v>
      </ns0:c>
      <ns0:c r="F177" t="str">
        <ns0:f>'신청원본'!H177</ns0:f>
        <ns0:v>승인</ns0:v>
      </ns0:c>
      <ns0:c r="G177" s="18" t="n">
        <ns0:f>VLOOKUP(E177,'교육기준'!$B$6:$F$17,3,FALSE)</ns0:f>
        <ns0:v>257514</ns0:v>
      </ns0:c>
      <ns0:c r="H177" s="18" t="n">
        <ns0:f>'신청원본'!G177</ns0:f>
        <ns0:v>3</ns0:v>
      </ns0:c>
      <ns0:c r="I177" s="19" t="n">
        <ns0:f>'신청원본'!I177</ns0:f>
        <ns0:v>0.125</ns0:v>
      </ns0:c>
      <ns0:c r="J177" s="18" t="n">
        <ns0:f>IF(F177="승인",IF(COUNTA('신청원본'!J177)=0,ROUND(G177*H177*(1-I177),'정책'!$C$8),'신청원본'!J177),0)</ns0:f>
        <ns0:v>675974</ns0:v>
      </ns0:c>
      <ns0:c r="K177" t="n">
        <ns0:f>SUMIFS('출결원본'!$D$6:$D$1445,'출결원본'!$B$6:$B$1445,B177)</ns0:f>
        <ns0:v>2</ns0:v>
      </ns0:c>
      <ns0:c r="L177" t="n">
        <ns0:f>VLOOKUP(B177,'평가원본'!$B$6:$D$485,2,FALSE)</ns0:f>
        <ns0:v>74</ns0:v>
      </ns0:c>
      <ns0:c r="M177" t="n">
        <ns0:f>VLOOKUP(B177,'평가원본'!$B$6:$D$485,3,FALSE)</ns0:f>
        <ns0:v>0</ns0:v>
      </ns0:c>
      <ns0:c r="N177" t="n">
        <ns0:f>VLOOKUP(E177,'교육기준'!$B$6:$F$17,5,FALSE)</ns0:f>
        <ns0:v>60</ns0:v>
      </ns0:c>
      <ns0:c r="O177" t="n">
        <ns0:f>IF(AND(F177="승인",K177&gt;='정책'!$C$6,M177=1,L177&gt;=N177),1,0)</ns0:f>
        <ns0:v>0</ns0:v>
      </ns0:c>
    </ns0:row>
    <ns0:row r="178">
      <ns0:c r="B178" s="17" t="str">
        <ns0:f>'신청원본'!B178</ns0:f>
        <ns0:v>APP000173</ns0:v>
      </ns0:c>
      <ns0:c r="C178" s="17" t="str">
        <ns0:f>'신청원본'!C178</ns0:f>
        <ns0:v>000013</ns0:v>
      </ns0:c>
      <ns0:c r="D178" t="str">
        <ns0:f>'신청원본'!D178</ns0:f>
        <ns0:v>개발</ns0:v>
      </ns0:c>
      <ns0:c r="E178" t="str">
        <ns0:f>'신청원본'!E178</ns0:f>
        <ns0:v>C05</ns0:v>
      </ns0:c>
      <ns0:c r="F178" t="str">
        <ns0:f>'신청원본'!H178</ns0:f>
        <ns0:v>승인</ns0:v>
      </ns0:c>
      <ns0:c r="G178" s="18" t="n">
        <ns0:f>VLOOKUP(E178,'교육기준'!$B$6:$F$17,3,FALSE)</ns0:f>
        <ns0:v>170009</ns0:v>
      </ns0:c>
      <ns0:c r="H178" s="18" t="n">
        <ns0:f>'신청원본'!G178</ns0:f>
        <ns0:v>4</ns0:v>
      </ns0:c>
      <ns0:c r="I178" s="19" t="n">
        <ns0:f>'신청원본'!I178</ns0:f>
        <ns0:v>0</ns0:v>
      </ns0:c>
      <ns0:c r="J178" s="18" t="n">
        <ns0:f>IF(F178="승인",IF(COUNTA('신청원본'!J178)=0,ROUND(G178*H178*(1-I178),'정책'!$C$8),'신청원본'!J178),0)</ns0:f>
        <ns0:v>680036</ns0:v>
      </ns0:c>
      <ns0:c r="K178" t="n">
        <ns0:f>SUMIFS('출결원본'!$D$6:$D$1445,'출결원본'!$B$6:$B$1445,B178)</ns0:f>
        <ns0:v>3</ns0:v>
      </ns0:c>
      <ns0:c r="L178" t="n">
        <ns0:f>VLOOKUP(B178,'평가원본'!$B$6:$D$485,2,FALSE)</ns0:f>
        <ns0:v>81</ns0:v>
      </ns0:c>
      <ns0:c r="M178" t="n">
        <ns0:f>VLOOKUP(B178,'평가원본'!$B$6:$D$485,3,FALSE)</ns0:f>
        <ns0:v>1</ns0:v>
      </ns0:c>
      <ns0:c r="N178" t="n">
        <ns0:f>VLOOKUP(E178,'교육기준'!$B$6:$F$17,5,FALSE)</ns0:f>
        <ns0:v>70</ns0:v>
      </ns0:c>
      <ns0:c r="O178" t="n">
        <ns0:f>IF(AND(F178="승인",K178&gt;='정책'!$C$6,M178=1,L178&gt;=N178),1,0)</ns0:f>
        <ns0:v>1</ns0:v>
      </ns0:c>
    </ns0:row>
    <ns0:row r="179">
      <ns0:c r="B179" s="17" t="str">
        <ns0:f>'신청원본'!B179</ns0:f>
        <ns0:v>APP000174</ns0:v>
      </ns0:c>
      <ns0:c r="C179" s="17" t="str">
        <ns0:f>'신청원본'!C179</ns0:f>
        <ns0:v>000014</ns0:v>
      </ns0:c>
      <ns0:c r="D179" t="str">
        <ns0:f>'신청원본'!D179</ns0:f>
        <ns0:v>생산</ns0:v>
      </ns0:c>
      <ns0:c r="E179" t="str">
        <ns0:f>'신청원본'!E179</ns0:f>
        <ns0:v>C12</ns0:v>
      </ns0:c>
      <ns0:c r="F179" t="str">
        <ns0:f>'신청원본'!H179</ns0:f>
        <ns0:v>승인</ns0:v>
      </ns0:c>
      <ns0:c r="G179" s="18" t="n">
        <ns0:f>VLOOKUP(E179,'교육기준'!$B$6:$F$17,3,FALSE)</ns0:f>
        <ns0:v>292516</ns0:v>
      </ns0:c>
      <ns0:c r="H179" s="18" t="n">
        <ns0:f>'신청원본'!G179</ns0:f>
        <ns0:v>5</ns0:v>
      </ns0:c>
      <ns0:c r="I179" s="19" t="n">
        <ns0:f>'신청원본'!I179</ns0:f>
        <ns0:v>0.05</ns0:v>
      </ns0:c>
      <ns0:c r="J179" s="18" t="n">
        <ns0:f>IF(F179="승인",IF(COUNTA('신청원본'!J179)=0,ROUND(G179*H179*(1-I179),'정책'!$C$8),'신청원본'!J179),0)</ns0:f>
        <ns0:v>1389451</ns0:v>
      </ns0:c>
      <ns0:c r="K179" t="n">
        <ns0:f>SUMIFS('출결원본'!$D$6:$D$1445,'출결원본'!$B$6:$B$1445,B179)</ns0:f>
        <ns0:v>3</ns0:v>
      </ns0:c>
      <ns0:c r="L179" t="n">
        <ns0:f>VLOOKUP(B179,'평가원본'!$B$6:$D$485,2,FALSE)</ns0:f>
        <ns0:v>88</ns0:v>
      </ns0:c>
      <ns0:c r="M179" t="n">
        <ns0:f>VLOOKUP(B179,'평가원본'!$B$6:$D$485,3,FALSE)</ns0:f>
        <ns0:v>1</ns0:v>
      </ns0:c>
      <ns0:c r="N179" t="n">
        <ns0:f>VLOOKUP(E179,'교육기준'!$B$6:$F$17,5,FALSE)</ns0:f>
        <ns0:v>80</ns0:v>
      </ns0:c>
      <ns0:c r="O179" t="n">
        <ns0:f>IF(AND(F179="승인",K179&gt;='정책'!$C$6,M179=1,L179&gt;=N179),1,0)</ns0:f>
        <ns0:v>1</ns0:v>
      </ns0:c>
    </ns0:row>
    <ns0:row r="180">
      <ns0:c r="B180" s="17" t="str">
        <ns0:f>'신청원본'!B180</ns0:f>
        <ns0:v>APP000175</ns0:v>
      </ns0:c>
      <ns0:c r="C180" s="17" t="str">
        <ns0:f>'신청원본'!C180</ns0:f>
        <ns0:v>000015</ns0:v>
      </ns0:c>
      <ns0:c r="D180" t="str">
        <ns0:f>'신청원본'!D180</ns0:f>
        <ns0:v>품질</ns0:v>
      </ns0:c>
      <ns0:c r="E180" t="str">
        <ns0:f>'신청원본'!E180</ns0:f>
        <ns0:v>C07</ns0:v>
      </ns0:c>
      <ns0:c r="F180" t="str">
        <ns0:f>'신청원본'!H180</ns0:f>
        <ns0:v>승인</ns0:v>
      </ns0:c>
      <ns0:c r="G180" s="18" t="n">
        <ns0:f>VLOOKUP(E180,'교육기준'!$B$6:$F$17,3,FALSE)</ns0:f>
        <ns0:v>205011</ns0:v>
      </ns0:c>
      <ns0:c r="H180" s="18" t="n">
        <ns0:f>'신청원본'!G180</ns0:f>
        <ns0:v>0</ns0:v>
      </ns0:c>
      <ns0:c r="I180" s="19" t="n">
        <ns0:f>'신청원본'!I180</ns0:f>
        <ns0:v>0.1</ns0:v>
      </ns0:c>
      <ns0:c r="J180" s="18" t="n">
        <ns0:f>IF(F180="승인",IF(COUNTA('신청원본'!J180)=0,ROUND(G180*H180*(1-I180),'정책'!$C$8),'신청원본'!J180),0)</ns0:f>
        <ns0:v>0</ns0:v>
      </ns0:c>
      <ns0:c r="K180" t="n">
        <ns0:f>SUMIFS('출결원본'!$D$6:$D$1445,'출결원본'!$B$6:$B$1445,B180)</ns0:f>
        <ns0:v>3</ns0:v>
      </ns0:c>
      <ns0:c r="L180" t="n">
        <ns0:f>VLOOKUP(B180,'평가원본'!$B$6:$D$485,2,FALSE)</ns0:f>
        <ns0:v>95</ns0:v>
      </ns0:c>
      <ns0:c r="M180" t="n">
        <ns0:f>VLOOKUP(B180,'평가원본'!$B$6:$D$485,3,FALSE)</ns0:f>
        <ns0:v>1</ns0:v>
      </ns0:c>
      <ns0:c r="N180" t="n">
        <ns0:f>VLOOKUP(E180,'교육기준'!$B$6:$F$17,5,FALSE)</ns0:f>
        <ns0:v>60</ns0:v>
      </ns0:c>
      <ns0:c r="O180" t="n">
        <ns0:f>IF(AND(F180="승인",K180&gt;='정책'!$C$6,M180=1,L180&gt;=N180),1,0)</ns0:f>
        <ns0:v>1</ns0:v>
      </ns0:c>
    </ns0:row>
    <ns0:row r="181">
      <ns0:c r="B181" s="17" t="str">
        <ns0:f>'신청원본'!B181</ns0:f>
        <ns0:v>APP000176</ns0:v>
      </ns0:c>
      <ns0:c r="C181" s="17" t="str">
        <ns0:f>'신청원본'!C181</ns0:f>
        <ns0:v>000016</ns0:v>
      </ns0:c>
      <ns0:c r="D181" t="str">
        <ns0:f>'신청원본'!D181</ns0:f>
        <ns0:v>기획</ns0:v>
      </ns0:c>
      <ns0:c r="E181" t="str">
        <ns0:f>'신청원본'!E181</ns0:f>
        <ns0:v>C02</ns0:v>
      </ns0:c>
      <ns0:c r="F181" t="str">
        <ns0:f>'신청원본'!H181</ns0:f>
        <ns0:v>대기</ns0:v>
      </ns0:c>
      <ns0:c r="G181" s="18" t="n">
        <ns0:f>VLOOKUP(E181,'교육기준'!$B$6:$F$17,3,FALSE)</ns0:f>
        <ns0:v>117506</ns0:v>
      </ns0:c>
      <ns0:c r="H181" s="18" t="n">
        <ns0:f>'신청원본'!G181</ns0:f>
        <ns0:v>1</ns0:v>
      </ns0:c>
      <ns0:c r="I181" s="19" t="n">
        <ns0:f>'신청원본'!I181</ns0:f>
        <ns0:v>0.125</ns0:v>
      </ns0:c>
      <ns0:c r="J181" s="18" t="n">
        <ns0:f>IF(F181="승인",IF(COUNTA('신청원본'!J181)=0,ROUND(G181*H181*(1-I181),'정책'!$C$8),'신청원본'!J181),0)</ns0:f>
        <ns0:v>0</ns0:v>
      </ns0:c>
      <ns0:c r="K181" t="n">
        <ns0:f>SUMIFS('출결원본'!$D$6:$D$1445,'출결원본'!$B$6:$B$1445,B181)</ns0:f>
        <ns0:v>3</ns0:v>
      </ns0:c>
      <ns0:c r="L181" t="n">
        <ns0:f>VLOOKUP(B181,'평가원본'!$B$6:$D$485,2,FALSE)</ns0:f>
        <ns0:v>51</ns0:v>
      </ns0:c>
      <ns0:c r="M181" t="n">
        <ns0:f>VLOOKUP(B181,'평가원본'!$B$6:$D$485,3,FALSE)</ns0:f>
        <ns0:v>1</ns0:v>
      </ns0:c>
      <ns0:c r="N181" t="n">
        <ns0:f>VLOOKUP(E181,'교육기준'!$B$6:$F$17,5,FALSE)</ns0:f>
        <ns0:v>70</ns0:v>
      </ns0:c>
      <ns0:c r="O181" t="n">
        <ns0:f>IF(AND(F181="승인",K181&gt;='정책'!$C$6,M181=1,L181&gt;=N181),1,0)</ns0:f>
        <ns0:v>0</ns0:v>
      </ns0:c>
    </ns0:row>
    <ns0:row r="182">
      <ns0:c r="B182" s="17" t="str">
        <ns0:f>'신청원본'!B182</ns0:f>
        <ns0:v>APP000177</ns0:v>
      </ns0:c>
      <ns0:c r="C182" s="17" t="str">
        <ns0:f>'신청원본'!C182</ns0:f>
        <ns0:v>000017</ns0:v>
      </ns0:c>
      <ns0:c r="D182" t="str">
        <ns0:f>'신청원본'!D182</ns0:f>
        <ns0:v>영업</ns0:v>
      </ns0:c>
      <ns0:c r="E182" t="str">
        <ns0:f>'신청원본'!E182</ns0:f>
        <ns0:v>C09</ns0:v>
      </ns0:c>
      <ns0:c r="F182" t="str">
        <ns0:f>'신청원본'!H182</ns0:f>
        <ns0:v>취소</ns0:v>
      </ns0:c>
      <ns0:c r="G182" s="18" t="n">
        <ns0:f>VLOOKUP(E182,'교육기준'!$B$6:$F$17,3,FALSE)</ns0:f>
        <ns0:v>240013</ns0:v>
      </ns0:c>
      <ns0:c r="H182" s="18" t="n">
        <ns0:f>'신청원본'!G182</ns0:f>
        <ns0:v>2</ns0:v>
      </ns0:c>
      <ns0:c r="I182" s="19" t="n">
        <ns0:f>'신청원본'!I182</ns0:f>
        <ns0:v>0</ns0:v>
      </ns0:c>
      <ns0:c r="J182" s="18" t="n">
        <ns0:f>IF(F182="승인",IF(COUNTA('신청원본'!J182)=0,ROUND(G182*H182*(1-I182),'정책'!$C$8),'신청원본'!J182),0)</ns0:f>
        <ns0:v>0</ns0:v>
      </ns0:c>
      <ns0:c r="K182" t="n">
        <ns0:f>SUMIFS('출결원본'!$D$6:$D$1445,'출결원본'!$B$6:$B$1445,B182)</ns0:f>
        <ns0:v>3</ns0:v>
      </ns0:c>
      <ns0:c r="L182" t="n">
        <ns0:f>VLOOKUP(B182,'평가원본'!$B$6:$D$485,2,FALSE)</ns0:f>
        <ns0:v>58</ns0:v>
      </ns0:c>
      <ns0:c r="M182" t="n">
        <ns0:f>VLOOKUP(B182,'평가원본'!$B$6:$D$485,3,FALSE)</ns0:f>
        <ns0:v>1</ns0:v>
      </ns0:c>
      <ns0:c r="N182" t="n">
        <ns0:f>VLOOKUP(E182,'교육기준'!$B$6:$F$17,5,FALSE)</ns0:f>
        <ns0:v>80</ns0:v>
      </ns0:c>
      <ns0:c r="O182" t="n">
        <ns0:f>IF(AND(F182="승인",K182&gt;='정책'!$C$6,M182=1,L182&gt;=N182),1,0)</ns0:f>
        <ns0:v>0</ns0:v>
      </ns0:c>
    </ns0:row>
    <ns0:row r="183">
      <ns0:c r="B183" s="17" t="str">
        <ns0:f>'신청원본'!B183</ns0:f>
        <ns0:v>APP000178</ns0:v>
      </ns0:c>
      <ns0:c r="C183" s="17" t="str">
        <ns0:f>'신청원본'!C183</ns0:f>
        <ns0:v>000018</ns0:v>
      </ns0:c>
      <ns0:c r="D183" t="str">
        <ns0:f>'신청원본'!D183</ns0:f>
        <ns0:v>지원</ns0:v>
      </ns0:c>
      <ns0:c r="E183" t="str">
        <ns0:f>'신청원본'!E183</ns0:f>
        <ns0:v>C04</ns0:v>
      </ns0:c>
      <ns0:c r="F183" t="str">
        <ns0:f>'신청원본'!H183</ns0:f>
        <ns0:v>승인</ns0:v>
      </ns0:c>
      <ns0:c r="G183" s="18" t="n">
        <ns0:f>VLOOKUP(E183,'교육기준'!$B$6:$F$17,3,FALSE)</ns0:f>
        <ns0:v>152508</ns0:v>
      </ns0:c>
      <ns0:c r="H183" s="18" t="n">
        <ns0:f>'신청원본'!G183</ns0:f>
        <ns0:v>3</ns0:v>
      </ns0:c>
      <ns0:c r="I183" s="19" t="n">
        <ns0:f>'신청원본'!I183</ns0:f>
        <ns0:v>0.05</ns0:v>
      </ns0:c>
      <ns0:c r="J183" s="18" t="n">
        <ns0:f>IF(F183="승인",IF(COUNTA('신청원본'!J183)=0,ROUND(G183*H183*(1-I183),'정책'!$C$8),'신청원본'!J183),0)</ns0:f>
        <ns0:v>434648</ns0:v>
      </ns0:c>
      <ns0:c r="K183" t="n">
        <ns0:f>SUMIFS('출결원본'!$D$6:$D$1445,'출결원본'!$B$6:$B$1445,B183)</ns0:f>
        <ns0:v>3</ns0:v>
      </ns0:c>
      <ns0:c r="L183" t="n">
        <ns0:f>VLOOKUP(B183,'평가원본'!$B$6:$D$485,2,FALSE)</ns0:f>
        <ns0:v>65</ns0:v>
      </ns0:c>
      <ns0:c r="M183" t="n">
        <ns0:f>VLOOKUP(B183,'평가원본'!$B$6:$D$485,3,FALSE)</ns0:f>
        <ns0:v>1</ns0:v>
      </ns0:c>
      <ns0:c r="N183" t="n">
        <ns0:f>VLOOKUP(E183,'교육기준'!$B$6:$F$17,5,FALSE)</ns0:f>
        <ns0:v>60</ns0:v>
      </ns0:c>
      <ns0:c r="O183" t="n">
        <ns0:f>IF(AND(F183="승인",K183&gt;='정책'!$C$6,M183=1,L183&gt;=N183),1,0)</ns0:f>
        <ns0:v>1</ns0:v>
      </ns0:c>
    </ns0:row>
    <ns0:row r="184">
      <ns0:c r="B184" s="17" t="str">
        <ns0:f>'신청원본'!B184</ns0:f>
        <ns0:v>APP000179</ns0:v>
      </ns0:c>
      <ns0:c r="C184" s="17" t="str">
        <ns0:f>'신청원본'!C184</ns0:f>
        <ns0:v>000019</ns0:v>
      </ns0:c>
      <ns0:c r="D184" t="str">
        <ns0:f>'신청원본'!D184</ns0:f>
        <ns0:v>개발</ns0:v>
      </ns0:c>
      <ns0:c r="E184" t="str">
        <ns0:f>'신청원본'!E184</ns0:f>
        <ns0:v>C11</ns0:v>
      </ns0:c>
      <ns0:c r="F184" t="str">
        <ns0:f>'신청원본'!H184</ns0:f>
        <ns0:v>승인</ns0:v>
      </ns0:c>
      <ns0:c r="G184" s="18" t="n">
        <ns0:f>VLOOKUP(E184,'교육기준'!$B$6:$F$17,3,FALSE)</ns0:f>
        <ns0:v>275015</ns0:v>
      </ns0:c>
      <ns0:c r="H184" s="18" t="n">
        <ns0:f>'신청원본'!G184</ns0:f>
        <ns0:v>4</ns0:v>
      </ns0:c>
      <ns0:c r="I184" s="19" t="n">
        <ns0:f>'신청원본'!I184</ns0:f>
        <ns0:v>0.1</ns0:v>
      </ns0:c>
      <ns0:c r="J184" s="18" t="n">
        <ns0:f>IF(F184="승인",IF(COUNTA('신청원본'!J184)=0,ROUND(G184*H184*(1-I184),'정책'!$C$8),'신청원본'!J184),0)</ns0:f>
        <ns0:v>990054</ns0:v>
      </ns0:c>
      <ns0:c r="K184" t="n">
        <ns0:f>SUMIFS('출결원본'!$D$6:$D$1445,'출결원본'!$B$6:$B$1445,B184)</ns0:f>
        <ns0:v>3</ns0:v>
      </ns0:c>
      <ns0:c r="L184" t="n">
        <ns0:f>VLOOKUP(B184,'평가원본'!$B$6:$D$485,2,FALSE)</ns0:f>
        <ns0:v>72</ns0:v>
      </ns0:c>
      <ns0:c r="M184" t="n">
        <ns0:f>VLOOKUP(B184,'평가원본'!$B$6:$D$485,3,FALSE)</ns0:f>
        <ns0:v>1</ns0:v>
      </ns0:c>
      <ns0:c r="N184" t="n">
        <ns0:f>VLOOKUP(E184,'교육기준'!$B$6:$F$17,5,FALSE)</ns0:f>
        <ns0:v>70</ns0:v>
      </ns0:c>
      <ns0:c r="O184" t="n">
        <ns0:f>IF(AND(F184="승인",K184&gt;='정책'!$C$6,M184=1,L184&gt;=N184),1,0)</ns0:f>
        <ns0:v>1</ns0:v>
      </ns0:c>
    </ns0:row>
    <ns0:row r="185">
      <ns0:c r="B185" s="17" t="str">
        <ns0:f>'신청원본'!B185</ns0:f>
        <ns0:v>APP000180</ns0:v>
      </ns0:c>
      <ns0:c r="C185" s="17" t="str">
        <ns0:f>'신청원본'!C185</ns0:f>
        <ns0:v>000020</ns0:v>
      </ns0:c>
      <ns0:c r="D185" t="str">
        <ns0:f>'신청원본'!D185</ns0:f>
        <ns0:v>생산</ns0:v>
      </ns0:c>
      <ns0:c r="E185" t="str">
        <ns0:f>'신청원본'!E185</ns0:f>
        <ns0:v>C06</ns0:v>
      </ns0:c>
      <ns0:c r="F185" t="str">
        <ns0:f>'신청원본'!H185</ns0:f>
        <ns0:v>승인</ns0:v>
      </ns0:c>
      <ns0:c r="G185" s="18" t="n">
        <ns0:f>VLOOKUP(E185,'교육기준'!$B$6:$F$17,3,FALSE)</ns0:f>
        <ns0:v>187510</ns0:v>
      </ns0:c>
      <ns0:c r="H185" s="18" t="n">
        <ns0:f>'신청원본'!G185</ns0:f>
        <ns0:v>5</ns0:v>
      </ns0:c>
      <ns0:c r="I185" s="19" t="n">
        <ns0:f>'신청원본'!I185</ns0:f>
        <ns0:v>0.125</ns0:v>
      </ns0:c>
      <ns0:c r="J185" s="18" t="n">
        <ns0:f>IF(F185="승인",IF(COUNTA('신청원본'!J185)=0,ROUND(G185*H185*(1-I185),'정책'!$C$8),'신청원본'!J185),0)</ns0:f>
        <ns0:v>820356</ns0:v>
      </ns0:c>
      <ns0:c r="K185" t="n">
        <ns0:f>SUMIFS('출결원본'!$D$6:$D$1445,'출결원본'!$B$6:$B$1445,B185)</ns0:f>
        <ns0:v>3</ns0:v>
      </ns0:c>
      <ns0:c r="L185" t="n">
        <ns0:f>VLOOKUP(B185,'평가원본'!$B$6:$D$485,2,FALSE)</ns0:f>
        <ns0:v>79</ns0:v>
      </ns0:c>
      <ns0:c r="M185" t="n">
        <ns0:f>VLOOKUP(B185,'평가원본'!$B$6:$D$485,3,FALSE)</ns0:f>
        <ns0:v>1</ns0:v>
      </ns0:c>
      <ns0:c r="N185" t="n">
        <ns0:f>VLOOKUP(E185,'교육기준'!$B$6:$F$17,5,FALSE)</ns0:f>
        <ns0:v>80</ns0:v>
      </ns0:c>
      <ns0:c r="O185" t="n">
        <ns0:f>IF(AND(F185="승인",K185&gt;='정책'!$C$6,M185=1,L185&gt;=N185),1,0)</ns0:f>
        <ns0:v>0</ns0:v>
      </ns0:c>
    </ns0:row>
    <ns0:row r="186">
      <ns0:c r="B186" s="17" t="str">
        <ns0:f>'신청원본'!B186</ns0:f>
        <ns0:v>APP000181</ns0:v>
      </ns0:c>
      <ns0:c r="C186" s="17" t="str">
        <ns0:f>'신청원본'!C186</ns0:f>
        <ns0:v>000021</ns0:v>
      </ns0:c>
      <ns0:c r="D186" t="str">
        <ns0:f>'신청원본'!D186</ns0:f>
        <ns0:v>품질</ns0:v>
      </ns0:c>
      <ns0:c r="E186" t="str">
        <ns0:f>'신청원본'!E186</ns0:f>
        <ns0:v>C01</ns0:v>
      </ns0:c>
      <ns0:c r="F186" t="str">
        <ns0:f>'신청원본'!H186</ns0:f>
        <ns0:v>승인</ns0:v>
      </ns0:c>
      <ns0:c r="G186" s="18" t="n">
        <ns0:f>VLOOKUP(E186,'교육기준'!$B$6:$F$17,3,FALSE)</ns0:f>
        <ns0:v>100005</ns0:v>
      </ns0:c>
      <ns0:c r="H186" s="18" t="n">
        <ns0:f>'신청원본'!G186</ns0:f>
        <ns0:v>0</ns0:v>
      </ns0:c>
      <ns0:c r="I186" s="19" t="n">
        <ns0:f>'신청원본'!I186</ns0:f>
        <ns0:v>0</ns0:v>
      </ns0:c>
      <ns0:c r="J186" s="18" t="n">
        <ns0:f>IF(F186="승인",IF(COUNTA('신청원본'!J186)=0,ROUND(G186*H186*(1-I186),'정책'!$C$8),'신청원본'!J186),0)</ns0:f>
        <ns0:v>0</ns0:v>
      </ns0:c>
      <ns0:c r="K186" t="n">
        <ns0:f>SUMIFS('출결원본'!$D$6:$D$1445,'출결원본'!$B$6:$B$1445,B186)</ns0:f>
        <ns0:v>2</ns0:v>
      </ns0:c>
      <ns0:c r="L186" t="n">
        <ns0:f>VLOOKUP(B186,'평가원본'!$B$6:$D$485,2,FALSE)</ns0:f>
        <ns0:v>86</ns0:v>
      </ns0:c>
      <ns0:c r="M186" t="n">
        <ns0:f>VLOOKUP(B186,'평가원본'!$B$6:$D$485,3,FALSE)</ns0:f>
        <ns0:v>1</ns0:v>
      </ns0:c>
      <ns0:c r="N186" t="n">
        <ns0:f>VLOOKUP(E186,'교육기준'!$B$6:$F$17,5,FALSE)</ns0:f>
        <ns0:v>60</ns0:v>
      </ns0:c>
      <ns0:c r="O186" t="n">
        <ns0:f>IF(AND(F186="승인",K186&gt;='정책'!$C$6,M186=1,L186&gt;=N186),1,0)</ns0:f>
        <ns0:v>0</ns0:v>
      </ns0:c>
    </ns0:row>
    <ns0:row r="187">
      <ns0:c r="B187" s="17" t="str">
        <ns0:f>'신청원본'!B187</ns0:f>
        <ns0:v>APP000182</ns0:v>
      </ns0:c>
      <ns0:c r="C187" s="17" t="str">
        <ns0:f>'신청원본'!C187</ns0:f>
        <ns0:v>000022</ns0:v>
      </ns0:c>
      <ns0:c r="D187" t="str">
        <ns0:f>'신청원본'!D187</ns0:f>
        <ns0:v>기획</ns0:v>
      </ns0:c>
      <ns0:c r="E187" t="str">
        <ns0:f>'신청원본'!E187</ns0:f>
        <ns0:v>C08</ns0:v>
      </ns0:c>
      <ns0:c r="F187" t="str">
        <ns0:f>'신청원본'!H187</ns0:f>
        <ns0:v>승인</ns0:v>
      </ns0:c>
      <ns0:c r="G187" s="18" t="n">
        <ns0:f>VLOOKUP(E187,'교육기준'!$B$6:$F$17,3,FALSE)</ns0:f>
        <ns0:v>222512</ns0:v>
      </ns0:c>
      <ns0:c r="H187" s="18" t="n">
        <ns0:f>'신청원본'!G187</ns0:f>
        <ns0:v>1</ns0:v>
      </ns0:c>
      <ns0:c r="I187" s="19" t="n">
        <ns0:f>'신청원본'!I187</ns0:f>
        <ns0:v>0.05</ns0:v>
      </ns0:c>
      <ns0:c r="J187" s="18" t="n">
        <ns0:f>IF(F187="승인",IF(COUNTA('신청원본'!J187)=0,ROUND(G187*H187*(1-I187),'정책'!$C$8),'신청원본'!J187),0)</ns0:f>
        <ns0:v>211386</ns0:v>
      </ns0:c>
      <ns0:c r="K187" t="n">
        <ns0:f>SUMIFS('출결원본'!$D$6:$D$1445,'출결원본'!$B$6:$B$1445,B187)</ns0:f>
        <ns0:v>3</ns0:v>
      </ns0:c>
      <ns0:c r="L187" t="n">
        <ns0:f>VLOOKUP(B187,'평가원본'!$B$6:$D$485,2,FALSE)</ns0:f>
        <ns0:v>93</ns0:v>
      </ns0:c>
      <ns0:c r="M187" t="n">
        <ns0:f>VLOOKUP(B187,'평가원본'!$B$6:$D$485,3,FALSE)</ns0:f>
        <ns0:v>1</ns0:v>
      </ns0:c>
      <ns0:c r="N187" t="n">
        <ns0:f>VLOOKUP(E187,'교육기준'!$B$6:$F$17,5,FALSE)</ns0:f>
        <ns0:v>70</ns0:v>
      </ns0:c>
      <ns0:c r="O187" t="n">
        <ns0:f>IF(AND(F187="승인",K187&gt;='정책'!$C$6,M187=1,L187&gt;=N187),1,0)</ns0:f>
        <ns0:v>1</ns0:v>
      </ns0:c>
    </ns0:row>
    <ns0:row r="188">
      <ns0:c r="B188" s="17" t="str">
        <ns0:f>'신청원본'!B188</ns0:f>
        <ns0:v>APP000183</ns0:v>
      </ns0:c>
      <ns0:c r="C188" s="17" t="str">
        <ns0:f>'신청원본'!C188</ns0:f>
        <ns0:v>000023</ns0:v>
      </ns0:c>
      <ns0:c r="D188" t="str">
        <ns0:f>'신청원본'!D188</ns0:f>
        <ns0:v>영업</ns0:v>
      </ns0:c>
      <ns0:c r="E188" t="str">
        <ns0:f>'신청원본'!E188</ns0:f>
        <ns0:v>C03</ns0:v>
      </ns0:c>
      <ns0:c r="F188" t="str">
        <ns0:f>'신청원본'!H188</ns0:f>
        <ns0:v>대기</ns0:v>
      </ns0:c>
      <ns0:c r="G188" s="18" t="n">
        <ns0:f>VLOOKUP(E188,'교육기준'!$B$6:$F$17,3,FALSE)</ns0:f>
        <ns0:v>135007</ns0:v>
      </ns0:c>
      <ns0:c r="H188" s="18" t="n">
        <ns0:f>'신청원본'!G188</ns0:f>
        <ns0:v>2</ns0:v>
      </ns0:c>
      <ns0:c r="I188" s="19" t="n">
        <ns0:f>'신청원본'!I188</ns0:f>
        <ns0:v>0.1</ns0:v>
      </ns0:c>
      <ns0:c r="J188" s="18" t="n">
        <ns0:f>IF(F188="승인",IF(COUNTA('신청원본'!J188)=0,ROUND(G188*H188*(1-I188),'정책'!$C$8),'신청원본'!J188),0)</ns0:f>
        <ns0:v>0</ns0:v>
      </ns0:c>
      <ns0:c r="K188" t="n">
        <ns0:f>SUMIFS('출결원본'!$D$6:$D$1445,'출결원본'!$B$6:$B$1445,B188)</ns0:f>
        <ns0:v>2</ns0:v>
      </ns0:c>
      <ns0:c r="L188" t="n">
        <ns0:f>VLOOKUP(B188,'평가원본'!$B$6:$D$485,2,FALSE)</ns0:f>
        <ns0:v>100</ns0:v>
      </ns0:c>
      <ns0:c r="M188" t="n">
        <ns0:f>VLOOKUP(B188,'평가원본'!$B$6:$D$485,3,FALSE)</ns0:f>
        <ns0:v>1</ns0:v>
      </ns0:c>
      <ns0:c r="N188" t="n">
        <ns0:f>VLOOKUP(E188,'교육기준'!$B$6:$F$17,5,FALSE)</ns0:f>
        <ns0:v>80</ns0:v>
      </ns0:c>
      <ns0:c r="O188" t="n">
        <ns0:f>IF(AND(F188="승인",K188&gt;='정책'!$C$6,M188=1,L188&gt;=N188),1,0)</ns0:f>
        <ns0:v>0</ns0:v>
      </ns0:c>
    </ns0:row>
    <ns0:row r="189">
      <ns0:c r="B189" s="17" t="str">
        <ns0:f>'신청원본'!B189</ns0:f>
        <ns0:v>APP000184</ns0:v>
      </ns0:c>
      <ns0:c r="C189" s="17" t="str">
        <ns0:f>'신청원본'!C189</ns0:f>
        <ns0:v>000024</ns0:v>
      </ns0:c>
      <ns0:c r="D189" t="str">
        <ns0:f>'신청원본'!D189</ns0:f>
        <ns0:v>지원</ns0:v>
      </ns0:c>
      <ns0:c r="E189" t="str">
        <ns0:f>'신청원본'!E189</ns0:f>
        <ns0:v>C10</ns0:v>
      </ns0:c>
      <ns0:c r="F189" t="str">
        <ns0:f>'신청원본'!H189</ns0:f>
        <ns0:v>승인</ns0:v>
      </ns0:c>
      <ns0:c r="G189" s="18" t="n">
        <ns0:f>VLOOKUP(E189,'교육기준'!$B$6:$F$17,3,FALSE)</ns0:f>
        <ns0:v>257514</ns0:v>
      </ns0:c>
      <ns0:c r="H189" s="18" t="n">
        <ns0:f>'신청원본'!G189</ns0:f>
        <ns0:v>3</ns0:v>
      </ns0:c>
      <ns0:c r="I189" s="19" t="n">
        <ns0:f>'신청원본'!I189</ns0:f>
        <ns0:v>0.125</ns0:v>
      </ns0:c>
      <ns0:c r="J189" s="18" t="n">
        <ns0:f>IF(F189="승인",IF(COUNTA('신청원본'!J189)=0,ROUND(G189*H189*(1-I189),'정책'!$C$8),'신청원본'!J189),0)</ns0:f>
        <ns0:v>675974</ns0:v>
      </ns0:c>
      <ns0:c r="K189" t="n">
        <ns0:f>SUMIFS('출결원본'!$D$6:$D$1445,'출결원본'!$B$6:$B$1445,B189)</ns0:f>
        <ns0:v>3</ns0:v>
      </ns0:c>
      <ns0:c r="L189" t="n">
        <ns0:f>VLOOKUP(B189,'평가원본'!$B$6:$D$485,2,FALSE)</ns0:f>
        <ns0:v>56</ns0:v>
      </ns0:c>
      <ns0:c r="M189" t="n">
        <ns0:f>VLOOKUP(B189,'평가원본'!$B$6:$D$485,3,FALSE)</ns0:f>
        <ns0:v>1</ns0:v>
      </ns0:c>
      <ns0:c r="N189" t="n">
        <ns0:f>VLOOKUP(E189,'교육기준'!$B$6:$F$17,5,FALSE)</ns0:f>
        <ns0:v>60</ns0:v>
      </ns0:c>
      <ns0:c r="O189" t="n">
        <ns0:f>IF(AND(F189="승인",K189&gt;='정책'!$C$6,M189=1,L189&gt;=N189),1,0)</ns0:f>
        <ns0:v>0</ns0:v>
      </ns0:c>
    </ns0:row>
    <ns0:row r="190">
      <ns0:c r="B190" s="17" t="str">
        <ns0:f>'신청원본'!B190</ns0:f>
        <ns0:v>APP000185</ns0:v>
      </ns0:c>
      <ns0:c r="C190" s="17" t="str">
        <ns0:f>'신청원본'!C190</ns0:f>
        <ns0:v>000025</ns0:v>
      </ns0:c>
      <ns0:c r="D190" t="str">
        <ns0:f>'신청원본'!D190</ns0:f>
        <ns0:v>개발</ns0:v>
      </ns0:c>
      <ns0:c r="E190" t="str">
        <ns0:f>'신청원본'!E190</ns0:f>
        <ns0:v>C05</ns0:v>
      </ns0:c>
      <ns0:c r="F190" t="str">
        <ns0:f>'신청원본'!H190</ns0:f>
        <ns0:v>승인</ns0:v>
      </ns0:c>
      <ns0:c r="G190" s="18" t="n">
        <ns0:f>VLOOKUP(E190,'교육기준'!$B$6:$F$17,3,FALSE)</ns0:f>
        <ns0:v>170009</ns0:v>
      </ns0:c>
      <ns0:c r="H190" s="18" t="n">
        <ns0:f>'신청원본'!G190</ns0:f>
        <ns0:v>4</ns0:v>
      </ns0:c>
      <ns0:c r="I190" s="19" t="n">
        <ns0:f>'신청원본'!I190</ns0:f>
        <ns0:v>0</ns0:v>
      </ns0:c>
      <ns0:c r="J190" s="18" t="n">
        <ns0:f>IF(F190="승인",IF(COUNTA('신청원본'!J190)=0,ROUND(G190*H190*(1-I190),'정책'!$C$8),'신청원본'!J190),0)</ns0:f>
        <ns0:v>680036</ns0:v>
      </ns0:c>
      <ns0:c r="K190" t="n">
        <ns0:f>SUMIFS('출결원본'!$D$6:$D$1445,'출결원본'!$B$6:$B$1445,B190)</ns0:f>
        <ns0:v>3</ns0:v>
      </ns0:c>
      <ns0:c r="L190" t="n">
        <ns0:f>VLOOKUP(B190,'평가원본'!$B$6:$D$485,2,FALSE)</ns0:f>
        <ns0:v>63</ns0:v>
      </ns0:c>
      <ns0:c r="M190" t="n">
        <ns0:f>VLOOKUP(B190,'평가원본'!$B$6:$D$485,3,FALSE)</ns0:f>
        <ns0:v>1</ns0:v>
      </ns0:c>
      <ns0:c r="N190" t="n">
        <ns0:f>VLOOKUP(E190,'교육기준'!$B$6:$F$17,5,FALSE)</ns0:f>
        <ns0:v>70</ns0:v>
      </ns0:c>
      <ns0:c r="O190" t="n">
        <ns0:f>IF(AND(F190="승인",K190&gt;='정책'!$C$6,M190=1,L190&gt;=N190),1,0)</ns0:f>
        <ns0:v>0</ns0:v>
      </ns0:c>
    </ns0:row>
    <ns0:row r="191">
      <ns0:c r="B191" s="17" t="str">
        <ns0:f>'신청원본'!B191</ns0:f>
        <ns0:v>APP000186</ns0:v>
      </ns0:c>
      <ns0:c r="C191" s="17" t="str">
        <ns0:f>'신청원본'!C191</ns0:f>
        <ns0:v>000026</ns0:v>
      </ns0:c>
      <ns0:c r="D191" t="str">
        <ns0:f>'신청원본'!D191</ns0:f>
        <ns0:v>생산</ns0:v>
      </ns0:c>
      <ns0:c r="E191" t="str">
        <ns0:f>'신청원본'!E191</ns0:f>
        <ns0:v>C12</ns0:v>
      </ns0:c>
      <ns0:c r="F191" t="str">
        <ns0:f>'신청원본'!H191</ns0:f>
        <ns0:v>승인</ns0:v>
      </ns0:c>
      <ns0:c r="G191" s="18" t="n">
        <ns0:f>VLOOKUP(E191,'교육기준'!$B$6:$F$17,3,FALSE)</ns0:f>
        <ns0:v>292516</ns0:v>
      </ns0:c>
      <ns0:c r="H191" s="18" t="n">
        <ns0:f>'신청원본'!G191</ns0:f>
        <ns0:v>5</ns0:v>
      </ns0:c>
      <ns0:c r="I191" s="19" t="n">
        <ns0:f>'신청원본'!I191</ns0:f>
        <ns0:v>0.05</ns0:v>
      </ns0:c>
      <ns0:c r="J191" s="18" t="n">
        <ns0:f>IF(F191="승인",IF(COUNTA('신청원본'!J191)=0,ROUND(G191*H191*(1-I191),'정책'!$C$8),'신청원본'!J191),0)</ns0:f>
        <ns0:v>1389451</ns0:v>
      </ns0:c>
      <ns0:c r="K191" t="n">
        <ns0:f>SUMIFS('출결원본'!$D$6:$D$1445,'출결원본'!$B$6:$B$1445,B191)</ns0:f>
        <ns0:v>3</ns0:v>
      </ns0:c>
      <ns0:c r="L191" t="n">
        <ns0:f>VLOOKUP(B191,'평가원본'!$B$6:$D$485,2,FALSE)</ns0:f>
        <ns0:v>70</ns0:v>
      </ns0:c>
      <ns0:c r="M191" t="n">
        <ns0:f>VLOOKUP(B191,'평가원본'!$B$6:$D$485,3,FALSE)</ns0:f>
        <ns0:v>1</ns0:v>
      </ns0:c>
      <ns0:c r="N191" t="n">
        <ns0:f>VLOOKUP(E191,'교육기준'!$B$6:$F$17,5,FALSE)</ns0:f>
        <ns0:v>80</ns0:v>
      </ns0:c>
      <ns0:c r="O191" t="n">
        <ns0:f>IF(AND(F191="승인",K191&gt;='정책'!$C$6,M191=1,L191&gt;=N191),1,0)</ns0:f>
        <ns0:v>0</ns0:v>
      </ns0:c>
    </ns0:row>
    <ns0:row r="192">
      <ns0:c r="B192" s="17" t="str">
        <ns0:f>'신청원본'!B192</ns0:f>
        <ns0:v>APP000187</ns0:v>
      </ns0:c>
      <ns0:c r="C192" s="17" t="str">
        <ns0:f>'신청원본'!C192</ns0:f>
        <ns0:v>000027</ns0:v>
      </ns0:c>
      <ns0:c r="D192" t="str">
        <ns0:f>'신청원본'!D192</ns0:f>
        <ns0:v>품질</ns0:v>
      </ns0:c>
      <ns0:c r="E192" t="str">
        <ns0:f>'신청원본'!E192</ns0:f>
        <ns0:v>C07</ns0:v>
      </ns0:c>
      <ns0:c r="F192" t="str">
        <ns0:f>'신청원본'!H192</ns0:f>
        <ns0:v>승인</ns0:v>
      </ns0:c>
      <ns0:c r="G192" s="18" t="n">
        <ns0:f>VLOOKUP(E192,'교육기준'!$B$6:$F$17,3,FALSE)</ns0:f>
        <ns0:v>205011</ns0:v>
      </ns0:c>
      <ns0:c r="H192" s="18" t="n">
        <ns0:f>'신청원본'!G192</ns0:f>
        <ns0:v>0</ns0:v>
      </ns0:c>
      <ns0:c r="I192" s="19" t="n">
        <ns0:f>'신청원본'!I192</ns0:f>
        <ns0:v>0.1</ns0:v>
      </ns0:c>
      <ns0:c r="J192" s="18" t="n">
        <ns0:f>IF(F192="승인",IF(COUNTA('신청원본'!J192)=0,ROUND(G192*H192*(1-I192),'정책'!$C$8),'신청원본'!J192),0)</ns0:f>
        <ns0:v>0</ns0:v>
      </ns0:c>
      <ns0:c r="K192" t="n">
        <ns0:f>SUMIFS('출결원본'!$D$6:$D$1445,'출결원본'!$B$6:$B$1445,B192)</ns0:f>
        <ns0:v>3</ns0:v>
      </ns0:c>
      <ns0:c r="L192" t="n">
        <ns0:f>VLOOKUP(B192,'평가원본'!$B$6:$D$485,2,FALSE)</ns0:f>
        <ns0:v>77</ns0:v>
      </ns0:c>
      <ns0:c r="M192" t="n">
        <ns0:f>VLOOKUP(B192,'평가원본'!$B$6:$D$485,3,FALSE)</ns0:f>
        <ns0:v>1</ns0:v>
      </ns0:c>
      <ns0:c r="N192" t="n">
        <ns0:f>VLOOKUP(E192,'교육기준'!$B$6:$F$17,5,FALSE)</ns0:f>
        <ns0:v>60</ns0:v>
      </ns0:c>
      <ns0:c r="O192" t="n">
        <ns0:f>IF(AND(F192="승인",K192&gt;='정책'!$C$6,M192=1,L192&gt;=N192),1,0)</ns0:f>
        <ns0:v>1</ns0:v>
      </ns0:c>
    </ns0:row>
    <ns0:row r="193">
      <ns0:c r="B193" s="17" t="str">
        <ns0:f>'신청원본'!B193</ns0:f>
        <ns0:v>APP000188</ns0:v>
      </ns0:c>
      <ns0:c r="C193" s="17" t="str">
        <ns0:f>'신청원본'!C193</ns0:f>
        <ns0:v>000028</ns0:v>
      </ns0:c>
      <ns0:c r="D193" t="str">
        <ns0:f>'신청원본'!D193</ns0:f>
        <ns0:v>기획</ns0:v>
      </ns0:c>
      <ns0:c r="E193" t="str">
        <ns0:f>'신청원본'!E193</ns0:f>
        <ns0:v>C02</ns0:v>
      </ns0:c>
      <ns0:c r="F193" t="str">
        <ns0:f>'신청원본'!H193</ns0:f>
        <ns0:v>취소</ns0:v>
      </ns0:c>
      <ns0:c r="G193" s="18" t="n">
        <ns0:f>VLOOKUP(E193,'교육기준'!$B$6:$F$17,3,FALSE)</ns0:f>
        <ns0:v>117506</ns0:v>
      </ns0:c>
      <ns0:c r="H193" s="18" t="n">
        <ns0:f>'신청원본'!G193</ns0:f>
        <ns0:v>1</ns0:v>
      </ns0:c>
      <ns0:c r="I193" s="19" t="n">
        <ns0:f>'신청원본'!I193</ns0:f>
        <ns0:v>0.125</ns0:v>
      </ns0:c>
      <ns0:c r="J193" s="18" t="n">
        <ns0:f>IF(F193="승인",IF(COUNTA('신청원본'!J193)=0,ROUND(G193*H193*(1-I193),'정책'!$C$8),'신청원본'!J193),0)</ns0:f>
        <ns0:v>0</ns0:v>
      </ns0:c>
      <ns0:c r="K193" t="n">
        <ns0:f>SUMIFS('출결원본'!$D$6:$D$1445,'출결원본'!$B$6:$B$1445,B193)</ns0:f>
        <ns0:v>3</ns0:v>
      </ns0:c>
      <ns0:c r="L193" t="n">
        <ns0:f>VLOOKUP(B193,'평가원본'!$B$6:$D$485,2,FALSE)</ns0:f>
        <ns0:v>84</ns0:v>
      </ns0:c>
      <ns0:c r="M193" t="n">
        <ns0:f>VLOOKUP(B193,'평가원본'!$B$6:$D$485,3,FALSE)</ns0:f>
        <ns0:v>1</ns0:v>
      </ns0:c>
      <ns0:c r="N193" t="n">
        <ns0:f>VLOOKUP(E193,'교육기준'!$B$6:$F$17,5,FALSE)</ns0:f>
        <ns0:v>70</ns0:v>
      </ns0:c>
      <ns0:c r="O193" t="n">
        <ns0:f>IF(AND(F193="승인",K193&gt;='정책'!$C$6,M193=1,L193&gt;=N193),1,0)</ns0:f>
        <ns0:v>0</ns0:v>
      </ns0:c>
    </ns0:row>
    <ns0:row r="194">
      <ns0:c r="B194" s="17" t="str">
        <ns0:f>'신청원본'!B194</ns0:f>
        <ns0:v>APP000189</ns0:v>
      </ns0:c>
      <ns0:c r="C194" s="17" t="str">
        <ns0:f>'신청원본'!C194</ns0:f>
        <ns0:v>000029</ns0:v>
      </ns0:c>
      <ns0:c r="D194" t="str">
        <ns0:f>'신청원본'!D194</ns0:f>
        <ns0:v>영업</ns0:v>
      </ns0:c>
      <ns0:c r="E194" t="str">
        <ns0:f>'신청원본'!E194</ns0:f>
        <ns0:v>C09</ns0:v>
      </ns0:c>
      <ns0:c r="F194" t="str">
        <ns0:f>'신청원본'!H194</ns0:f>
        <ns0:v>승인</ns0:v>
      </ns0:c>
      <ns0:c r="G194" s="18" t="n">
        <ns0:f>VLOOKUP(E194,'교육기준'!$B$6:$F$17,3,FALSE)</ns0:f>
        <ns0:v>240013</ns0:v>
      </ns0:c>
      <ns0:c r="H194" s="18" t="n">
        <ns0:f>'신청원본'!G194</ns0:f>
        <ns0:v>2</ns0:v>
      </ns0:c>
      <ns0:c r="I194" s="19" t="n">
        <ns0:f>'신청원본'!I194</ns0:f>
        <ns0:v>0</ns0:v>
      </ns0:c>
      <ns0:c r="J194" s="18" t="n">
        <ns0:f>IF(F194="승인",IF(COUNTA('신청원본'!J194)=0,ROUND(G194*H194*(1-I194),'정책'!$C$8),'신청원본'!J194),0)</ns0:f>
        <ns0:v>480026</ns0:v>
      </ns0:c>
      <ns0:c r="K194" t="n">
        <ns0:f>SUMIFS('출결원본'!$D$6:$D$1445,'출결원본'!$B$6:$B$1445,B194)</ns0:f>
        <ns0:v>3</ns0:v>
      </ns0:c>
      <ns0:c r="L194" t="n">
        <ns0:f>VLOOKUP(B194,'평가원본'!$B$6:$D$485,2,FALSE)</ns0:f>
        <ns0:v>91</ns0:v>
      </ns0:c>
      <ns0:c r="M194" t="n">
        <ns0:f>VLOOKUP(B194,'평가원본'!$B$6:$D$485,3,FALSE)</ns0:f>
        <ns0:v>1</ns0:v>
      </ns0:c>
      <ns0:c r="N194" t="n">
        <ns0:f>VLOOKUP(E194,'교육기준'!$B$6:$F$17,5,FALSE)</ns0:f>
        <ns0:v>80</ns0:v>
      </ns0:c>
      <ns0:c r="O194" t="n">
        <ns0:f>IF(AND(F194="승인",K194&gt;='정책'!$C$6,M194=1,L194&gt;=N194),1,0)</ns0:f>
        <ns0:v>1</ns0:v>
      </ns0:c>
    </ns0:row>
    <ns0:row r="195">
      <ns0:c r="B195" s="17" t="str">
        <ns0:f>'신청원본'!B195</ns0:f>
        <ns0:v>APP000190</ns0:v>
      </ns0:c>
      <ns0:c r="C195" s="17" t="str">
        <ns0:f>'신청원본'!C195</ns0:f>
        <ns0:v>000030</ns0:v>
      </ns0:c>
      <ns0:c r="D195" t="str">
        <ns0:f>'신청원본'!D195</ns0:f>
        <ns0:v>지원</ns0:v>
      </ns0:c>
      <ns0:c r="E195" t="str">
        <ns0:f>'신청원본'!E195</ns0:f>
        <ns0:v>C04</ns0:v>
      </ns0:c>
      <ns0:c r="F195" t="str">
        <ns0:f>'신청원본'!H195</ns0:f>
        <ns0:v>대기</ns0:v>
      </ns0:c>
      <ns0:c r="G195" s="18" t="n">
        <ns0:f>VLOOKUP(E195,'교육기준'!$B$6:$F$17,3,FALSE)</ns0:f>
        <ns0:v>152508</ns0:v>
      </ns0:c>
      <ns0:c r="H195" s="18" t="n">
        <ns0:f>'신청원본'!G195</ns0:f>
        <ns0:v>3</ns0:v>
      </ns0:c>
      <ns0:c r="I195" s="19" t="n">
        <ns0:f>'신청원본'!I195</ns0:f>
        <ns0:v>0.05</ns0:v>
      </ns0:c>
      <ns0:c r="J195" s="18" t="n">
        <ns0:f>IF(F195="승인",IF(COUNTA('신청원본'!J195)=0,ROUND(G195*H195*(1-I195),'정책'!$C$8),'신청원본'!J195),0)</ns0:f>
        <ns0:v>0</ns0:v>
      </ns0:c>
      <ns0:c r="K195" t="n">
        <ns0:f>SUMIFS('출결원본'!$D$6:$D$1445,'출결원본'!$B$6:$B$1445,B195)</ns0:f>
        <ns0:v>2</ns0:v>
      </ns0:c>
      <ns0:c r="L195" t="n">
        <ns0:f>VLOOKUP(B195,'평가원본'!$B$6:$D$485,2,FALSE)</ns0:f>
        <ns0:v>98</ns0:v>
      </ns0:c>
      <ns0:c r="M195" t="n">
        <ns0:f>VLOOKUP(B195,'평가원본'!$B$6:$D$485,3,FALSE)</ns0:f>
        <ns0:v>1</ns0:v>
      </ns0:c>
      <ns0:c r="N195" t="n">
        <ns0:f>VLOOKUP(E195,'교육기준'!$B$6:$F$17,5,FALSE)</ns0:f>
        <ns0:v>60</ns0:v>
      </ns0:c>
      <ns0:c r="O195" t="n">
        <ns0:f>IF(AND(F195="승인",K195&gt;='정책'!$C$6,M195=1,L195&gt;=N195),1,0)</ns0:f>
        <ns0:v>0</ns0:v>
      </ns0:c>
    </ns0:row>
    <ns0:row r="196">
      <ns0:c r="B196" s="17" t="str">
        <ns0:f>'신청원본'!B196</ns0:f>
        <ns0:v>APP000191</ns0:v>
      </ns0:c>
      <ns0:c r="C196" s="17" t="str">
        <ns0:f>'신청원본'!C196</ns0:f>
        <ns0:v>000031</ns0:v>
      </ns0:c>
      <ns0:c r="D196" t="str">
        <ns0:f>'신청원본'!D196</ns0:f>
        <ns0:v>개발</ns0:v>
      </ns0:c>
      <ns0:c r="E196" t="str">
        <ns0:f>'신청원본'!E196</ns0:f>
        <ns0:v>C11</ns0:v>
      </ns0:c>
      <ns0:c r="F196" t="str">
        <ns0:f>'신청원본'!H196</ns0:f>
        <ns0:v>승인</ns0:v>
      </ns0:c>
      <ns0:c r="G196" s="18" t="n">
        <ns0:f>VLOOKUP(E196,'교육기준'!$B$6:$F$17,3,FALSE)</ns0:f>
        <ns0:v>275015</ns0:v>
      </ns0:c>
      <ns0:c r="H196" s="18" t="n">
        <ns0:f>'신청원본'!G196</ns0:f>
        <ns0:v>4</ns0:v>
      </ns0:c>
      <ns0:c r="I196" s="19" t="n">
        <ns0:f>'신청원본'!I196</ns0:f>
        <ns0:v>0.1</ns0:v>
      </ns0:c>
      <ns0:c r="J196" s="18" t="n">
        <ns0:f>IF(F196="승인",IF(COUNTA('신청원본'!J196)=0,ROUND(G196*H196*(1-I196),'정책'!$C$8),'신청원본'!J196),0)</ns0:f>
        <ns0:v>990054</ns0:v>
      </ns0:c>
      <ns0:c r="K196" t="n">
        <ns0:f>SUMIFS('출결원본'!$D$6:$D$1445,'출결원본'!$B$6:$B$1445,B196)</ns0:f>
        <ns0:v>3</ns0:v>
      </ns0:c>
      <ns0:c r="L196" t="n">
        <ns0:f>VLOOKUP(B196,'평가원본'!$B$6:$D$485,2,FALSE)</ns0:f>
        <ns0:v>54</ns0:v>
      </ns0:c>
      <ns0:c r="M196" t="n">
        <ns0:f>VLOOKUP(B196,'평가원본'!$B$6:$D$485,3,FALSE)</ns0:f>
        <ns0:v>0</ns0:v>
      </ns0:c>
      <ns0:c r="N196" t="n">
        <ns0:f>VLOOKUP(E196,'교육기준'!$B$6:$F$17,5,FALSE)</ns0:f>
        <ns0:v>70</ns0:v>
      </ns0:c>
      <ns0:c r="O196" t="n">
        <ns0:f>IF(AND(F196="승인",K196&gt;='정책'!$C$6,M196=1,L196&gt;=N196),1,0)</ns0:f>
        <ns0:v>0</ns0:v>
      </ns0:c>
    </ns0:row>
    <ns0:row r="197">
      <ns0:c r="B197" s="17" t="str">
        <ns0:f>'신청원본'!B197</ns0:f>
        <ns0:v>APP000192</ns0:v>
      </ns0:c>
      <ns0:c r="C197" s="17" t="str">
        <ns0:f>'신청원본'!C197</ns0:f>
        <ns0:v>000032</ns0:v>
      </ns0:c>
      <ns0:c r="D197" t="str">
        <ns0:f>'신청원본'!D197</ns0:f>
        <ns0:v>생산</ns0:v>
      </ns0:c>
      <ns0:c r="E197" t="str">
        <ns0:f>'신청원본'!E197</ns0:f>
        <ns0:v>C06</ns0:v>
      </ns0:c>
      <ns0:c r="F197" t="str">
        <ns0:f>'신청원본'!H197</ns0:f>
        <ns0:v>승인</ns0:v>
      </ns0:c>
      <ns0:c r="G197" s="18" t="n">
        <ns0:f>VLOOKUP(E197,'교육기준'!$B$6:$F$17,3,FALSE)</ns0:f>
        <ns0:v>187510</ns0:v>
      </ns0:c>
      <ns0:c r="H197" s="18" t="n">
        <ns0:f>'신청원본'!G197</ns0:f>
        <ns0:v>5</ns0:v>
      </ns0:c>
      <ns0:c r="I197" s="19" t="n">
        <ns0:f>'신청원본'!I197</ns0:f>
        <ns0:v>0.125</ns0:v>
      </ns0:c>
      <ns0:c r="J197" s="18" t="n">
        <ns0:f>IF(F197="승인",IF(COUNTA('신청원본'!J197)=0,ROUND(G197*H197*(1-I197),'정책'!$C$8),'신청원본'!J197),0)</ns0:f>
        <ns0:v>820356</ns0:v>
      </ns0:c>
      <ns0:c r="K197" t="n">
        <ns0:f>SUMIFS('출결원본'!$D$6:$D$1445,'출결원본'!$B$6:$B$1445,B197)</ns0:f>
        <ns0:v>3</ns0:v>
      </ns0:c>
      <ns0:c r="L197" t="n">
        <ns0:f>VLOOKUP(B197,'평가원본'!$B$6:$D$485,2,FALSE)</ns0:f>
        <ns0:v>61</ns0:v>
      </ns0:c>
      <ns0:c r="M197" t="n">
        <ns0:f>VLOOKUP(B197,'평가원본'!$B$6:$D$485,3,FALSE)</ns0:f>
        <ns0:v>1</ns0:v>
      </ns0:c>
      <ns0:c r="N197" t="n">
        <ns0:f>VLOOKUP(E197,'교육기준'!$B$6:$F$17,5,FALSE)</ns0:f>
        <ns0:v>80</ns0:v>
      </ns0:c>
      <ns0:c r="O197" t="n">
        <ns0:f>IF(AND(F197="승인",K197&gt;='정책'!$C$6,M197=1,L197&gt;=N197),1,0)</ns0:f>
        <ns0:v>0</ns0:v>
      </ns0:c>
    </ns0:row>
    <ns0:row r="198">
      <ns0:c r="B198" s="17" t="str">
        <ns0:f>'신청원본'!B198</ns0:f>
        <ns0:v>APP000193</ns0:v>
      </ns0:c>
      <ns0:c r="C198" s="17" t="str">
        <ns0:f>'신청원본'!C198</ns0:f>
        <ns0:v>000033</ns0:v>
      </ns0:c>
      <ns0:c r="D198" t="str">
        <ns0:f>'신청원본'!D198</ns0:f>
        <ns0:v>품질</ns0:v>
      </ns0:c>
      <ns0:c r="E198" t="str">
        <ns0:f>'신청원본'!E198</ns0:f>
        <ns0:v>C01</ns0:v>
      </ns0:c>
      <ns0:c r="F198" t="str">
        <ns0:f>'신청원본'!H198</ns0:f>
        <ns0:v>승인</ns0:v>
      </ns0:c>
      <ns0:c r="G198" s="18" t="n">
        <ns0:f>VLOOKUP(E198,'교육기준'!$B$6:$F$17,3,FALSE)</ns0:f>
        <ns0:v>100005</ns0:v>
      </ns0:c>
      <ns0:c r="H198" s="18" t="n">
        <ns0:f>'신청원본'!G198</ns0:f>
        <ns0:v>0</ns0:v>
      </ns0:c>
      <ns0:c r="I198" s="19" t="n">
        <ns0:f>'신청원본'!I198</ns0:f>
        <ns0:v>0</ns0:v>
      </ns0:c>
      <ns0:c r="J198" s="18" t="n">
        <ns0:f>IF(F198="승인",IF(COUNTA('신청원본'!J198)=0,ROUND(G198*H198*(1-I198),'정책'!$C$8),'신청원본'!J198),0)</ns0:f>
        <ns0:v>0</ns0:v>
      </ns0:c>
      <ns0:c r="K198" t="n">
        <ns0:f>SUMIFS('출결원본'!$D$6:$D$1445,'출결원본'!$B$6:$B$1445,B198)</ns0:f>
        <ns0:v>3</ns0:v>
      </ns0:c>
      <ns0:c r="L198" t="n">
        <ns0:f>VLOOKUP(B198,'평가원본'!$B$6:$D$485,2,FALSE)</ns0:f>
        <ns0:v>68</ns0:v>
      </ns0:c>
      <ns0:c r="M198" t="n">
        <ns0:f>VLOOKUP(B198,'평가원본'!$B$6:$D$485,3,FALSE)</ns0:f>
        <ns0:v>1</ns0:v>
      </ns0:c>
      <ns0:c r="N198" t="n">
        <ns0:f>VLOOKUP(E198,'교육기준'!$B$6:$F$17,5,FALSE)</ns0:f>
        <ns0:v>60</ns0:v>
      </ns0:c>
      <ns0:c r="O198" t="n">
        <ns0:f>IF(AND(F198="승인",K198&gt;='정책'!$C$6,M198=1,L198&gt;=N198),1,0)</ns0:f>
        <ns0:v>1</ns0:v>
      </ns0:c>
    </ns0:row>
    <ns0:row r="199">
      <ns0:c r="B199" s="17" t="str">
        <ns0:f>'신청원본'!B199</ns0:f>
        <ns0:v>APP000194</ns0:v>
      </ns0:c>
      <ns0:c r="C199" s="17" t="str">
        <ns0:f>'신청원본'!C199</ns0:f>
        <ns0:v>000034</ns0:v>
      </ns0:c>
      <ns0:c r="D199" t="str">
        <ns0:f>'신청원본'!D199</ns0:f>
        <ns0:v>기획</ns0:v>
      </ns0:c>
      <ns0:c r="E199" t="str">
        <ns0:f>'신청원본'!E199</ns0:f>
        <ns0:v>C08</ns0:v>
      </ns0:c>
      <ns0:c r="F199" t="str">
        <ns0:f>'신청원본'!H199</ns0:f>
        <ns0:v>승인</ns0:v>
      </ns0:c>
      <ns0:c r="G199" s="18" t="n">
        <ns0:f>VLOOKUP(E199,'교육기준'!$B$6:$F$17,3,FALSE)</ns0:f>
        <ns0:v>222512</ns0:v>
      </ns0:c>
      <ns0:c r="H199" s="18" t="n">
        <ns0:f>'신청원본'!G199</ns0:f>
        <ns0:v>1</ns0:v>
      </ns0:c>
      <ns0:c r="I199" s="19" t="n">
        <ns0:f>'신청원본'!I199</ns0:f>
        <ns0:v>0.05</ns0:v>
      </ns0:c>
      <ns0:c r="J199" s="18" t="n">
        <ns0:f>IF(F199="승인",IF(COUNTA('신청원본'!J199)=0,ROUND(G199*H199*(1-I199),'정책'!$C$8),'신청원본'!J199),0)</ns0:f>
        <ns0:v>211386</ns0:v>
      </ns0:c>
      <ns0:c r="K199" t="n">
        <ns0:f>SUMIFS('출결원본'!$D$6:$D$1445,'출결원본'!$B$6:$B$1445,B199)</ns0:f>
        <ns0:v>3</ns0:v>
      </ns0:c>
      <ns0:c r="L199" t="n">
        <ns0:f>VLOOKUP(B199,'평가원본'!$B$6:$D$485,2,FALSE)</ns0:f>
        <ns0:v>75</ns0:v>
      </ns0:c>
      <ns0:c r="M199" t="n">
        <ns0:f>VLOOKUP(B199,'평가원본'!$B$6:$D$485,3,FALSE)</ns0:f>
        <ns0:v>1</ns0:v>
      </ns0:c>
      <ns0:c r="N199" t="n">
        <ns0:f>VLOOKUP(E199,'교육기준'!$B$6:$F$17,5,FALSE)</ns0:f>
        <ns0:v>70</ns0:v>
      </ns0:c>
      <ns0:c r="O199" t="n">
        <ns0:f>IF(AND(F199="승인",K199&gt;='정책'!$C$6,M199=1,L199&gt;=N199),1,0)</ns0:f>
        <ns0:v>1</ns0:v>
      </ns0:c>
    </ns0:row>
    <ns0:row r="200">
      <ns0:c r="B200" s="17" t="str">
        <ns0:f>'신청원본'!B200</ns0:f>
        <ns0:v>APP000195</ns0:v>
      </ns0:c>
      <ns0:c r="C200" s="17" t="str">
        <ns0:f>'신청원본'!C200</ns0:f>
        <ns0:v>000035</ns0:v>
      </ns0:c>
      <ns0:c r="D200" t="str">
        <ns0:f>'신청원본'!D200</ns0:f>
        <ns0:v>영업</ns0:v>
      </ns0:c>
      <ns0:c r="E200" t="str">
        <ns0:f>'신청원본'!E200</ns0:f>
        <ns0:v>C03</ns0:v>
      </ns0:c>
      <ns0:c r="F200" t="str">
        <ns0:f>'신청원본'!H200</ns0:f>
        <ns0:v>승인</ns0:v>
      </ns0:c>
      <ns0:c r="G200" s="18" t="n">
        <ns0:f>VLOOKUP(E200,'교육기준'!$B$6:$F$17,3,FALSE)</ns0:f>
        <ns0:v>135007</ns0:v>
      </ns0:c>
      <ns0:c r="H200" s="18" t="n">
        <ns0:f>'신청원본'!G200</ns0:f>
        <ns0:v>2</ns0:v>
      </ns0:c>
      <ns0:c r="I200" s="19" t="n">
        <ns0:f>'신청원본'!I200</ns0:f>
        <ns0:v>0.1</ns0:v>
      </ns0:c>
      <ns0:c r="J200" s="18" t="n">
        <ns0:f>IF(F200="승인",IF(COUNTA('신청원본'!J200)=0,ROUND(G200*H200*(1-I200),'정책'!$C$8),'신청원본'!J200),0)</ns0:f>
        <ns0:v>243013</ns0:v>
      </ns0:c>
      <ns0:c r="K200" t="n">
        <ns0:f>SUMIFS('출결원본'!$D$6:$D$1445,'출결원본'!$B$6:$B$1445,B200)</ns0:f>
        <ns0:v>3</ns0:v>
      </ns0:c>
      <ns0:c r="L200" t="n">
        <ns0:f>VLOOKUP(B200,'평가원본'!$B$6:$D$485,2,FALSE)</ns0:f>
        <ns0:v>82</ns0:v>
      </ns0:c>
      <ns0:c r="M200" t="n">
        <ns0:f>VLOOKUP(B200,'평가원본'!$B$6:$D$485,3,FALSE)</ns0:f>
        <ns0:v>1</ns0:v>
      </ns0:c>
      <ns0:c r="N200" t="n">
        <ns0:f>VLOOKUP(E200,'교육기준'!$B$6:$F$17,5,FALSE)</ns0:f>
        <ns0:v>80</ns0:v>
      </ns0:c>
      <ns0:c r="O200" t="n">
        <ns0:f>IF(AND(F200="승인",K200&gt;='정책'!$C$6,M200=1,L200&gt;=N200),1,0)</ns0:f>
        <ns0:v>1</ns0:v>
      </ns0:c>
    </ns0:row>
    <ns0:row r="201">
      <ns0:c r="B201" s="17" t="str">
        <ns0:f>'신청원본'!B201</ns0:f>
        <ns0:v>APP000196</ns0:v>
      </ns0:c>
      <ns0:c r="C201" s="17" t="str">
        <ns0:f>'신청원본'!C201</ns0:f>
        <ns0:v>000036</ns0:v>
      </ns0:c>
      <ns0:c r="D201" t="str">
        <ns0:f>'신청원본'!D201</ns0:f>
        <ns0:v>지원</ns0:v>
      </ns0:c>
      <ns0:c r="E201" t="str">
        <ns0:f>'신청원본'!E201</ns0:f>
        <ns0:v>C10</ns0:v>
      </ns0:c>
      <ns0:c r="F201" t="str">
        <ns0:f>'신청원본'!H201</ns0:f>
        <ns0:v>승인</ns0:v>
      </ns0:c>
      <ns0:c r="G201" s="18" t="n">
        <ns0:f>VLOOKUP(E201,'교육기준'!$B$6:$F$17,3,FALSE)</ns0:f>
        <ns0:v>257514</ns0:v>
      </ns0:c>
      <ns0:c r="H201" s="18" t="n">
        <ns0:f>'신청원본'!G201</ns0:f>
        <ns0:v>3</ns0:v>
      </ns0:c>
      <ns0:c r="I201" s="19" t="n">
        <ns0:f>'신청원본'!I201</ns0:f>
        <ns0:v>0.125</ns0:v>
      </ns0:c>
      <ns0:c r="J201" s="18" t="n">
        <ns0:f>IF(F201="승인",IF(COUNTA('신청원본'!J201)=0,ROUND(G201*H201*(1-I201),'정책'!$C$8),'신청원본'!J201),0)</ns0:f>
        <ns0:v>675974</ns0:v>
      </ns0:c>
      <ns0:c r="K201" t="n">
        <ns0:f>SUMIFS('출결원본'!$D$6:$D$1445,'출결원본'!$B$6:$B$1445,B201)</ns0:f>
        <ns0:v>2</ns0:v>
      </ns0:c>
      <ns0:c r="L201" t="n">
        <ns0:f>VLOOKUP(B201,'평가원본'!$B$6:$D$485,2,FALSE)</ns0:f>
        <ns0:v>89</ns0:v>
      </ns0:c>
      <ns0:c r="M201" t="n">
        <ns0:f>VLOOKUP(B201,'평가원본'!$B$6:$D$485,3,FALSE)</ns0:f>
        <ns0:v>1</ns0:v>
      </ns0:c>
      <ns0:c r="N201" t="n">
        <ns0:f>VLOOKUP(E201,'교육기준'!$B$6:$F$17,5,FALSE)</ns0:f>
        <ns0:v>60</ns0:v>
      </ns0:c>
      <ns0:c r="O201" t="n">
        <ns0:f>IF(AND(F201="승인",K201&gt;='정책'!$C$6,M201=1,L201&gt;=N201),1,0)</ns0:f>
        <ns0:v>0</ns0:v>
      </ns0:c>
    </ns0:row>
    <ns0:row r="202">
      <ns0:c r="B202" s="17" t="str">
        <ns0:f>'신청원본'!B202</ns0:f>
        <ns0:v>APP000197</ns0:v>
      </ns0:c>
      <ns0:c r="C202" s="17" t="str">
        <ns0:f>'신청원본'!C202</ns0:f>
        <ns0:v>000037</ns0:v>
      </ns0:c>
      <ns0:c r="D202" t="str">
        <ns0:f>'신청원본'!D202</ns0:f>
        <ns0:v>개발</ns0:v>
      </ns0:c>
      <ns0:c r="E202" t="str">
        <ns0:f>'신청원본'!E202</ns0:f>
        <ns0:v>C05</ns0:v>
      </ns0:c>
      <ns0:c r="F202" t="str">
        <ns0:f>'신청원본'!H202</ns0:f>
        <ns0:v>대기</ns0:v>
      </ns0:c>
      <ns0:c r="G202" s="18" t="n">
        <ns0:f>VLOOKUP(E202,'교육기준'!$B$6:$F$17,3,FALSE)</ns0:f>
        <ns0:v>170009</ns0:v>
      </ns0:c>
      <ns0:c r="H202" s="18" t="n">
        <ns0:f>'신청원본'!G202</ns0:f>
        <ns0:v>4</ns0:v>
      </ns0:c>
      <ns0:c r="I202" s="19" t="n">
        <ns0:f>'신청원본'!I202</ns0:f>
        <ns0:v>0</ns0:v>
      </ns0:c>
      <ns0:c r="J202" s="18" t="n">
        <ns0:f>IF(F202="승인",IF(COUNTA('신청원본'!J202)=0,ROUND(G202*H202*(1-I202),'정책'!$C$8),'신청원본'!J202),0)</ns0:f>
        <ns0:v>0</ns0:v>
      </ns0:c>
      <ns0:c r="K202" t="n">
        <ns0:f>SUMIFS('출결원본'!$D$6:$D$1445,'출결원본'!$B$6:$B$1445,B202)</ns0:f>
        <ns0:v>3</ns0:v>
      </ns0:c>
      <ns0:c r="L202" t="n">
        <ns0:f>VLOOKUP(B202,'평가원본'!$B$6:$D$485,2,FALSE)</ns0:f>
        <ns0:v>96</ns0:v>
      </ns0:c>
      <ns0:c r="M202" t="n">
        <ns0:f>VLOOKUP(B202,'평가원본'!$B$6:$D$485,3,FALSE)</ns0:f>
        <ns0:v>1</ns0:v>
      </ns0:c>
      <ns0:c r="N202" t="n">
        <ns0:f>VLOOKUP(E202,'교육기준'!$B$6:$F$17,5,FALSE)</ns0:f>
        <ns0:v>70</ns0:v>
      </ns0:c>
      <ns0:c r="O202" t="n">
        <ns0:f>IF(AND(F202="승인",K202&gt;='정책'!$C$6,M202=1,L202&gt;=N202),1,0)</ns0:f>
        <ns0:v>0</ns0:v>
      </ns0:c>
    </ns0:row>
    <ns0:row r="203">
      <ns0:c r="B203" s="17" t="str">
        <ns0:f>'신청원본'!B203</ns0:f>
        <ns0:v>APP000198</ns0:v>
      </ns0:c>
      <ns0:c r="C203" s="17" t="str">
        <ns0:f>'신청원본'!C203</ns0:f>
        <ns0:v>000038</ns0:v>
      </ns0:c>
      <ns0:c r="D203" t="str">
        <ns0:f>'신청원본'!D203</ns0:f>
        <ns0:v>생산</ns0:v>
      </ns0:c>
      <ns0:c r="E203" t="str">
        <ns0:f>'신청원본'!E203</ns0:f>
        <ns0:v>C12</ns0:v>
      </ns0:c>
      <ns0:c r="F203" t="str">
        <ns0:f>'신청원본'!H203</ns0:f>
        <ns0:v>승인</ns0:v>
      </ns0:c>
      <ns0:c r="G203" s="18" t="n">
        <ns0:f>VLOOKUP(E203,'교육기준'!$B$6:$F$17,3,FALSE)</ns0:f>
        <ns0:v>292516</ns0:v>
      </ns0:c>
      <ns0:c r="H203" s="18" t="n">
        <ns0:f>'신청원본'!G203</ns0:f>
        <ns0:v>5</ns0:v>
      </ns0:c>
      <ns0:c r="I203" s="19" t="n">
        <ns0:f>'신청원본'!I203</ns0:f>
        <ns0:v>0.05</ns0:v>
      </ns0:c>
      <ns0:c r="J203" s="18" t="n">
        <ns0:f>IF(F203="승인",IF(COUNTA('신청원본'!J203)=0,ROUND(G203*H203*(1-I203),'정책'!$C$8),'신청원본'!J203),0)</ns0:f>
        <ns0:v>1389451</ns0:v>
      </ns0:c>
      <ns0:c r="K203" t="n">
        <ns0:f>SUMIFS('출결원본'!$D$6:$D$1445,'출결원본'!$B$6:$B$1445,B203)</ns0:f>
        <ns0:v>3</ns0:v>
      </ns0:c>
      <ns0:c r="L203" t="n">
        <ns0:f>VLOOKUP(B203,'평가원본'!$B$6:$D$485,2,FALSE)</ns0:f>
        <ns0:v>52</ns0:v>
      </ns0:c>
      <ns0:c r="M203" t="n">
        <ns0:f>VLOOKUP(B203,'평가원본'!$B$6:$D$485,3,FALSE)</ns0:f>
        <ns0:v>1</ns0:v>
      </ns0:c>
      <ns0:c r="N203" t="n">
        <ns0:f>VLOOKUP(E203,'교육기준'!$B$6:$F$17,5,FALSE)</ns0:f>
        <ns0:v>80</ns0:v>
      </ns0:c>
      <ns0:c r="O203" t="n">
        <ns0:f>IF(AND(F203="승인",K203&gt;='정책'!$C$6,M203=1,L203&gt;=N203),1,0)</ns0:f>
        <ns0:v>0</ns0:v>
      </ns0:c>
    </ns0:row>
    <ns0:row r="204">
      <ns0:c r="B204" s="17" t="str">
        <ns0:f>'신청원본'!B204</ns0:f>
        <ns0:v>APP000199</ns0:v>
      </ns0:c>
      <ns0:c r="C204" s="17" t="str">
        <ns0:f>'신청원본'!C204</ns0:f>
        <ns0:v>000039</ns0:v>
      </ns0:c>
      <ns0:c r="D204" t="str">
        <ns0:f>'신청원본'!D204</ns0:f>
        <ns0:v>품질</ns0:v>
      </ns0:c>
      <ns0:c r="E204" t="str">
        <ns0:f>'신청원본'!E204</ns0:f>
        <ns0:v>C07</ns0:v>
      </ns0:c>
      <ns0:c r="F204" t="str">
        <ns0:f>'신청원본'!H204</ns0:f>
        <ns0:v>취소</ns0:v>
      </ns0:c>
      <ns0:c r="G204" s="18" t="n">
        <ns0:f>VLOOKUP(E204,'교육기준'!$B$6:$F$17,3,FALSE)</ns0:f>
        <ns0:v>205011</ns0:v>
      </ns0:c>
      <ns0:c r="H204" s="18" t="n">
        <ns0:f>'신청원본'!G204</ns0:f>
        <ns0:v>0</ns0:v>
      </ns0:c>
      <ns0:c r="I204" s="19" t="n">
        <ns0:f>'신청원본'!I204</ns0:f>
        <ns0:v>0.1</ns0:v>
      </ns0:c>
      <ns0:c r="J204" s="18" t="n">
        <ns0:f>IF(F204="승인",IF(COUNTA('신청원본'!J204)=0,ROUND(G204*H204*(1-I204),'정책'!$C$8),'신청원본'!J204),0)</ns0:f>
        <ns0:v>0</ns0:v>
      </ns0:c>
      <ns0:c r="K204" t="n">
        <ns0:f>SUMIFS('출결원본'!$D$6:$D$1445,'출결원본'!$B$6:$B$1445,B204)</ns0:f>
        <ns0:v>2</ns0:v>
      </ns0:c>
      <ns0:c r="L204" t="n">
        <ns0:f>VLOOKUP(B204,'평가원본'!$B$6:$D$485,2,FALSE)</ns0:f>
        <ns0:v>59</ns0:v>
      </ns0:c>
      <ns0:c r="M204" t="n">
        <ns0:f>VLOOKUP(B204,'평가원본'!$B$6:$D$485,3,FALSE)</ns0:f>
        <ns0:v>1</ns0:v>
      </ns0:c>
      <ns0:c r="N204" t="n">
        <ns0:f>VLOOKUP(E204,'교육기준'!$B$6:$F$17,5,FALSE)</ns0:f>
        <ns0:v>60</ns0:v>
      </ns0:c>
      <ns0:c r="O204" t="n">
        <ns0:f>IF(AND(F204="승인",K204&gt;='정책'!$C$6,M204=1,L204&gt;=N204),1,0)</ns0:f>
        <ns0:v>0</ns0:v>
      </ns0:c>
    </ns0:row>
    <ns0:row r="205">
      <ns0:c r="B205" s="17" t="str">
        <ns0:f>'신청원본'!B205</ns0:f>
        <ns0:v>APP000200</ns0:v>
      </ns0:c>
      <ns0:c r="C205" s="17" t="str">
        <ns0:f>'신청원본'!C205</ns0:f>
        <ns0:v>000040</ns0:v>
      </ns0:c>
      <ns0:c r="D205" t="str">
        <ns0:f>'신청원본'!D205</ns0:f>
        <ns0:v>기획</ns0:v>
      </ns0:c>
      <ns0:c r="E205" t="str">
        <ns0:f>'신청원본'!E205</ns0:f>
        <ns0:v>C02</ns0:v>
      </ns0:c>
      <ns0:c r="F205" t="str">
        <ns0:f>'신청원본'!H205</ns0:f>
        <ns0:v>승인</ns0:v>
      </ns0:c>
      <ns0:c r="G205" s="18" t="n">
        <ns0:f>VLOOKUP(E205,'교육기준'!$B$6:$F$17,3,FALSE)</ns0:f>
        <ns0:v>117506</ns0:v>
      </ns0:c>
      <ns0:c r="H205" s="18" t="n">
        <ns0:f>'신청원본'!G205</ns0:f>
        <ns0:v>1</ns0:v>
      </ns0:c>
      <ns0:c r="I205" s="19" t="n">
        <ns0:f>'신청원본'!I205</ns0:f>
        <ns0:v>0.125</ns0:v>
      </ns0:c>
      <ns0:c r="J205" s="18" t="n">
        <ns0:f>IF(F205="승인",IF(COUNTA('신청원본'!J205)=0,ROUND(G205*H205*(1-I205),'정책'!$C$8),'신청원본'!J205),0)</ns0:f>
        <ns0:v>102818</ns0:v>
      </ns0:c>
      <ns0:c r="K205" t="n">
        <ns0:f>SUMIFS('출결원본'!$D$6:$D$1445,'출결원본'!$B$6:$B$1445,B205)</ns0:f>
        <ns0:v>3</ns0:v>
      </ns0:c>
      <ns0:c r="L205" t="n">
        <ns0:f>VLOOKUP(B205,'평가원본'!$B$6:$D$485,2,FALSE)</ns0:f>
        <ns0:v>66</ns0:v>
      </ns0:c>
      <ns0:c r="M205" t="n">
        <ns0:f>VLOOKUP(B205,'평가원본'!$B$6:$D$485,3,FALSE)</ns0:f>
        <ns0:v>1</ns0:v>
      </ns0:c>
      <ns0:c r="N205" t="n">
        <ns0:f>VLOOKUP(E205,'교육기준'!$B$6:$F$17,5,FALSE)</ns0:f>
        <ns0:v>70</ns0:v>
      </ns0:c>
      <ns0:c r="O205" t="n">
        <ns0:f>IF(AND(F205="승인",K205&gt;='정책'!$C$6,M205=1,L205&gt;=N205),1,0)</ns0:f>
        <ns0:v>0</ns0:v>
      </ns0:c>
    </ns0:row>
    <ns0:row r="206">
      <ns0:c r="B206" s="17" t="str">
        <ns0:f>'신청원본'!B206</ns0:f>
        <ns0:v>APP000201</ns0:v>
      </ns0:c>
      <ns0:c r="C206" s="17" t="str">
        <ns0:f>'신청원본'!C206</ns0:f>
        <ns0:v>000041</ns0:v>
      </ns0:c>
      <ns0:c r="D206" t="str">
        <ns0:f>'신청원본'!D206</ns0:f>
        <ns0:v>영업</ns0:v>
      </ns0:c>
      <ns0:c r="E206" t="str">
        <ns0:f>'신청원본'!E206</ns0:f>
        <ns0:v>C09</ns0:v>
      </ns0:c>
      <ns0:c r="F206" t="str">
        <ns0:f>'신청원본'!H206</ns0:f>
        <ns0:v>승인</ns0:v>
      </ns0:c>
      <ns0:c r="G206" s="18" t="n">
        <ns0:f>VLOOKUP(E206,'교육기준'!$B$6:$F$17,3,FALSE)</ns0:f>
        <ns0:v>240013</ns0:v>
      </ns0:c>
      <ns0:c r="H206" s="18" t="n">
        <ns0:f>'신청원본'!G206</ns0:f>
        <ns0:v>2</ns0:v>
      </ns0:c>
      <ns0:c r="I206" s="19" t="n">
        <ns0:f>'신청원본'!I206</ns0:f>
        <ns0:v>0</ns0:v>
      </ns0:c>
      <ns0:c r="J206" s="18" t="n">
        <ns0:f>IF(F206="승인",IF(COUNTA('신청원본'!J206)=0,ROUND(G206*H206*(1-I206),'정책'!$C$8),'신청원본'!J206),0)</ns0:f>
        <ns0:v>480026</ns0:v>
      </ns0:c>
      <ns0:c r="K206" t="n">
        <ns0:f>SUMIFS('출결원본'!$D$6:$D$1445,'출결원본'!$B$6:$B$1445,B206)</ns0:f>
        <ns0:v>3</ns0:v>
      </ns0:c>
      <ns0:c r="L206" t="n">
        <ns0:f>VLOOKUP(B206,'평가원본'!$B$6:$D$485,2,FALSE)</ns0:f>
        <ns0:v>73</ns0:v>
      </ns0:c>
      <ns0:c r="M206" t="n">
        <ns0:f>VLOOKUP(B206,'평가원본'!$B$6:$D$485,3,FALSE)</ns0:f>
        <ns0:v>1</ns0:v>
      </ns0:c>
      <ns0:c r="N206" t="n">
        <ns0:f>VLOOKUP(E206,'교육기준'!$B$6:$F$17,5,FALSE)</ns0:f>
        <ns0:v>80</ns0:v>
      </ns0:c>
      <ns0:c r="O206" t="n">
        <ns0:f>IF(AND(F206="승인",K206&gt;='정책'!$C$6,M206=1,L206&gt;=N206),1,0)</ns0:f>
        <ns0:v>0</ns0:v>
      </ns0:c>
    </ns0:row>
    <ns0:row r="207">
      <ns0:c r="B207" s="17" t="str">
        <ns0:f>'신청원본'!B207</ns0:f>
        <ns0:v>APP000202</ns0:v>
      </ns0:c>
      <ns0:c r="C207" s="17" t="str">
        <ns0:f>'신청원본'!C207</ns0:f>
        <ns0:v>000042</ns0:v>
      </ns0:c>
      <ns0:c r="D207" t="str">
        <ns0:f>'신청원본'!D207</ns0:f>
        <ns0:v>지원</ns0:v>
      </ns0:c>
      <ns0:c r="E207" t="str">
        <ns0:f>'신청원본'!E207</ns0:f>
        <ns0:v>C04</ns0:v>
      </ns0:c>
      <ns0:c r="F207" t="str">
        <ns0:f>'신청원본'!H207</ns0:f>
        <ns0:v>승인</ns0:v>
      </ns0:c>
      <ns0:c r="G207" s="18" t="n">
        <ns0:f>VLOOKUP(E207,'교육기준'!$B$6:$F$17,3,FALSE)</ns0:f>
        <ns0:v>152508</ns0:v>
      </ns0:c>
      <ns0:c r="H207" s="18" t="n">
        <ns0:f>'신청원본'!G207</ns0:f>
        <ns0:v>3</ns0:v>
      </ns0:c>
      <ns0:c r="I207" s="19" t="n">
        <ns0:f>'신청원본'!I207</ns0:f>
        <ns0:v>0.05</ns0:v>
      </ns0:c>
      <ns0:c r="J207" s="18" t="n">
        <ns0:f>IF(F207="승인",IF(COUNTA('신청원본'!J207)=0,ROUND(G207*H207*(1-I207),'정책'!$C$8),'신청원본'!J207),0)</ns0:f>
        <ns0:v>434648</ns0:v>
      </ns0:c>
      <ns0:c r="K207" t="n">
        <ns0:f>SUMIFS('출결원본'!$D$6:$D$1445,'출결원본'!$B$6:$B$1445,B207)</ns0:f>
        <ns0:v>3</ns0:v>
      </ns0:c>
      <ns0:c r="L207" t="n">
        <ns0:f>VLOOKUP(B207,'평가원본'!$B$6:$D$485,2,FALSE)</ns0:f>
        <ns0:v>80</ns0:v>
      </ns0:c>
      <ns0:c r="M207" t="n">
        <ns0:f>VLOOKUP(B207,'평가원본'!$B$6:$D$485,3,FALSE)</ns0:f>
        <ns0:v>1</ns0:v>
      </ns0:c>
      <ns0:c r="N207" t="n">
        <ns0:f>VLOOKUP(E207,'교육기준'!$B$6:$F$17,5,FALSE)</ns0:f>
        <ns0:v>60</ns0:v>
      </ns0:c>
      <ns0:c r="O207" t="n">
        <ns0:f>IF(AND(F207="승인",K207&gt;='정책'!$C$6,M207=1,L207&gt;=N207),1,0)</ns0:f>
        <ns0:v>1</ns0:v>
      </ns0:c>
    </ns0:row>
    <ns0:row r="208">
      <ns0:c r="B208" s="17" t="str">
        <ns0:f>'신청원본'!B208</ns0:f>
        <ns0:v>APP000203</ns0:v>
      </ns0:c>
      <ns0:c r="C208" s="17" t="str">
        <ns0:f>'신청원본'!C208</ns0:f>
        <ns0:v>000043</ns0:v>
      </ns0:c>
      <ns0:c r="D208" t="str">
        <ns0:f>'신청원본'!D208</ns0:f>
        <ns0:v>개발</ns0:v>
      </ns0:c>
      <ns0:c r="E208" t="str">
        <ns0:f>'신청원본'!E208</ns0:f>
        <ns0:v>C11</ns0:v>
      </ns0:c>
      <ns0:c r="F208" t="str">
        <ns0:f>'신청원본'!H208</ns0:f>
        <ns0:v>승인</ns0:v>
      </ns0:c>
      <ns0:c r="G208" s="18" t="n">
        <ns0:f>VLOOKUP(E208,'교육기준'!$B$6:$F$17,3,FALSE)</ns0:f>
        <ns0:v>275015</ns0:v>
      </ns0:c>
      <ns0:c r="H208" s="18" t="n">
        <ns0:f>'신청원본'!G208</ns0:f>
        <ns0:v>4</ns0:v>
      </ns0:c>
      <ns0:c r="I208" s="19" t="n">
        <ns0:f>'신청원본'!I208</ns0:f>
        <ns0:v>0.1</ns0:v>
      </ns0:c>
      <ns0:c r="J208" s="18" t="n">
        <ns0:f>IF(F208="승인",IF(COUNTA('신청원본'!J208)=0,ROUND(G208*H208*(1-I208),'정책'!$C$8),'신청원본'!J208),0)</ns0:f>
        <ns0:v>990054</ns0:v>
      </ns0:c>
      <ns0:c r="K208" t="n">
        <ns0:f>SUMIFS('출결원본'!$D$6:$D$1445,'출결원본'!$B$6:$B$1445,B208)</ns0:f>
        <ns0:v>3</ns0:v>
      </ns0:c>
      <ns0:c r="L208" t="n">
        <ns0:f>VLOOKUP(B208,'평가원본'!$B$6:$D$485,2,FALSE)</ns0:f>
        <ns0:v>87</ns0:v>
      </ns0:c>
      <ns0:c r="M208" t="n">
        <ns0:f>VLOOKUP(B208,'평가원본'!$B$6:$D$485,3,FALSE)</ns0:f>
        <ns0:v>1</ns0:v>
      </ns0:c>
      <ns0:c r="N208" t="n">
        <ns0:f>VLOOKUP(E208,'교육기준'!$B$6:$F$17,5,FALSE)</ns0:f>
        <ns0:v>70</ns0:v>
      </ns0:c>
      <ns0:c r="O208" t="n">
        <ns0:f>IF(AND(F208="승인",K208&gt;='정책'!$C$6,M208=1,L208&gt;=N208),1,0)</ns0:f>
        <ns0:v>1</ns0:v>
      </ns0:c>
    </ns0:row>
    <ns0:row r="209">
      <ns0:c r="B209" s="17" t="str">
        <ns0:f>'신청원본'!B209</ns0:f>
        <ns0:v>APP000204</ns0:v>
      </ns0:c>
      <ns0:c r="C209" s="17" t="str">
        <ns0:f>'신청원본'!C209</ns0:f>
        <ns0:v>000044</ns0:v>
      </ns0:c>
      <ns0:c r="D209" t="str">
        <ns0:f>'신청원본'!D209</ns0:f>
        <ns0:v>생산</ns0:v>
      </ns0:c>
      <ns0:c r="E209" t="str">
        <ns0:f>'신청원본'!E209</ns0:f>
        <ns0:v>C06</ns0:v>
      </ns0:c>
      <ns0:c r="F209" t="str">
        <ns0:f>'신청원본'!H209</ns0:f>
        <ns0:v>대기</ns0:v>
      </ns0:c>
      <ns0:c r="G209" s="18" t="n">
        <ns0:f>VLOOKUP(E209,'교육기준'!$B$6:$F$17,3,FALSE)</ns0:f>
        <ns0:v>187510</ns0:v>
      </ns0:c>
      <ns0:c r="H209" s="18" t="n">
        <ns0:f>'신청원본'!G209</ns0:f>
        <ns0:v>5</ns0:v>
      </ns0:c>
      <ns0:c r="I209" s="19" t="n">
        <ns0:f>'신청원본'!I209</ns0:f>
        <ns0:v>0.125</ns0:v>
      </ns0:c>
      <ns0:c r="J209" s="18" t="n">
        <ns0:f>IF(F209="승인",IF(COUNTA('신청원본'!J209)=0,ROUND(G209*H209*(1-I209),'정책'!$C$8),'신청원본'!J209),0)</ns0:f>
        <ns0:v>0</ns0:v>
      </ns0:c>
      <ns0:c r="K209" t="n">
        <ns0:f>SUMIFS('출결원본'!$D$6:$D$1445,'출결원본'!$B$6:$B$1445,B209)</ns0:f>
        <ns0:v>3</ns0:v>
      </ns0:c>
      <ns0:c r="L209" t="n">
        <ns0:f>VLOOKUP(B209,'평가원본'!$B$6:$D$485,2,FALSE)</ns0:f>
        <ns0:v>94</ns0:v>
      </ns0:c>
      <ns0:c r="M209" t="n">
        <ns0:f>VLOOKUP(B209,'평가원본'!$B$6:$D$485,3,FALSE)</ns0:f>
        <ns0:v>1</ns0:v>
      </ns0:c>
      <ns0:c r="N209" t="n">
        <ns0:f>VLOOKUP(E209,'교육기준'!$B$6:$F$17,5,FALSE)</ns0:f>
        <ns0:v>80</ns0:v>
      </ns0:c>
      <ns0:c r="O209" t="n">
        <ns0:f>IF(AND(F209="승인",K209&gt;='정책'!$C$6,M209=1,L209&gt;=N209),1,0)</ns0:f>
        <ns0:v>0</ns0:v>
      </ns0:c>
    </ns0:row>
    <ns0:row r="210">
      <ns0:c r="B210" s="17" t="str">
        <ns0:f>'신청원본'!B210</ns0:f>
        <ns0:v>APP000205</ns0:v>
      </ns0:c>
      <ns0:c r="C210" s="17" t="str">
        <ns0:f>'신청원본'!C210</ns0:f>
        <ns0:v>000045</ns0:v>
      </ns0:c>
      <ns0:c r="D210" t="str">
        <ns0:f>'신청원본'!D210</ns0:f>
        <ns0:v>품질</ns0:v>
      </ns0:c>
      <ns0:c r="E210" t="str">
        <ns0:f>'신청원본'!E210</ns0:f>
        <ns0:v>C01</ns0:v>
      </ns0:c>
      <ns0:c r="F210" t="str">
        <ns0:f>'신청원본'!H210</ns0:f>
        <ns0:v>승인</ns0:v>
      </ns0:c>
      <ns0:c r="G210" s="18" t="n">
        <ns0:f>VLOOKUP(E210,'교육기준'!$B$6:$F$17,3,FALSE)</ns0:f>
        <ns0:v>100005</ns0:v>
      </ns0:c>
      <ns0:c r="H210" s="18" t="n">
        <ns0:f>'신청원본'!G210</ns0:f>
        <ns0:v>0</ns0:v>
      </ns0:c>
      <ns0:c r="I210" s="19" t="n">
        <ns0:f>'신청원본'!I210</ns0:f>
        <ns0:v>0</ns0:v>
      </ns0:c>
      <ns0:c r="J210" s="18" t="n">
        <ns0:f>IF(F210="승인",IF(COUNTA('신청원본'!J210)=0,ROUND(G210*H210*(1-I210),'정책'!$C$8),'신청원본'!J210),0)</ns0:f>
        <ns0:v>0</ns0:v>
      </ns0:c>
      <ns0:c r="K210" t="n">
        <ns0:f>SUMIFS('출결원본'!$D$6:$D$1445,'출결원본'!$B$6:$B$1445,B210)</ns0:f>
        <ns0:v>3</ns0:v>
      </ns0:c>
      <ns0:c r="L210" t="n">
        <ns0:f>VLOOKUP(B210,'평가원본'!$B$6:$D$485,2,FALSE)</ns0:f>
        <ns0:v>50</ns0:v>
      </ns0:c>
      <ns0:c r="M210" t="n">
        <ns0:f>VLOOKUP(B210,'평가원본'!$B$6:$D$485,3,FALSE)</ns0:f>
        <ns0:v>1</ns0:v>
      </ns0:c>
      <ns0:c r="N210" t="n">
        <ns0:f>VLOOKUP(E210,'교육기준'!$B$6:$F$17,5,FALSE)</ns0:f>
        <ns0:v>60</ns0:v>
      </ns0:c>
      <ns0:c r="O210" t="n">
        <ns0:f>IF(AND(F210="승인",K210&gt;='정책'!$C$6,M210=1,L210&gt;=N210),1,0)</ns0:f>
        <ns0:v>0</ns0:v>
      </ns0:c>
    </ns0:row>
    <ns0:row r="211">
      <ns0:c r="B211" s="17" t="str">
        <ns0:f>'신청원본'!B211</ns0:f>
        <ns0:v>APP000206</ns0:v>
      </ns0:c>
      <ns0:c r="C211" s="17" t="str">
        <ns0:f>'신청원본'!C211</ns0:f>
        <ns0:v>000046</ns0:v>
      </ns0:c>
      <ns0:c r="D211" t="str">
        <ns0:f>'신청원본'!D211</ns0:f>
        <ns0:v>기획</ns0:v>
      </ns0:c>
      <ns0:c r="E211" t="str">
        <ns0:f>'신청원본'!E211</ns0:f>
        <ns0:v>C08</ns0:v>
      </ns0:c>
      <ns0:c r="F211" t="str">
        <ns0:f>'신청원본'!H211</ns0:f>
        <ns0:v>승인</ns0:v>
      </ns0:c>
      <ns0:c r="G211" s="18" t="n">
        <ns0:f>VLOOKUP(E211,'교육기준'!$B$6:$F$17,3,FALSE)</ns0:f>
        <ns0:v>222512</ns0:v>
      </ns0:c>
      <ns0:c r="H211" s="18" t="n">
        <ns0:f>'신청원본'!G211</ns0:f>
        <ns0:v>1</ns0:v>
      </ns0:c>
      <ns0:c r="I211" s="19" t="n">
        <ns0:f>'신청원본'!I211</ns0:f>
        <ns0:v>0.05</ns0:v>
      </ns0:c>
      <ns0:c r="J211" s="18" t="n">
        <ns0:f>IF(F211="승인",IF(COUNTA('신청원본'!J211)=0,ROUND(G211*H211*(1-I211),'정책'!$C$8),'신청원본'!J211),0)</ns0:f>
        <ns0:v>211386</ns0:v>
      </ns0:c>
      <ns0:c r="K211" t="n">
        <ns0:f>SUMIFS('출결원본'!$D$6:$D$1445,'출결원본'!$B$6:$B$1445,B211)</ns0:f>
        <ns0:v>3</ns0:v>
      </ns0:c>
      <ns0:c r="L211" t="n">
        <ns0:f>VLOOKUP(B211,'평가원본'!$B$6:$D$485,2,FALSE)</ns0:f>
        <ns0:v>57</ns0:v>
      </ns0:c>
      <ns0:c r="M211" t="n">
        <ns0:f>VLOOKUP(B211,'평가원본'!$B$6:$D$485,3,FALSE)</ns0:f>
        <ns0:v>1</ns0:v>
      </ns0:c>
      <ns0:c r="N211" t="n">
        <ns0:f>VLOOKUP(E211,'교육기준'!$B$6:$F$17,5,FALSE)</ns0:f>
        <ns0:v>70</ns0:v>
      </ns0:c>
      <ns0:c r="O211" t="n">
        <ns0:f>IF(AND(F211="승인",K211&gt;='정책'!$C$6,M211=1,L211&gt;=N211),1,0)</ns0:f>
        <ns0:v>0</ns0:v>
      </ns0:c>
    </ns0:row>
    <ns0:row r="212">
      <ns0:c r="B212" s="17" t="str">
        <ns0:f>'신청원본'!B212</ns0:f>
        <ns0:v>APP000207</ns0:v>
      </ns0:c>
      <ns0:c r="C212" s="17" t="str">
        <ns0:f>'신청원본'!C212</ns0:f>
        <ns0:v>000047</ns0:v>
      </ns0:c>
      <ns0:c r="D212" t="str">
        <ns0:f>'신청원본'!D212</ns0:f>
        <ns0:v>영업</ns0:v>
      </ns0:c>
      <ns0:c r="E212" t="str">
        <ns0:f>'신청원본'!E212</ns0:f>
        <ns0:v>C03</ns0:v>
      </ns0:c>
      <ns0:c r="F212" t="str">
        <ns0:f>'신청원본'!H212</ns0:f>
        <ns0:v>승인</ns0:v>
      </ns0:c>
      <ns0:c r="G212" s="18" t="n">
        <ns0:f>VLOOKUP(E212,'교육기준'!$B$6:$F$17,3,FALSE)</ns0:f>
        <ns0:v>135007</ns0:v>
      </ns0:c>
      <ns0:c r="H212" s="18" t="n">
        <ns0:f>'신청원본'!G212</ns0:f>
        <ns0:v>2</ns0:v>
      </ns0:c>
      <ns0:c r="I212" s="19" t="n">
        <ns0:f>'신청원본'!I212</ns0:f>
        <ns0:v>0.1</ns0:v>
      </ns0:c>
      <ns0:c r="J212" s="18" t="n">
        <ns0:f>IF(F212="승인",IF(COUNTA('신청원본'!J212)=0,ROUND(G212*H212*(1-I212),'정책'!$C$8),'신청원본'!J212),0)</ns0:f>
        <ns0:v>243013</ns0:v>
      </ns0:c>
      <ns0:c r="K212" t="n">
        <ns0:f>SUMIFS('출결원본'!$D$6:$D$1445,'출결원본'!$B$6:$B$1445,B212)</ns0:f>
        <ns0:v>3</ns0:v>
      </ns0:c>
      <ns0:c r="L212" t="n">
        <ns0:f>VLOOKUP(B212,'평가원본'!$B$6:$D$485,2,FALSE)</ns0:f>
        <ns0:v>64</ns0:v>
      </ns0:c>
      <ns0:c r="M212" t="n">
        <ns0:f>VLOOKUP(B212,'평가원본'!$B$6:$D$485,3,FALSE)</ns0:f>
        <ns0:v>1</ns0:v>
      </ns0:c>
      <ns0:c r="N212" t="n">
        <ns0:f>VLOOKUP(E212,'교육기준'!$B$6:$F$17,5,FALSE)</ns0:f>
        <ns0:v>80</ns0:v>
      </ns0:c>
      <ns0:c r="O212" t="n">
        <ns0:f>IF(AND(F212="승인",K212&gt;='정책'!$C$6,M212=1,L212&gt;=N212),1,0)</ns0:f>
        <ns0:v>0</ns0:v>
      </ns0:c>
    </ns0:row>
    <ns0:row r="213">
      <ns0:c r="B213" s="17" t="str">
        <ns0:f>'신청원본'!B213</ns0:f>
        <ns0:v>APP000208</ns0:v>
      </ns0:c>
      <ns0:c r="C213" s="17" t="str">
        <ns0:f>'신청원본'!C213</ns0:f>
        <ns0:v>000048</ns0:v>
      </ns0:c>
      <ns0:c r="D213" t="str">
        <ns0:f>'신청원본'!D213</ns0:f>
        <ns0:v>지원</ns0:v>
      </ns0:c>
      <ns0:c r="E213" t="str">
        <ns0:f>'신청원본'!E213</ns0:f>
        <ns0:v>C10</ns0:v>
      </ns0:c>
      <ns0:c r="F213" t="str">
        <ns0:f>'신청원본'!H213</ns0:f>
        <ns0:v>승인</ns0:v>
      </ns0:c>
      <ns0:c r="G213" s="18" t="n">
        <ns0:f>VLOOKUP(E213,'교육기준'!$B$6:$F$17,3,FALSE)</ns0:f>
        <ns0:v>257514</ns0:v>
      </ns0:c>
      <ns0:c r="H213" s="18" t="n">
        <ns0:f>'신청원본'!G213</ns0:f>
        <ns0:v>3</ns0:v>
      </ns0:c>
      <ns0:c r="I213" s="19" t="n">
        <ns0:f>'신청원본'!I213</ns0:f>
        <ns0:v>0.125</ns0:v>
      </ns0:c>
      <ns0:c r="J213" s="18" t="n">
        <ns0:f>IF(F213="승인",IF(COUNTA('신청원본'!J213)=0,ROUND(G213*H213*(1-I213),'정책'!$C$8),'신청원본'!J213),0)</ns0:f>
        <ns0:v>675974</ns0:v>
      </ns0:c>
      <ns0:c r="K213" t="n">
        <ns0:f>SUMIFS('출결원본'!$D$6:$D$1445,'출결원본'!$B$6:$B$1445,B213)</ns0:f>
        <ns0:v>2</ns0:v>
      </ns0:c>
      <ns0:c r="L213" t="n">
        <ns0:f>VLOOKUP(B213,'평가원본'!$B$6:$D$485,2,FALSE)</ns0:f>
        <ns0:v>71</ns0:v>
      </ns0:c>
      <ns0:c r="M213" t="n">
        <ns0:f>VLOOKUP(B213,'평가원본'!$B$6:$D$485,3,FALSE)</ns0:f>
        <ns0:v>1</ns0:v>
      </ns0:c>
      <ns0:c r="N213" t="n">
        <ns0:f>VLOOKUP(E213,'교육기준'!$B$6:$F$17,5,FALSE)</ns0:f>
        <ns0:v>60</ns0:v>
      </ns0:c>
      <ns0:c r="O213" t="n">
        <ns0:f>IF(AND(F213="승인",K213&gt;='정책'!$C$6,M213=1,L213&gt;=N213),1,0)</ns0:f>
        <ns0:v>0</ns0:v>
      </ns0:c>
    </ns0:row>
    <ns0:row r="214">
      <ns0:c r="B214" s="17" t="str">
        <ns0:f>'신청원본'!B214</ns0:f>
        <ns0:v>APP000209</ns0:v>
      </ns0:c>
      <ns0:c r="C214" s="17" t="str">
        <ns0:f>'신청원본'!C214</ns0:f>
        <ns0:v>000049</ns0:v>
      </ns0:c>
      <ns0:c r="D214" t="str">
        <ns0:f>'신청원본'!D214</ns0:f>
        <ns0:v>개발</ns0:v>
      </ns0:c>
      <ns0:c r="E214" t="str">
        <ns0:f>'신청원본'!E214</ns0:f>
        <ns0:v>C05</ns0:v>
      </ns0:c>
      <ns0:c r="F214" t="str">
        <ns0:f>'신청원본'!H214</ns0:f>
        <ns0:v>승인</ns0:v>
      </ns0:c>
      <ns0:c r="G214" s="18" t="n">
        <ns0:f>VLOOKUP(E214,'교육기준'!$B$6:$F$17,3,FALSE)</ns0:f>
        <ns0:v>170009</ns0:v>
      </ns0:c>
      <ns0:c r="H214" s="18" t="n">
        <ns0:f>'신청원본'!G214</ns0:f>
        <ns0:v>4</ns0:v>
      </ns0:c>
      <ns0:c r="I214" s="19" t="n">
        <ns0:f>'신청원본'!I214</ns0:f>
        <ns0:v>0</ns0:v>
      </ns0:c>
      <ns0:c r="J214" s="18" t="n">
        <ns0:f>IF(F214="승인",IF(COUNTA('신청원본'!J214)=0,ROUND(G214*H214*(1-I214),'정책'!$C$8),'신청원본'!J214),0)</ns0:f>
        <ns0:v>680036</ns0:v>
      </ns0:c>
      <ns0:c r="K214" t="n">
        <ns0:f>SUMIFS('출결원본'!$D$6:$D$1445,'출결원본'!$B$6:$B$1445,B214)</ns0:f>
        <ns0:v>2</ns0:v>
      </ns0:c>
      <ns0:c r="L214" t="n">
        <ns0:f>VLOOKUP(B214,'평가원본'!$B$6:$D$485,2,FALSE)</ns0:f>
        <ns0:v>78</ns0:v>
      </ns0:c>
      <ns0:c r="M214" t="n">
        <ns0:f>VLOOKUP(B214,'평가원본'!$B$6:$D$485,3,FALSE)</ns0:f>
        <ns0:v>1</ns0:v>
      </ns0:c>
      <ns0:c r="N214" t="n">
        <ns0:f>VLOOKUP(E214,'교육기준'!$B$6:$F$17,5,FALSE)</ns0:f>
        <ns0:v>70</ns0:v>
      </ns0:c>
      <ns0:c r="O214" t="n">
        <ns0:f>IF(AND(F214="승인",K214&gt;='정책'!$C$6,M214=1,L214&gt;=N214),1,0)</ns0:f>
        <ns0:v>0</ns0:v>
      </ns0:c>
    </ns0:row>
    <ns0:row r="215">
      <ns0:c r="B215" s="17" t="str">
        <ns0:f>'신청원본'!B215</ns0:f>
        <ns0:v>APP000210</ns0:v>
      </ns0:c>
      <ns0:c r="C215" s="17" t="str">
        <ns0:f>'신청원본'!C215</ns0:f>
        <ns0:v>000050</ns0:v>
      </ns0:c>
      <ns0:c r="D215" t="str">
        <ns0:f>'신청원본'!D215</ns0:f>
        <ns0:v>생산</ns0:v>
      </ns0:c>
      <ns0:c r="E215" t="str">
        <ns0:f>'신청원본'!E215</ns0:f>
        <ns0:v>C12</ns0:v>
      </ns0:c>
      <ns0:c r="F215" t="str">
        <ns0:f>'신청원본'!H215</ns0:f>
        <ns0:v>취소</ns0:v>
      </ns0:c>
      <ns0:c r="G215" s="18" t="n">
        <ns0:f>VLOOKUP(E215,'교육기준'!$B$6:$F$17,3,FALSE)</ns0:f>
        <ns0:v>292516</ns0:v>
      </ns0:c>
      <ns0:c r="H215" s="18" t="n">
        <ns0:f>'신청원본'!G215</ns0:f>
        <ns0:v>5</ns0:v>
      </ns0:c>
      <ns0:c r="I215" s="19" t="n">
        <ns0:f>'신청원본'!I215</ns0:f>
        <ns0:v>0.05</ns0:v>
      </ns0:c>
      <ns0:c r="J215" s="18" t="n">
        <ns0:f>IF(F215="승인",IF(COUNTA('신청원본'!J215)=0,ROUND(G215*H215*(1-I215),'정책'!$C$8),'신청원본'!J215),0)</ns0:f>
        <ns0:v>0</ns0:v>
      </ns0:c>
      <ns0:c r="K215" t="n">
        <ns0:f>SUMIFS('출결원본'!$D$6:$D$1445,'출결원본'!$B$6:$B$1445,B215)</ns0:f>
        <ns0:v>3</ns0:v>
      </ns0:c>
      <ns0:c r="L215" t="n">
        <ns0:f>VLOOKUP(B215,'평가원본'!$B$6:$D$485,2,FALSE)</ns0:f>
        <ns0:v>85</ns0:v>
      </ns0:c>
      <ns0:c r="M215" t="n">
        <ns0:f>VLOOKUP(B215,'평가원본'!$B$6:$D$485,3,FALSE)</ns0:f>
        <ns0:v>0</ns0:v>
      </ns0:c>
      <ns0:c r="N215" t="n">
        <ns0:f>VLOOKUP(E215,'교육기준'!$B$6:$F$17,5,FALSE)</ns0:f>
        <ns0:v>80</ns0:v>
      </ns0:c>
      <ns0:c r="O215" t="n">
        <ns0:f>IF(AND(F215="승인",K215&gt;='정책'!$C$6,M215=1,L215&gt;=N215),1,0)</ns0:f>
        <ns0:v>0</ns0:v>
      </ns0:c>
    </ns0:row>
    <ns0:row r="216">
      <ns0:c r="B216" s="17" t="str">
        <ns0:f>'신청원본'!B216</ns0:f>
        <ns0:v>APP000211</ns0:v>
      </ns0:c>
      <ns0:c r="C216" s="17" t="str">
        <ns0:f>'신청원본'!C216</ns0:f>
        <ns0:v>000051</ns0:v>
      </ns0:c>
      <ns0:c r="D216" t="str">
        <ns0:f>'신청원본'!D216</ns0:f>
        <ns0:v>품질</ns0:v>
      </ns0:c>
      <ns0:c r="E216" t="str">
        <ns0:f>'신청원본'!E216</ns0:f>
        <ns0:v>C07</ns0:v>
      </ns0:c>
      <ns0:c r="F216" t="str">
        <ns0:f>'신청원본'!H216</ns0:f>
        <ns0:v>대기</ns0:v>
      </ns0:c>
      <ns0:c r="G216" s="18" t="n">
        <ns0:f>VLOOKUP(E216,'교육기준'!$B$6:$F$17,3,FALSE)</ns0:f>
        <ns0:v>205011</ns0:v>
      </ns0:c>
      <ns0:c r="H216" s="18" t="n">
        <ns0:f>'신청원본'!G216</ns0:f>
        <ns0:v>0</ns0:v>
      </ns0:c>
      <ns0:c r="I216" s="19" t="n">
        <ns0:f>'신청원본'!I216</ns0:f>
        <ns0:v>0.1</ns0:v>
      </ns0:c>
      <ns0:c r="J216" s="18" t="n">
        <ns0:f>IF(F216="승인",IF(COUNTA('신청원본'!J216)=0,ROUND(G216*H216*(1-I216),'정책'!$C$8),'신청원본'!J216),0)</ns0:f>
        <ns0:v>0</ns0:v>
      </ns0:c>
      <ns0:c r="K216" t="n">
        <ns0:f>SUMIFS('출결원본'!$D$6:$D$1445,'출결원본'!$B$6:$B$1445,B216)</ns0:f>
        <ns0:v>3</ns0:v>
      </ns0:c>
      <ns0:c r="L216" t="n">
        <ns0:f>VLOOKUP(B216,'평가원본'!$B$6:$D$485,2,FALSE)</ns0:f>
        <ns0:v>92</ns0:v>
      </ns0:c>
      <ns0:c r="M216" t="n">
        <ns0:f>VLOOKUP(B216,'평가원본'!$B$6:$D$485,3,FALSE)</ns0:f>
        <ns0:v>1</ns0:v>
      </ns0:c>
      <ns0:c r="N216" t="n">
        <ns0:f>VLOOKUP(E216,'교육기준'!$B$6:$F$17,5,FALSE)</ns0:f>
        <ns0:v>60</ns0:v>
      </ns0:c>
      <ns0:c r="O216" t="n">
        <ns0:f>IF(AND(F216="승인",K216&gt;='정책'!$C$6,M216=1,L216&gt;=N216),1,0)</ns0:f>
        <ns0:v>0</ns0:v>
      </ns0:c>
    </ns0:row>
    <ns0:row r="217">
      <ns0:c r="B217" s="17" t="str">
        <ns0:f>'신청원본'!B217</ns0:f>
        <ns0:v>APP000212</ns0:v>
      </ns0:c>
      <ns0:c r="C217" s="17" t="str">
        <ns0:f>'신청원본'!C217</ns0:f>
        <ns0:v>000052</ns0:v>
      </ns0:c>
      <ns0:c r="D217" t="str">
        <ns0:f>'신청원본'!D217</ns0:f>
        <ns0:v>기획</ns0:v>
      </ns0:c>
      <ns0:c r="E217" t="str">
        <ns0:f>'신청원본'!E217</ns0:f>
        <ns0:v>C02</ns0:v>
      </ns0:c>
      <ns0:c r="F217" t="str">
        <ns0:f>'신청원본'!H217</ns0:f>
        <ns0:v>승인</ns0:v>
      </ns0:c>
      <ns0:c r="G217" s="18" t="n">
        <ns0:f>VLOOKUP(E217,'교육기준'!$B$6:$F$17,3,FALSE)</ns0:f>
        <ns0:v>117506</ns0:v>
      </ns0:c>
      <ns0:c r="H217" s="18" t="n">
        <ns0:f>'신청원본'!G217</ns0:f>
        <ns0:v>1</ns0:v>
      </ns0:c>
      <ns0:c r="I217" s="19" t="n">
        <ns0:f>'신청원본'!I217</ns0:f>
        <ns0:v>0.125</ns0:v>
      </ns0:c>
      <ns0:c r="J217" s="18" t="n">
        <ns0:f>IF(F217="승인",IF(COUNTA('신청원본'!J217)=0,ROUND(G217*H217*(1-I217),'정책'!$C$8),'신청원본'!J217),0)</ns0:f>
        <ns0:v>102818</ns0:v>
      </ns0:c>
      <ns0:c r="K217" t="n">
        <ns0:f>SUMIFS('출결원본'!$D$6:$D$1445,'출결원본'!$B$6:$B$1445,B217)</ns0:f>
        <ns0:v>3</ns0:v>
      </ns0:c>
      <ns0:c r="L217" t="n">
        <ns0:f>VLOOKUP(B217,'평가원본'!$B$6:$D$485,2,FALSE)</ns0:f>
        <ns0:v>99</ns0:v>
      </ns0:c>
      <ns0:c r="M217" t="n">
        <ns0:f>VLOOKUP(B217,'평가원본'!$B$6:$D$485,3,FALSE)</ns0:f>
        <ns0:v>1</ns0:v>
      </ns0:c>
      <ns0:c r="N217" t="n">
        <ns0:f>VLOOKUP(E217,'교육기준'!$B$6:$F$17,5,FALSE)</ns0:f>
        <ns0:v>70</ns0:v>
      </ns0:c>
      <ns0:c r="O217" t="n">
        <ns0:f>IF(AND(F217="승인",K217&gt;='정책'!$C$6,M217=1,L217&gt;=N217),1,0)</ns0:f>
        <ns0:v>1</ns0:v>
      </ns0:c>
    </ns0:row>
    <ns0:row r="218">
      <ns0:c r="B218" s="17" t="str">
        <ns0:f>'신청원본'!B218</ns0:f>
        <ns0:v>APP000213</ns0:v>
      </ns0:c>
      <ns0:c r="C218" s="17" t="str">
        <ns0:f>'신청원본'!C218</ns0:f>
        <ns0:v>000053</ns0:v>
      </ns0:c>
      <ns0:c r="D218" t="str">
        <ns0:f>'신청원본'!D218</ns0:f>
        <ns0:v>영업</ns0:v>
      </ns0:c>
      <ns0:c r="E218" t="str">
        <ns0:f>'신청원본'!E218</ns0:f>
        <ns0:v>C09</ns0:v>
      </ns0:c>
      <ns0:c r="F218" t="str">
        <ns0:f>'신청원본'!H218</ns0:f>
        <ns0:v>승인</ns0:v>
      </ns0:c>
      <ns0:c r="G218" s="18" t="n">
        <ns0:f>VLOOKUP(E218,'교육기준'!$B$6:$F$17,3,FALSE)</ns0:f>
        <ns0:v>240013</ns0:v>
      </ns0:c>
      <ns0:c r="H218" s="18" t="n">
        <ns0:f>'신청원본'!G218</ns0:f>
        <ns0:v>2</ns0:v>
      </ns0:c>
      <ns0:c r="I218" s="19" t="n">
        <ns0:f>'신청원본'!I218</ns0:f>
        <ns0:v>0</ns0:v>
      </ns0:c>
      <ns0:c r="J218" s="18" t="n">
        <ns0:f>IF(F218="승인",IF(COUNTA('신청원본'!J218)=0,ROUND(G218*H218*(1-I218),'정책'!$C$8),'신청원본'!J218),0)</ns0:f>
        <ns0:v>0</ns0:v>
      </ns0:c>
      <ns0:c r="K218" t="n">
        <ns0:f>SUMIFS('출결원본'!$D$6:$D$1445,'출결원본'!$B$6:$B$1445,B218)</ns0:f>
        <ns0:v>3</ns0:v>
      </ns0:c>
      <ns0:c r="L218" t="n">
        <ns0:f>VLOOKUP(B218,'평가원본'!$B$6:$D$485,2,FALSE)</ns0:f>
        <ns0:v>55</ns0:v>
      </ns0:c>
      <ns0:c r="M218" t="n">
        <ns0:f>VLOOKUP(B218,'평가원본'!$B$6:$D$485,3,FALSE)</ns0:f>
        <ns0:v>1</ns0:v>
      </ns0:c>
      <ns0:c r="N218" t="n">
        <ns0:f>VLOOKUP(E218,'교육기준'!$B$6:$F$17,5,FALSE)</ns0:f>
        <ns0:v>80</ns0:v>
      </ns0:c>
      <ns0:c r="O218" t="n">
        <ns0:f>IF(AND(F218="승인",K218&gt;='정책'!$C$6,M218=1,L218&gt;=N218),1,0)</ns0:f>
        <ns0:v>0</ns0:v>
      </ns0:c>
    </ns0:row>
    <ns0:row r="219">
      <ns0:c r="B219" s="17" t="str">
        <ns0:f>'신청원본'!B219</ns0:f>
        <ns0:v>APP000214</ns0:v>
      </ns0:c>
      <ns0:c r="C219" s="17" t="str">
        <ns0:f>'신청원본'!C219</ns0:f>
        <ns0:v>000054</ns0:v>
      </ns0:c>
      <ns0:c r="D219" t="str">
        <ns0:f>'신청원본'!D219</ns0:f>
        <ns0:v>지원</ns0:v>
      </ns0:c>
      <ns0:c r="E219" t="str">
        <ns0:f>'신청원본'!E219</ns0:f>
        <ns0:v>C04</ns0:v>
      </ns0:c>
      <ns0:c r="F219" t="str">
        <ns0:f>'신청원본'!H219</ns0:f>
        <ns0:v>승인</ns0:v>
      </ns0:c>
      <ns0:c r="G219" s="18" t="n">
        <ns0:f>VLOOKUP(E219,'교육기준'!$B$6:$F$17,3,FALSE)</ns0:f>
        <ns0:v>152508</ns0:v>
      </ns0:c>
      <ns0:c r="H219" s="18" t="n">
        <ns0:f>'신청원본'!G219</ns0:f>
        <ns0:v>3</ns0:v>
      </ns0:c>
      <ns0:c r="I219" s="19" t="n">
        <ns0:f>'신청원본'!I219</ns0:f>
        <ns0:v>0.05</ns0:v>
      </ns0:c>
      <ns0:c r="J219" s="18" t="n">
        <ns0:f>IF(F219="승인",IF(COUNTA('신청원본'!J219)=0,ROUND(G219*H219*(1-I219),'정책'!$C$8),'신청원본'!J219),0)</ns0:f>
        <ns0:v>434648</ns0:v>
      </ns0:c>
      <ns0:c r="K219" t="n">
        <ns0:f>SUMIFS('출결원본'!$D$6:$D$1445,'출결원본'!$B$6:$B$1445,B219)</ns0:f>
        <ns0:v>3</ns0:v>
      </ns0:c>
      <ns0:c r="L219" t="n">
        <ns0:f>VLOOKUP(B219,'평가원본'!$B$6:$D$485,2,FALSE)</ns0:f>
        <ns0:v>62</ns0:v>
      </ns0:c>
      <ns0:c r="M219" t="n">
        <ns0:f>VLOOKUP(B219,'평가원본'!$B$6:$D$485,3,FALSE)</ns0:f>
        <ns0:v>1</ns0:v>
      </ns0:c>
      <ns0:c r="N219" t="n">
        <ns0:f>VLOOKUP(E219,'교육기준'!$B$6:$F$17,5,FALSE)</ns0:f>
        <ns0:v>60</ns0:v>
      </ns0:c>
      <ns0:c r="O219" t="n">
        <ns0:f>IF(AND(F219="승인",K219&gt;='정책'!$C$6,M219=1,L219&gt;=N219),1,0)</ns0:f>
        <ns0:v>1</ns0:v>
      </ns0:c>
    </ns0:row>
    <ns0:row r="220">
      <ns0:c r="B220" s="17" t="str">
        <ns0:f>'신청원본'!B220</ns0:f>
        <ns0:v>APP000215</ns0:v>
      </ns0:c>
      <ns0:c r="C220" s="17" t="str">
        <ns0:f>'신청원본'!C220</ns0:f>
        <ns0:v>000055</ns0:v>
      </ns0:c>
      <ns0:c r="D220" t="str">
        <ns0:f>'신청원본'!D220</ns0:f>
        <ns0:v>개발</ns0:v>
      </ns0:c>
      <ns0:c r="E220" t="str">
        <ns0:f>'신청원본'!E220</ns0:f>
        <ns0:v>C11</ns0:v>
      </ns0:c>
      <ns0:c r="F220" t="str">
        <ns0:f>'신청원본'!H220</ns0:f>
        <ns0:v>승인</ns0:v>
      </ns0:c>
      <ns0:c r="G220" s="18" t="n">
        <ns0:f>VLOOKUP(E220,'교육기준'!$B$6:$F$17,3,FALSE)</ns0:f>
        <ns0:v>275015</ns0:v>
      </ns0:c>
      <ns0:c r="H220" s="18" t="n">
        <ns0:f>'신청원본'!G220</ns0:f>
        <ns0:v>4</ns0:v>
      </ns0:c>
      <ns0:c r="I220" s="19" t="n">
        <ns0:f>'신청원본'!I220</ns0:f>
        <ns0:v>0.1</ns0:v>
      </ns0:c>
      <ns0:c r="J220" s="18" t="n">
        <ns0:f>IF(F220="승인",IF(COUNTA('신청원본'!J220)=0,ROUND(G220*H220*(1-I220),'정책'!$C$8),'신청원본'!J220),0)</ns0:f>
        <ns0:v>990054</ns0:v>
      </ns0:c>
      <ns0:c r="K220" t="n">
        <ns0:f>SUMIFS('출결원본'!$D$6:$D$1445,'출결원본'!$B$6:$B$1445,B220)</ns0:f>
        <ns0:v>3</ns0:v>
      </ns0:c>
      <ns0:c r="L220" t="n">
        <ns0:f>VLOOKUP(B220,'평가원본'!$B$6:$D$485,2,FALSE)</ns0:f>
        <ns0:v>69</ns0:v>
      </ns0:c>
      <ns0:c r="M220" t="n">
        <ns0:f>VLOOKUP(B220,'평가원본'!$B$6:$D$485,3,FALSE)</ns0:f>
        <ns0:v>1</ns0:v>
      </ns0:c>
      <ns0:c r="N220" t="n">
        <ns0:f>VLOOKUP(E220,'교육기준'!$B$6:$F$17,5,FALSE)</ns0:f>
        <ns0:v>70</ns0:v>
      </ns0:c>
      <ns0:c r="O220" t="n">
        <ns0:f>IF(AND(F220="승인",K220&gt;='정책'!$C$6,M220=1,L220&gt;=N220),1,0)</ns0:f>
        <ns0:v>0</ns0:v>
      </ns0:c>
    </ns0:row>
    <ns0:row r="221">
      <ns0:c r="B221" s="17" t="str">
        <ns0:f>'신청원본'!B221</ns0:f>
        <ns0:v>APP000216</ns0:v>
      </ns0:c>
      <ns0:c r="C221" s="17" t="str">
        <ns0:f>'신청원본'!C221</ns0:f>
        <ns0:v>000056</ns0:v>
      </ns0:c>
      <ns0:c r="D221" t="str">
        <ns0:f>'신청원본'!D221</ns0:f>
        <ns0:v>생산</ns0:v>
      </ns0:c>
      <ns0:c r="E221" t="str">
        <ns0:f>'신청원본'!E221</ns0:f>
        <ns0:v>C06</ns0:v>
      </ns0:c>
      <ns0:c r="F221" t="str">
        <ns0:f>'신청원본'!H221</ns0:f>
        <ns0:v>승인</ns0:v>
      </ns0:c>
      <ns0:c r="G221" s="18" t="n">
        <ns0:f>VLOOKUP(E221,'교육기준'!$B$6:$F$17,3,FALSE)</ns0:f>
        <ns0:v>187510</ns0:v>
      </ns0:c>
      <ns0:c r="H221" s="18" t="n">
        <ns0:f>'신청원본'!G221</ns0:f>
        <ns0:v>5</ns0:v>
      </ns0:c>
      <ns0:c r="I221" s="19" t="n">
        <ns0:f>'신청원본'!I221</ns0:f>
        <ns0:v>0.125</ns0:v>
      </ns0:c>
      <ns0:c r="J221" s="18" t="n">
        <ns0:f>IF(F221="승인",IF(COUNTA('신청원본'!J221)=0,ROUND(G221*H221*(1-I221),'정책'!$C$8),'신청원본'!J221),0)</ns0:f>
        <ns0:v>820356</ns0:v>
      </ns0:c>
      <ns0:c r="K221" t="n">
        <ns0:f>SUMIFS('출결원본'!$D$6:$D$1445,'출결원본'!$B$6:$B$1445,B221)</ns0:f>
        <ns0:v>3</ns0:v>
      </ns0:c>
      <ns0:c r="L221" t="n">
        <ns0:f>VLOOKUP(B221,'평가원본'!$B$6:$D$485,2,FALSE)</ns0:f>
        <ns0:v>76</ns0:v>
      </ns0:c>
      <ns0:c r="M221" t="n">
        <ns0:f>VLOOKUP(B221,'평가원본'!$B$6:$D$485,3,FALSE)</ns0:f>
        <ns0:v>1</ns0:v>
      </ns0:c>
      <ns0:c r="N221" t="n">
        <ns0:f>VLOOKUP(E221,'교육기준'!$B$6:$F$17,5,FALSE)</ns0:f>
        <ns0:v>80</ns0:v>
      </ns0:c>
      <ns0:c r="O221" t="n">
        <ns0:f>IF(AND(F221="승인",K221&gt;='정책'!$C$6,M221=1,L221&gt;=N221),1,0)</ns0:f>
        <ns0:v>0</ns0:v>
      </ns0:c>
    </ns0:row>
    <ns0:row r="222">
      <ns0:c r="B222" s="17" t="str">
        <ns0:f>'신청원본'!B222</ns0:f>
        <ns0:v>APP000217</ns0:v>
      </ns0:c>
      <ns0:c r="C222" s="17" t="str">
        <ns0:f>'신청원본'!C222</ns0:f>
        <ns0:v>000057</ns0:v>
      </ns0:c>
      <ns0:c r="D222" t="str">
        <ns0:f>'신청원본'!D222</ns0:f>
        <ns0:v>품질</ns0:v>
      </ns0:c>
      <ns0:c r="E222" t="str">
        <ns0:f>'신청원본'!E222</ns0:f>
        <ns0:v>C01</ns0:v>
      </ns0:c>
      <ns0:c r="F222" t="str">
        <ns0:f>'신청원본'!H222</ns0:f>
        <ns0:v>승인</ns0:v>
      </ns0:c>
      <ns0:c r="G222" s="18" t="n">
        <ns0:f>VLOOKUP(E222,'교육기준'!$B$6:$F$17,3,FALSE)</ns0:f>
        <ns0:v>100005</ns0:v>
      </ns0:c>
      <ns0:c r="H222" s="18" t="n">
        <ns0:f>'신청원본'!G222</ns0:f>
        <ns0:v>0</ns0:v>
      </ns0:c>
      <ns0:c r="I222" s="19" t="n">
        <ns0:f>'신청원본'!I222</ns0:f>
        <ns0:v>0</ns0:v>
      </ns0:c>
      <ns0:c r="J222" s="18" t="n">
        <ns0:f>IF(F222="승인",IF(COUNTA('신청원본'!J222)=0,ROUND(G222*H222*(1-I222),'정책'!$C$8),'신청원본'!J222),0)</ns0:f>
        <ns0:v>0</ns0:v>
      </ns0:c>
      <ns0:c r="K222" t="n">
        <ns0:f>SUMIFS('출결원본'!$D$6:$D$1445,'출결원본'!$B$6:$B$1445,B222)</ns0:f>
        <ns0:v>2</ns0:v>
      </ns0:c>
      <ns0:c r="L222" t="n">
        <ns0:f>VLOOKUP(B222,'평가원본'!$B$6:$D$485,2,FALSE)</ns0:f>
        <ns0:v>83</ns0:v>
      </ns0:c>
      <ns0:c r="M222" t="n">
        <ns0:f>VLOOKUP(B222,'평가원본'!$B$6:$D$485,3,FALSE)</ns0:f>
        <ns0:v>1</ns0:v>
      </ns0:c>
      <ns0:c r="N222" t="n">
        <ns0:f>VLOOKUP(E222,'교육기준'!$B$6:$F$17,5,FALSE)</ns0:f>
        <ns0:v>60</ns0:v>
      </ns0:c>
      <ns0:c r="O222" t="n">
        <ns0:f>IF(AND(F222="승인",K222&gt;='정책'!$C$6,M222=1,L222&gt;=N222),1,0)</ns0:f>
        <ns0:v>0</ns0:v>
      </ns0:c>
    </ns0:row>
    <ns0:row r="223">
      <ns0:c r="B223" s="17" t="str">
        <ns0:f>'신청원본'!B223</ns0:f>
        <ns0:v>APP000218</ns0:v>
      </ns0:c>
      <ns0:c r="C223" s="17" t="str">
        <ns0:f>'신청원본'!C223</ns0:f>
        <ns0:v>000058</ns0:v>
      </ns0:c>
      <ns0:c r="D223" t="str">
        <ns0:f>'신청원본'!D223</ns0:f>
        <ns0:v>기획</ns0:v>
      </ns0:c>
      <ns0:c r="E223" t="str">
        <ns0:f>'신청원본'!E223</ns0:f>
        <ns0:v>C08</ns0:v>
      </ns0:c>
      <ns0:c r="F223" t="str">
        <ns0:f>'신청원본'!H223</ns0:f>
        <ns0:v>대기</ns0:v>
      </ns0:c>
      <ns0:c r="G223" s="18" t="n">
        <ns0:f>VLOOKUP(E223,'교육기준'!$B$6:$F$17,3,FALSE)</ns0:f>
        <ns0:v>222512</ns0:v>
      </ns0:c>
      <ns0:c r="H223" s="18" t="n">
        <ns0:f>'신청원본'!G223</ns0:f>
        <ns0:v>1</ns0:v>
      </ns0:c>
      <ns0:c r="I223" s="19" t="n">
        <ns0:f>'신청원본'!I223</ns0:f>
        <ns0:v>0.05</ns0:v>
      </ns0:c>
      <ns0:c r="J223" s="18" t="n">
        <ns0:f>IF(F223="승인",IF(COUNTA('신청원본'!J223)=0,ROUND(G223*H223*(1-I223),'정책'!$C$8),'신청원본'!J223),0)</ns0:f>
        <ns0:v>0</ns0:v>
      </ns0:c>
      <ns0:c r="K223" t="n">
        <ns0:f>SUMIFS('출결원본'!$D$6:$D$1445,'출결원본'!$B$6:$B$1445,B223)</ns0:f>
        <ns0:v>3</ns0:v>
      </ns0:c>
      <ns0:c r="L223" t="n">
        <ns0:f>VLOOKUP(B223,'평가원본'!$B$6:$D$485,2,FALSE)</ns0:f>
        <ns0:v>90</ns0:v>
      </ns0:c>
      <ns0:c r="M223" t="n">
        <ns0:f>VLOOKUP(B223,'평가원본'!$B$6:$D$485,3,FALSE)</ns0:f>
        <ns0:v>1</ns0:v>
      </ns0:c>
      <ns0:c r="N223" t="n">
        <ns0:f>VLOOKUP(E223,'교육기준'!$B$6:$F$17,5,FALSE)</ns0:f>
        <ns0:v>70</ns0:v>
      </ns0:c>
      <ns0:c r="O223" t="n">
        <ns0:f>IF(AND(F223="승인",K223&gt;='정책'!$C$6,M223=1,L223&gt;=N223),1,0)</ns0:f>
        <ns0:v>0</ns0:v>
      </ns0:c>
    </ns0:row>
    <ns0:row r="224">
      <ns0:c r="B224" s="17" t="str">
        <ns0:f>'신청원본'!B224</ns0:f>
        <ns0:v>APP000219</ns0:v>
      </ns0:c>
      <ns0:c r="C224" s="17" t="str">
        <ns0:f>'신청원본'!C224</ns0:f>
        <ns0:v>000059</ns0:v>
      </ns0:c>
      <ns0:c r="D224" t="str">
        <ns0:f>'신청원본'!D224</ns0:f>
        <ns0:v>영업</ns0:v>
      </ns0:c>
      <ns0:c r="E224" t="str">
        <ns0:f>'신청원본'!E224</ns0:f>
        <ns0:v>C03</ns0:v>
      </ns0:c>
      <ns0:c r="F224" t="str">
        <ns0:f>'신청원본'!H224</ns0:f>
        <ns0:v>승인</ns0:v>
      </ns0:c>
      <ns0:c r="G224" s="18" t="n">
        <ns0:f>VLOOKUP(E224,'교육기준'!$B$6:$F$17,3,FALSE)</ns0:f>
        <ns0:v>135007</ns0:v>
      </ns0:c>
      <ns0:c r="H224" s="18" t="n">
        <ns0:f>'신청원본'!G224</ns0:f>
        <ns0:v>2</ns0:v>
      </ns0:c>
      <ns0:c r="I224" s="19" t="n">
        <ns0:f>'신청원본'!I224</ns0:f>
        <ns0:v>0.1</ns0:v>
      </ns0:c>
      <ns0:c r="J224" s="18" t="n">
        <ns0:f>IF(F224="승인",IF(COUNTA('신청원본'!J224)=0,ROUND(G224*H224*(1-I224),'정책'!$C$8),'신청원본'!J224),0)</ns0:f>
        <ns0:v>243013</ns0:v>
      </ns0:c>
      <ns0:c r="K224" t="n">
        <ns0:f>SUMIFS('출결원본'!$D$6:$D$1445,'출결원본'!$B$6:$B$1445,B224)</ns0:f>
        <ns0:v>3</ns0:v>
      </ns0:c>
      <ns0:c r="L224" t="n">
        <ns0:f>VLOOKUP(B224,'평가원본'!$B$6:$D$485,2,FALSE)</ns0:f>
        <ns0:v>97</ns0:v>
      </ns0:c>
      <ns0:c r="M224" t="n">
        <ns0:f>VLOOKUP(B224,'평가원본'!$B$6:$D$485,3,FALSE)</ns0:f>
        <ns0:v>1</ns0:v>
      </ns0:c>
      <ns0:c r="N224" t="n">
        <ns0:f>VLOOKUP(E224,'교육기준'!$B$6:$F$17,5,FALSE)</ns0:f>
        <ns0:v>80</ns0:v>
      </ns0:c>
      <ns0:c r="O224" t="n">
        <ns0:f>IF(AND(F224="승인",K224&gt;='정책'!$C$6,M224=1,L224&gt;=N224),1,0)</ns0:f>
        <ns0:v>1</ns0:v>
      </ns0:c>
    </ns0:row>
    <ns0:row r="225">
      <ns0:c r="B225" s="17" t="str">
        <ns0:f>'신청원본'!B225</ns0:f>
        <ns0:v>APP000220</ns0:v>
      </ns0:c>
      <ns0:c r="C225" s="17" t="str">
        <ns0:f>'신청원본'!C225</ns0:f>
        <ns0:v>000060</ns0:v>
      </ns0:c>
      <ns0:c r="D225" t="str">
        <ns0:f>'신청원본'!D225</ns0:f>
        <ns0:v>지원</ns0:v>
      </ns0:c>
      <ns0:c r="E225" t="str">
        <ns0:f>'신청원본'!E225</ns0:f>
        <ns0:v>C10</ns0:v>
      </ns0:c>
      <ns0:c r="F225" t="str">
        <ns0:f>'신청원본'!H225</ns0:f>
        <ns0:v>승인</ns0:v>
      </ns0:c>
      <ns0:c r="G225" s="18" t="n">
        <ns0:f>VLOOKUP(E225,'교육기준'!$B$6:$F$17,3,FALSE)</ns0:f>
        <ns0:v>257514</ns0:v>
      </ns0:c>
      <ns0:c r="H225" s="18" t="n">
        <ns0:f>'신청원본'!G225</ns0:f>
        <ns0:v>3</ns0:v>
      </ns0:c>
      <ns0:c r="I225" s="19" t="n">
        <ns0:f>'신청원본'!I225</ns0:f>
        <ns0:v>0.125</ns0:v>
      </ns0:c>
      <ns0:c r="J225" s="18" t="n">
        <ns0:f>IF(F225="승인",IF(COUNTA('신청원본'!J225)=0,ROUND(G225*H225*(1-I225),'정책'!$C$8),'신청원본'!J225),0)</ns0:f>
        <ns0:v>675974</ns0:v>
      </ns0:c>
      <ns0:c r="K225" t="n">
        <ns0:f>SUMIFS('출결원본'!$D$6:$D$1445,'출결원본'!$B$6:$B$1445,B225)</ns0:f>
        <ns0:v>3</ns0:v>
      </ns0:c>
      <ns0:c r="L225" t="n">
        <ns0:f>VLOOKUP(B225,'평가원본'!$B$6:$D$485,2,FALSE)</ns0:f>
        <ns0:v>53</ns0:v>
      </ns0:c>
      <ns0:c r="M225" t="n">
        <ns0:f>VLOOKUP(B225,'평가원본'!$B$6:$D$485,3,FALSE)</ns0:f>
        <ns0:v>1</ns0:v>
      </ns0:c>
      <ns0:c r="N225" t="n">
        <ns0:f>VLOOKUP(E225,'교육기준'!$B$6:$F$17,5,FALSE)</ns0:f>
        <ns0:v>60</ns0:v>
      </ns0:c>
      <ns0:c r="O225" t="n">
        <ns0:f>IF(AND(F225="승인",K225&gt;='정책'!$C$6,M225=1,L225&gt;=N225),1,0)</ns0:f>
        <ns0:v>0</ns0:v>
      </ns0:c>
    </ns0:row>
    <ns0:row r="226">
      <ns0:c r="B226" s="17" t="str">
        <ns0:f>'신청원본'!B226</ns0:f>
        <ns0:v>APP000221</ns0:v>
      </ns0:c>
      <ns0:c r="C226" s="17" t="str">
        <ns0:f>'신청원본'!C226</ns0:f>
        <ns0:v>000061</ns0:v>
      </ns0:c>
      <ns0:c r="D226" t="str">
        <ns0:f>'신청원본'!D226</ns0:f>
        <ns0:v>개발</ns0:v>
      </ns0:c>
      <ns0:c r="E226" t="str">
        <ns0:f>'신청원본'!E226</ns0:f>
        <ns0:v>C05</ns0:v>
      </ns0:c>
      <ns0:c r="F226" t="str">
        <ns0:f>'신청원본'!H226</ns0:f>
        <ns0:v>취소</ns0:v>
      </ns0:c>
      <ns0:c r="G226" s="18" t="n">
        <ns0:f>VLOOKUP(E226,'교육기준'!$B$6:$F$17,3,FALSE)</ns0:f>
        <ns0:v>170009</ns0:v>
      </ns0:c>
      <ns0:c r="H226" s="18" t="n">
        <ns0:f>'신청원본'!G226</ns0:f>
        <ns0:v>4</ns0:v>
      </ns0:c>
      <ns0:c r="I226" s="19" t="n">
        <ns0:f>'신청원본'!I226</ns0:f>
        <ns0:v>0</ns0:v>
      </ns0:c>
      <ns0:c r="J226" s="18" t="n">
        <ns0:f>IF(F226="승인",IF(COUNTA('신청원본'!J226)=0,ROUND(G226*H226*(1-I226),'정책'!$C$8),'신청원본'!J226),0)</ns0:f>
        <ns0:v>0</ns0:v>
      </ns0:c>
      <ns0:c r="K226" t="n">
        <ns0:f>SUMIFS('출결원본'!$D$6:$D$1445,'출결원본'!$B$6:$B$1445,B226)</ns0:f>
        <ns0:v>3</ns0:v>
      </ns0:c>
      <ns0:c r="L226" t="n">
        <ns0:f>VLOOKUP(B226,'평가원본'!$B$6:$D$485,2,FALSE)</ns0:f>
        <ns0:v>60</ns0:v>
      </ns0:c>
      <ns0:c r="M226" t="n">
        <ns0:f>VLOOKUP(B226,'평가원본'!$B$6:$D$485,3,FALSE)</ns0:f>
        <ns0:v>1</ns0:v>
      </ns0:c>
      <ns0:c r="N226" t="n">
        <ns0:f>VLOOKUP(E226,'교육기준'!$B$6:$F$17,5,FALSE)</ns0:f>
        <ns0:v>70</ns0:v>
      </ns0:c>
      <ns0:c r="O226" t="n">
        <ns0:f>IF(AND(F226="승인",K226&gt;='정책'!$C$6,M226=1,L226&gt;=N226),1,0)</ns0:f>
        <ns0:v>0</ns0:v>
      </ns0:c>
    </ns0:row>
    <ns0:row r="227">
      <ns0:c r="B227" s="17" t="str">
        <ns0:f>'신청원본'!B227</ns0:f>
        <ns0:v>APP000222</ns0:v>
      </ns0:c>
      <ns0:c r="C227" s="17" t="str">
        <ns0:f>'신청원본'!C227</ns0:f>
        <ns0:v>000062</ns0:v>
      </ns0:c>
      <ns0:c r="D227" t="str">
        <ns0:f>'신청원본'!D227</ns0:f>
        <ns0:v>생산</ns0:v>
      </ns0:c>
      <ns0:c r="E227" t="str">
        <ns0:f>'신청원본'!E227</ns0:f>
        <ns0:v>C12</ns0:v>
      </ns0:c>
      <ns0:c r="F227" t="str">
        <ns0:f>'신청원본'!H227</ns0:f>
        <ns0:v>승인</ns0:v>
      </ns0:c>
      <ns0:c r="G227" s="18" t="n">
        <ns0:f>VLOOKUP(E227,'교육기준'!$B$6:$F$17,3,FALSE)</ns0:f>
        <ns0:v>292516</ns0:v>
      </ns0:c>
      <ns0:c r="H227" s="18" t="n">
        <ns0:f>'신청원본'!G227</ns0:f>
        <ns0:v>5</ns0:v>
      </ns0:c>
      <ns0:c r="I227" s="19" t="n">
        <ns0:f>'신청원본'!I227</ns0:f>
        <ns0:v>0.05</ns0:v>
      </ns0:c>
      <ns0:c r="J227" s="18" t="n">
        <ns0:f>IF(F227="승인",IF(COUNTA('신청원본'!J227)=0,ROUND(G227*H227*(1-I227),'정책'!$C$8),'신청원본'!J227),0)</ns0:f>
        <ns0:v>1389451</ns0:v>
      </ns0:c>
      <ns0:c r="K227" t="n">
        <ns0:f>SUMIFS('출결원본'!$D$6:$D$1445,'출결원본'!$B$6:$B$1445,B227)</ns0:f>
        <ns0:v>2</ns0:v>
      </ns0:c>
      <ns0:c r="L227" t="n">
        <ns0:f>VLOOKUP(B227,'평가원본'!$B$6:$D$485,2,FALSE)</ns0:f>
        <ns0:v>67</ns0:v>
      </ns0:c>
      <ns0:c r="M227" t="n">
        <ns0:f>VLOOKUP(B227,'평가원본'!$B$6:$D$485,3,FALSE)</ns0:f>
        <ns0:v>1</ns0:v>
      </ns0:c>
      <ns0:c r="N227" t="n">
        <ns0:f>VLOOKUP(E227,'교육기준'!$B$6:$F$17,5,FALSE)</ns0:f>
        <ns0:v>80</ns0:v>
      </ns0:c>
      <ns0:c r="O227" t="n">
        <ns0:f>IF(AND(F227="승인",K227&gt;='정책'!$C$6,M227=1,L227&gt;=N227),1,0)</ns0:f>
        <ns0:v>0</ns0:v>
      </ns0:c>
    </ns0:row>
    <ns0:row r="228">
      <ns0:c r="B228" s="17" t="str">
        <ns0:f>'신청원본'!B228</ns0:f>
        <ns0:v>APP000223</ns0:v>
      </ns0:c>
      <ns0:c r="C228" s="17" t="str">
        <ns0:f>'신청원본'!C228</ns0:f>
        <ns0:v>000063</ns0:v>
      </ns0:c>
      <ns0:c r="D228" t="str">
        <ns0:f>'신청원본'!D228</ns0:f>
        <ns0:v>품질</ns0:v>
      </ns0:c>
      <ns0:c r="E228" t="str">
        <ns0:f>'신청원본'!E228</ns0:f>
        <ns0:v>C07</ns0:v>
      </ns0:c>
      <ns0:c r="F228" t="str">
        <ns0:f>'신청원본'!H228</ns0:f>
        <ns0:v>승인</ns0:v>
      </ns0:c>
      <ns0:c r="G228" s="18" t="n">
        <ns0:f>VLOOKUP(E228,'교육기준'!$B$6:$F$17,3,FALSE)</ns0:f>
        <ns0:v>205011</ns0:v>
      </ns0:c>
      <ns0:c r="H228" s="18" t="n">
        <ns0:f>'신청원본'!G228</ns0:f>
        <ns0:v>0</ns0:v>
      </ns0:c>
      <ns0:c r="I228" s="19" t="n">
        <ns0:f>'신청원본'!I228</ns0:f>
        <ns0:v>0.1</ns0:v>
      </ns0:c>
      <ns0:c r="J228" s="18" t="n">
        <ns0:f>IF(F228="승인",IF(COUNTA('신청원본'!J228)=0,ROUND(G228*H228*(1-I228),'정책'!$C$8),'신청원본'!J228),0)</ns0:f>
        <ns0:v>0</ns0:v>
      </ns0:c>
      <ns0:c r="K228" t="n">
        <ns0:f>SUMIFS('출결원본'!$D$6:$D$1445,'출결원본'!$B$6:$B$1445,B228)</ns0:f>
        <ns0:v>3</ns0:v>
      </ns0:c>
      <ns0:c r="L228" t="n">
        <ns0:f>VLOOKUP(B228,'평가원본'!$B$6:$D$485,2,FALSE)</ns0:f>
        <ns0:v>74</ns0:v>
      </ns0:c>
      <ns0:c r="M228" t="n">
        <ns0:f>VLOOKUP(B228,'평가원본'!$B$6:$D$485,3,FALSE)</ns0:f>
        <ns0:v>1</ns0:v>
      </ns0:c>
      <ns0:c r="N228" t="n">
        <ns0:f>VLOOKUP(E228,'교육기준'!$B$6:$F$17,5,FALSE)</ns0:f>
        <ns0:v>60</ns0:v>
      </ns0:c>
      <ns0:c r="O228" t="n">
        <ns0:f>IF(AND(F228="승인",K228&gt;='정책'!$C$6,M228=1,L228&gt;=N228),1,0)</ns0:f>
        <ns0:v>1</ns0:v>
      </ns0:c>
    </ns0:row>
    <ns0:row r="229">
      <ns0:c r="B229" s="17" t="str">
        <ns0:f>'신청원본'!B229</ns0:f>
        <ns0:v>APP000224</ns0:v>
      </ns0:c>
      <ns0:c r="C229" s="17" t="str">
        <ns0:f>'신청원본'!C229</ns0:f>
        <ns0:v>000064</ns0:v>
      </ns0:c>
      <ns0:c r="D229" t="str">
        <ns0:f>'신청원본'!D229</ns0:f>
        <ns0:v>기획</ns0:v>
      </ns0:c>
      <ns0:c r="E229" t="str">
        <ns0:f>'신청원본'!E229</ns0:f>
        <ns0:v>C02</ns0:v>
      </ns0:c>
      <ns0:c r="F229" t="str">
        <ns0:f>'신청원본'!H229</ns0:f>
        <ns0:v>승인</ns0:v>
      </ns0:c>
      <ns0:c r="G229" s="18" t="n">
        <ns0:f>VLOOKUP(E229,'교육기준'!$B$6:$F$17,3,FALSE)</ns0:f>
        <ns0:v>117506</ns0:v>
      </ns0:c>
      <ns0:c r="H229" s="18" t="n">
        <ns0:f>'신청원본'!G229</ns0:f>
        <ns0:v>1</ns0:v>
      </ns0:c>
      <ns0:c r="I229" s="19" t="n">
        <ns0:f>'신청원본'!I229</ns0:f>
        <ns0:v>0.125</ns0:v>
      </ns0:c>
      <ns0:c r="J229" s="18" t="n">
        <ns0:f>IF(F229="승인",IF(COUNTA('신청원본'!J229)=0,ROUND(G229*H229*(1-I229),'정책'!$C$8),'신청원본'!J229),0)</ns0:f>
        <ns0:v>102818</ns0:v>
      </ns0:c>
      <ns0:c r="K229" t="n">
        <ns0:f>SUMIFS('출결원본'!$D$6:$D$1445,'출결원본'!$B$6:$B$1445,B229)</ns0:f>
        <ns0:v>3</ns0:v>
      </ns0:c>
      <ns0:c r="L229" t="n">
        <ns0:f>VLOOKUP(B229,'평가원본'!$B$6:$D$485,2,FALSE)</ns0:f>
        <ns0:v>81</ns0:v>
      </ns0:c>
      <ns0:c r="M229" t="n">
        <ns0:f>VLOOKUP(B229,'평가원본'!$B$6:$D$485,3,FALSE)</ns0:f>
        <ns0:v>1</ns0:v>
      </ns0:c>
      <ns0:c r="N229" t="n">
        <ns0:f>VLOOKUP(E229,'교육기준'!$B$6:$F$17,5,FALSE)</ns0:f>
        <ns0:v>70</ns0:v>
      </ns0:c>
      <ns0:c r="O229" t="n">
        <ns0:f>IF(AND(F229="승인",K229&gt;='정책'!$C$6,M229=1,L229&gt;=N229),1,0)</ns0:f>
        <ns0:v>1</ns0:v>
      </ns0:c>
    </ns0:row>
    <ns0:row r="230">
      <ns0:c r="B230" s="17" t="str">
        <ns0:f>'신청원본'!B230</ns0:f>
        <ns0:v>APP000225</ns0:v>
      </ns0:c>
      <ns0:c r="C230" s="17" t="str">
        <ns0:f>'신청원본'!C230</ns0:f>
        <ns0:v>000065</ns0:v>
      </ns0:c>
      <ns0:c r="D230" t="str">
        <ns0:f>'신청원본'!D230</ns0:f>
        <ns0:v>영업</ns0:v>
      </ns0:c>
      <ns0:c r="E230" t="str">
        <ns0:f>'신청원본'!E230</ns0:f>
        <ns0:v>C09</ns0:v>
      </ns0:c>
      <ns0:c r="F230" t="str">
        <ns0:f>'신청원본'!H230</ns0:f>
        <ns0:v>대기</ns0:v>
      </ns0:c>
      <ns0:c r="G230" s="18" t="n">
        <ns0:f>VLOOKUP(E230,'교육기준'!$B$6:$F$17,3,FALSE)</ns0:f>
        <ns0:v>240013</ns0:v>
      </ns0:c>
      <ns0:c r="H230" s="18" t="n">
        <ns0:f>'신청원본'!G230</ns0:f>
        <ns0:v>2</ns0:v>
      </ns0:c>
      <ns0:c r="I230" s="19" t="n">
        <ns0:f>'신청원본'!I230</ns0:f>
        <ns0:v>0</ns0:v>
      </ns0:c>
      <ns0:c r="J230" s="18" t="n">
        <ns0:f>IF(F230="승인",IF(COUNTA('신청원본'!J230)=0,ROUND(G230*H230*(1-I230),'정책'!$C$8),'신청원본'!J230),0)</ns0:f>
        <ns0:v>0</ns0:v>
      </ns0:c>
      <ns0:c r="K230" t="n">
        <ns0:f>SUMIFS('출결원본'!$D$6:$D$1445,'출결원본'!$B$6:$B$1445,B230)</ns0:f>
        <ns0:v>3</ns0:v>
      </ns0:c>
      <ns0:c r="L230" t="n">
        <ns0:f>VLOOKUP(B230,'평가원본'!$B$6:$D$485,2,FALSE)</ns0:f>
        <ns0:v>88</ns0:v>
      </ns0:c>
      <ns0:c r="M230" t="n">
        <ns0:f>VLOOKUP(B230,'평가원본'!$B$6:$D$485,3,FALSE)</ns0:f>
        <ns0:v>1</ns0:v>
      </ns0:c>
      <ns0:c r="N230" t="n">
        <ns0:f>VLOOKUP(E230,'교육기준'!$B$6:$F$17,5,FALSE)</ns0:f>
        <ns0:v>80</ns0:v>
      </ns0:c>
      <ns0:c r="O230" t="n">
        <ns0:f>IF(AND(F230="승인",K230&gt;='정책'!$C$6,M230=1,L230&gt;=N230),1,0)</ns0:f>
        <ns0:v>0</ns0:v>
      </ns0:c>
    </ns0:row>
    <ns0:row r="231">
      <ns0:c r="B231" s="17" t="str">
        <ns0:f>'신청원본'!B231</ns0:f>
        <ns0:v>APP000226</ns0:v>
      </ns0:c>
      <ns0:c r="C231" s="17" t="str">
        <ns0:f>'신청원본'!C231</ns0:f>
        <ns0:v>000066</ns0:v>
      </ns0:c>
      <ns0:c r="D231" t="str">
        <ns0:f>'신청원본'!D231</ns0:f>
        <ns0:v>지원</ns0:v>
      </ns0:c>
      <ns0:c r="E231" t="str">
        <ns0:f>'신청원본'!E231</ns0:f>
        <ns0:v>C04</ns0:v>
      </ns0:c>
      <ns0:c r="F231" t="str">
        <ns0:f>'신청원본'!H231</ns0:f>
        <ns0:v>승인</ns0:v>
      </ns0:c>
      <ns0:c r="G231" s="18" t="n">
        <ns0:f>VLOOKUP(E231,'교육기준'!$B$6:$F$17,3,FALSE)</ns0:f>
        <ns0:v>152508</ns0:v>
      </ns0:c>
      <ns0:c r="H231" s="18" t="n">
        <ns0:f>'신청원본'!G231</ns0:f>
        <ns0:v>3</ns0:v>
      </ns0:c>
      <ns0:c r="I231" s="19" t="n">
        <ns0:f>'신청원본'!I231</ns0:f>
        <ns0:v>0.05</ns0:v>
      </ns0:c>
      <ns0:c r="J231" s="18" t="n">
        <ns0:f>IF(F231="승인",IF(COUNTA('신청원본'!J231)=0,ROUND(G231*H231*(1-I231),'정책'!$C$8),'신청원본'!J231),0)</ns0:f>
        <ns0:v>434648</ns0:v>
      </ns0:c>
      <ns0:c r="K231" t="n">
        <ns0:f>SUMIFS('출결원본'!$D$6:$D$1445,'출결원본'!$B$6:$B$1445,B231)</ns0:f>
        <ns0:v>2</ns0:v>
      </ns0:c>
      <ns0:c r="L231" t="n">
        <ns0:f>VLOOKUP(B231,'평가원본'!$B$6:$D$485,2,FALSE)</ns0:f>
        <ns0:v>95</ns0:v>
      </ns0:c>
      <ns0:c r="M231" t="n">
        <ns0:f>VLOOKUP(B231,'평가원본'!$B$6:$D$485,3,FALSE)</ns0:f>
        <ns0:v>1</ns0:v>
      </ns0:c>
      <ns0:c r="N231" t="n">
        <ns0:f>VLOOKUP(E231,'교육기준'!$B$6:$F$17,5,FALSE)</ns0:f>
        <ns0:v>60</ns0:v>
      </ns0:c>
      <ns0:c r="O231" t="n">
        <ns0:f>IF(AND(F231="승인",K231&gt;='정책'!$C$6,M231=1,L231&gt;=N231),1,0)</ns0:f>
        <ns0:v>0</ns0:v>
      </ns0:c>
    </ns0:row>
    <ns0:row r="232">
      <ns0:c r="B232" s="17" t="str">
        <ns0:f>'신청원본'!B232</ns0:f>
        <ns0:v>APP000227</ns0:v>
      </ns0:c>
      <ns0:c r="C232" s="17" t="str">
        <ns0:f>'신청원본'!C232</ns0:f>
        <ns0:v>000067</ns0:v>
      </ns0:c>
      <ns0:c r="D232" t="str">
        <ns0:f>'신청원본'!D232</ns0:f>
        <ns0:v>개발</ns0:v>
      </ns0:c>
      <ns0:c r="E232" t="str">
        <ns0:f>'신청원본'!E232</ns0:f>
        <ns0:v>C11</ns0:v>
      </ns0:c>
      <ns0:c r="F232" t="str">
        <ns0:f>'신청원본'!H232</ns0:f>
        <ns0:v>승인</ns0:v>
      </ns0:c>
      <ns0:c r="G232" s="18" t="n">
        <ns0:f>VLOOKUP(E232,'교육기준'!$B$6:$F$17,3,FALSE)</ns0:f>
        <ns0:v>275015</ns0:v>
      </ns0:c>
      <ns0:c r="H232" s="18" t="n">
        <ns0:f>'신청원본'!G232</ns0:f>
        <ns0:v>4</ns0:v>
      </ns0:c>
      <ns0:c r="I232" s="19" t="n">
        <ns0:f>'신청원본'!I232</ns0:f>
        <ns0:v>0.1</ns0:v>
      </ns0:c>
      <ns0:c r="J232" s="18" t="n">
        <ns0:f>IF(F232="승인",IF(COUNTA('신청원본'!J232)=0,ROUND(G232*H232*(1-I232),'정책'!$C$8),'신청원본'!J232),0)</ns0:f>
        <ns0:v>990054</ns0:v>
      </ns0:c>
      <ns0:c r="K232" t="n">
        <ns0:f>SUMIFS('출결원본'!$D$6:$D$1445,'출결원본'!$B$6:$B$1445,B232)</ns0:f>
        <ns0:v>3</ns0:v>
      </ns0:c>
      <ns0:c r="L232" t="n">
        <ns0:f>VLOOKUP(B232,'평가원본'!$B$6:$D$485,2,FALSE)</ns0:f>
        <ns0:v>51</ns0:v>
      </ns0:c>
      <ns0:c r="M232" t="n">
        <ns0:f>VLOOKUP(B232,'평가원본'!$B$6:$D$485,3,FALSE)</ns0:f>
        <ns0:v>1</ns0:v>
      </ns0:c>
      <ns0:c r="N232" t="n">
        <ns0:f>VLOOKUP(E232,'교육기준'!$B$6:$F$17,5,FALSE)</ns0:f>
        <ns0:v>70</ns0:v>
      </ns0:c>
      <ns0:c r="O232" t="n">
        <ns0:f>IF(AND(F232="승인",K232&gt;='정책'!$C$6,M232=1,L232&gt;=N232),1,0)</ns0:f>
        <ns0:v>0</ns0:v>
      </ns0:c>
    </ns0:row>
    <ns0:row r="233">
      <ns0:c r="B233" s="17" t="str">
        <ns0:f>'신청원본'!B233</ns0:f>
        <ns0:v>APP000228</ns0:v>
      </ns0:c>
      <ns0:c r="C233" s="17" t="str">
        <ns0:f>'신청원본'!C233</ns0:f>
        <ns0:v>000068</ns0:v>
      </ns0:c>
      <ns0:c r="D233" t="str">
        <ns0:f>'신청원본'!D233</ns0:f>
        <ns0:v>생산</ns0:v>
      </ns0:c>
      <ns0:c r="E233" t="str">
        <ns0:f>'신청원본'!E233</ns0:f>
        <ns0:v>C06</ns0:v>
      </ns0:c>
      <ns0:c r="F233" t="str">
        <ns0:f>'신청원본'!H233</ns0:f>
        <ns0:v>승인</ns0:v>
      </ns0:c>
      <ns0:c r="G233" s="18" t="n">
        <ns0:f>VLOOKUP(E233,'교육기준'!$B$6:$F$17,3,FALSE)</ns0:f>
        <ns0:v>187510</ns0:v>
      </ns0:c>
      <ns0:c r="H233" s="18" t="n">
        <ns0:f>'신청원본'!G233</ns0:f>
        <ns0:v>5</ns0:v>
      </ns0:c>
      <ns0:c r="I233" s="19" t="n">
        <ns0:f>'신청원본'!I233</ns0:f>
        <ns0:v>0.125</ns0:v>
      </ns0:c>
      <ns0:c r="J233" s="18" t="n">
        <ns0:f>IF(F233="승인",IF(COUNTA('신청원본'!J233)=0,ROUND(G233*H233*(1-I233),'정책'!$C$8),'신청원본'!J233),0)</ns0:f>
        <ns0:v>820356</ns0:v>
      </ns0:c>
      <ns0:c r="K233" t="n">
        <ns0:f>SUMIFS('출결원본'!$D$6:$D$1445,'출결원본'!$B$6:$B$1445,B233)</ns0:f>
        <ns0:v>3</ns0:v>
      </ns0:c>
      <ns0:c r="L233" t="n">
        <ns0:f>VLOOKUP(B233,'평가원본'!$B$6:$D$485,2,FALSE)</ns0:f>
        <ns0:v>58</ns0:v>
      </ns0:c>
      <ns0:c r="M233" t="n">
        <ns0:f>VLOOKUP(B233,'평가원본'!$B$6:$D$485,3,FALSE)</ns0:f>
        <ns0:v>1</ns0:v>
      </ns0:c>
      <ns0:c r="N233" t="n">
        <ns0:f>VLOOKUP(E233,'교육기준'!$B$6:$F$17,5,FALSE)</ns0:f>
        <ns0:v>80</ns0:v>
      </ns0:c>
      <ns0:c r="O233" t="n">
        <ns0:f>IF(AND(F233="승인",K233&gt;='정책'!$C$6,M233=1,L233&gt;=N233),1,0)</ns0:f>
        <ns0:v>0</ns0:v>
      </ns0:c>
    </ns0:row>
    <ns0:row r="234">
      <ns0:c r="B234" s="17" t="str">
        <ns0:f>'신청원본'!B234</ns0:f>
        <ns0:v>APP000229</ns0:v>
      </ns0:c>
      <ns0:c r="C234" s="17" t="str">
        <ns0:f>'신청원본'!C234</ns0:f>
        <ns0:v>000069</ns0:v>
      </ns0:c>
      <ns0:c r="D234" t="str">
        <ns0:f>'신청원본'!D234</ns0:f>
        <ns0:v>품질</ns0:v>
      </ns0:c>
      <ns0:c r="E234" t="str">
        <ns0:f>'신청원본'!E234</ns0:f>
        <ns0:v>C01</ns0:v>
      </ns0:c>
      <ns0:c r="F234" t="str">
        <ns0:f>'신청원본'!H234</ns0:f>
        <ns0:v>승인</ns0:v>
      </ns0:c>
      <ns0:c r="G234" s="18" t="n">
        <ns0:f>VLOOKUP(E234,'교육기준'!$B$6:$F$17,3,FALSE)</ns0:f>
        <ns0:v>100005</ns0:v>
      </ns0:c>
      <ns0:c r="H234" s="18" t="n">
        <ns0:f>'신청원본'!G234</ns0:f>
        <ns0:v>0</ns0:v>
      </ns0:c>
      <ns0:c r="I234" s="19" t="n">
        <ns0:f>'신청원본'!I234</ns0:f>
        <ns0:v>0</ns0:v>
      </ns0:c>
      <ns0:c r="J234" s="18" t="n">
        <ns0:f>IF(F234="승인",IF(COUNTA('신청원본'!J234)=0,ROUND(G234*H234*(1-I234),'정책'!$C$8),'신청원본'!J234),0)</ns0:f>
        <ns0:v>0</ns0:v>
      </ns0:c>
      <ns0:c r="K234" t="n">
        <ns0:f>SUMIFS('출결원본'!$D$6:$D$1445,'출결원본'!$B$6:$B$1445,B234)</ns0:f>
        <ns0:v>3</ns0:v>
      </ns0:c>
      <ns0:c r="L234" t="n">
        <ns0:f>VLOOKUP(B234,'평가원본'!$B$6:$D$485,2,FALSE)</ns0:f>
        <ns0:v>65</ns0:v>
      </ns0:c>
      <ns0:c r="M234" t="n">
        <ns0:f>VLOOKUP(B234,'평가원본'!$B$6:$D$485,3,FALSE)</ns0:f>
        <ns0:v>0</ns0:v>
      </ns0:c>
      <ns0:c r="N234" t="n">
        <ns0:f>VLOOKUP(E234,'교육기준'!$B$6:$F$17,5,FALSE)</ns0:f>
        <ns0:v>60</ns0:v>
      </ns0:c>
      <ns0:c r="O234" t="n">
        <ns0:f>IF(AND(F234="승인",K234&gt;='정책'!$C$6,M234=1,L234&gt;=N234),1,0)</ns0:f>
        <ns0:v>0</ns0:v>
      </ns0:c>
    </ns0:row>
    <ns0:row r="235">
      <ns0:c r="B235" s="17" t="str">
        <ns0:f>'신청원본'!B235</ns0:f>
        <ns0:v>APP000230</ns0:v>
      </ns0:c>
      <ns0:c r="C235" s="17" t="str">
        <ns0:f>'신청원본'!C235</ns0:f>
        <ns0:v>000070</ns0:v>
      </ns0:c>
      <ns0:c r="D235" t="str">
        <ns0:f>'신청원본'!D235</ns0:f>
        <ns0:v>기획</ns0:v>
      </ns0:c>
      <ns0:c r="E235" t="str">
        <ns0:f>'신청원본'!E235</ns0:f>
        <ns0:v>C08</ns0:v>
      </ns0:c>
      <ns0:c r="F235" t="str">
        <ns0:f>'신청원본'!H235</ns0:f>
        <ns0:v>승인</ns0:v>
      </ns0:c>
      <ns0:c r="G235" s="18" t="n">
        <ns0:f>VLOOKUP(E235,'교육기준'!$B$6:$F$17,3,FALSE)</ns0:f>
        <ns0:v>222512</ns0:v>
      </ns0:c>
      <ns0:c r="H235" s="18" t="n">
        <ns0:f>'신청원본'!G235</ns0:f>
        <ns0:v>1</ns0:v>
      </ns0:c>
      <ns0:c r="I235" s="19" t="n">
        <ns0:f>'신청원본'!I235</ns0:f>
        <ns0:v>0.05</ns0:v>
      </ns0:c>
      <ns0:c r="J235" s="18" t="n">
        <ns0:f>IF(F235="승인",IF(COUNTA('신청원본'!J235)=0,ROUND(G235*H235*(1-I235),'정책'!$C$8),'신청원본'!J235),0)</ns0:f>
        <ns0:v>211386</ns0:v>
      </ns0:c>
      <ns0:c r="K235" t="n">
        <ns0:f>SUMIFS('출결원본'!$D$6:$D$1445,'출결원본'!$B$6:$B$1445,B235)</ns0:f>
        <ns0:v>3</ns0:v>
      </ns0:c>
      <ns0:c r="L235" t="n">
        <ns0:f>VLOOKUP(B235,'평가원본'!$B$6:$D$485,2,FALSE)</ns0:f>
        <ns0:v>72</ns0:v>
      </ns0:c>
      <ns0:c r="M235" t="n">
        <ns0:f>VLOOKUP(B235,'평가원본'!$B$6:$D$485,3,FALSE)</ns0:f>
        <ns0:v>1</ns0:v>
      </ns0:c>
      <ns0:c r="N235" t="n">
        <ns0:f>VLOOKUP(E235,'교육기준'!$B$6:$F$17,5,FALSE)</ns0:f>
        <ns0:v>70</ns0:v>
      </ns0:c>
      <ns0:c r="O235" t="n">
        <ns0:f>IF(AND(F235="승인",K235&gt;='정책'!$C$6,M235=1,L235&gt;=N235),1,0)</ns0:f>
        <ns0:v>1</ns0:v>
      </ns0:c>
    </ns0:row>
    <ns0:row r="236">
      <ns0:c r="B236" s="17" t="str">
        <ns0:f>'신청원본'!B236</ns0:f>
        <ns0:v>APP000231</ns0:v>
      </ns0:c>
      <ns0:c r="C236" s="17" t="str">
        <ns0:f>'신청원본'!C236</ns0:f>
        <ns0:v>000071</ns0:v>
      </ns0:c>
      <ns0:c r="D236" t="str">
        <ns0:f>'신청원본'!D236</ns0:f>
        <ns0:v>영업</ns0:v>
      </ns0:c>
      <ns0:c r="E236" t="str">
        <ns0:f>'신청원본'!E236</ns0:f>
        <ns0:v>C03</ns0:v>
      </ns0:c>
      <ns0:c r="F236" t="str">
        <ns0:f>'신청원본'!H236</ns0:f>
        <ns0:v>승인</ns0:v>
      </ns0:c>
      <ns0:c r="G236" s="18" t="n">
        <ns0:f>VLOOKUP(E236,'교육기준'!$B$6:$F$17,3,FALSE)</ns0:f>
        <ns0:v>135007</ns0:v>
      </ns0:c>
      <ns0:c r="H236" s="18" t="n">
        <ns0:f>'신청원본'!G236</ns0:f>
        <ns0:v>2</ns0:v>
      </ns0:c>
      <ns0:c r="I236" s="19" t="n">
        <ns0:f>'신청원본'!I236</ns0:f>
        <ns0:v>0.1</ns0:v>
      </ns0:c>
      <ns0:c r="J236" s="18" t="n">
        <ns0:f>IF(F236="승인",IF(COUNTA('신청원본'!J236)=0,ROUND(G236*H236*(1-I236),'정책'!$C$8),'신청원본'!J236),0)</ns0:f>
        <ns0:v>243013</ns0:v>
      </ns0:c>
      <ns0:c r="K236" t="n">
        <ns0:f>SUMIFS('출결원본'!$D$6:$D$1445,'출결원본'!$B$6:$B$1445,B236)</ns0:f>
        <ns0:v>3</ns0:v>
      </ns0:c>
      <ns0:c r="L236" t="n">
        <ns0:f>VLOOKUP(B236,'평가원본'!$B$6:$D$485,2,FALSE)</ns0:f>
        <ns0:v>79</ns0:v>
      </ns0:c>
      <ns0:c r="M236" t="n">
        <ns0:f>VLOOKUP(B236,'평가원본'!$B$6:$D$485,3,FALSE)</ns0:f>
        <ns0:v>1</ns0:v>
      </ns0:c>
      <ns0:c r="N236" t="n">
        <ns0:f>VLOOKUP(E236,'교육기준'!$B$6:$F$17,5,FALSE)</ns0:f>
        <ns0:v>80</ns0:v>
      </ns0:c>
      <ns0:c r="O236" t="n">
        <ns0:f>IF(AND(F236="승인",K236&gt;='정책'!$C$6,M236=1,L236&gt;=N236),1,0)</ns0:f>
        <ns0:v>0</ns0:v>
      </ns0:c>
    </ns0:row>
    <ns0:row r="237">
      <ns0:c r="B237" s="17" t="str">
        <ns0:f>'신청원본'!B237</ns0:f>
        <ns0:v>APP000232</ns0:v>
      </ns0:c>
      <ns0:c r="C237" s="17" t="str">
        <ns0:f>'신청원본'!C237</ns0:f>
        <ns0:v>000072</ns0:v>
      </ns0:c>
      <ns0:c r="D237" t="str">
        <ns0:f>'신청원본'!D237</ns0:f>
        <ns0:v>지원</ns0:v>
      </ns0:c>
      <ns0:c r="E237" t="str">
        <ns0:f>'신청원본'!E237</ns0:f>
        <ns0:v>C10</ns0:v>
      </ns0:c>
      <ns0:c r="F237" t="str">
        <ns0:f>'신청원본'!H237</ns0:f>
        <ns0:v>취소</ns0:v>
      </ns0:c>
      <ns0:c r="G237" s="18" t="n">
        <ns0:f>VLOOKUP(E237,'교육기준'!$B$6:$F$17,3,FALSE)</ns0:f>
        <ns0:v>257514</ns0:v>
      </ns0:c>
      <ns0:c r="H237" s="18" t="n">
        <ns0:f>'신청원본'!G237</ns0:f>
        <ns0:v>3</ns0:v>
      </ns0:c>
      <ns0:c r="I237" s="19" t="n">
        <ns0:f>'신청원본'!I237</ns0:f>
        <ns0:v>0.125</ns0:v>
      </ns0:c>
      <ns0:c r="J237" s="18" t="n">
        <ns0:f>IF(F237="승인",IF(COUNTA('신청원본'!J237)=0,ROUND(G237*H237*(1-I237),'정책'!$C$8),'신청원본'!J237),0)</ns0:f>
        <ns0:v>0</ns0:v>
      </ns0:c>
      <ns0:c r="K237" t="n">
        <ns0:f>SUMIFS('출결원본'!$D$6:$D$1445,'출결원본'!$B$6:$B$1445,B237)</ns0:f>
        <ns0:v>3</ns0:v>
      </ns0:c>
      <ns0:c r="L237" t="n">
        <ns0:f>VLOOKUP(B237,'평가원본'!$B$6:$D$485,2,FALSE)</ns0:f>
        <ns0:v>86</ns0:v>
      </ns0:c>
      <ns0:c r="M237" t="n">
        <ns0:f>VLOOKUP(B237,'평가원본'!$B$6:$D$485,3,FALSE)</ns0:f>
        <ns0:v>1</ns0:v>
      </ns0:c>
      <ns0:c r="N237" t="n">
        <ns0:f>VLOOKUP(E237,'교육기준'!$B$6:$F$17,5,FALSE)</ns0:f>
        <ns0:v>60</ns0:v>
      </ns0:c>
      <ns0:c r="O237" t="n">
        <ns0:f>IF(AND(F237="승인",K237&gt;='정책'!$C$6,M237=1,L237&gt;=N237),1,0)</ns0:f>
        <ns0:v>0</ns0:v>
      </ns0:c>
    </ns0:row>
    <ns0:row r="238">
      <ns0:c r="B238" s="17" t="str">
        <ns0:f>'신청원본'!B238</ns0:f>
        <ns0:v>APP000233</ns0:v>
      </ns0:c>
      <ns0:c r="C238" s="17" t="str">
        <ns0:f>'신청원본'!C238</ns0:f>
        <ns0:v>000073</ns0:v>
      </ns0:c>
      <ns0:c r="D238" t="str">
        <ns0:f>'신청원본'!D238</ns0:f>
        <ns0:v>개발</ns0:v>
      </ns0:c>
      <ns0:c r="E238" t="str">
        <ns0:f>'신청원본'!E238</ns0:f>
        <ns0:v>C05</ns0:v>
      </ns0:c>
      <ns0:c r="F238" t="str">
        <ns0:f>'신청원본'!H238</ns0:f>
        <ns0:v>승인</ns0:v>
      </ns0:c>
      <ns0:c r="G238" s="18" t="n">
        <ns0:f>VLOOKUP(E238,'교육기준'!$B$6:$F$17,3,FALSE)</ns0:f>
        <ns0:v>170009</ns0:v>
      </ns0:c>
      <ns0:c r="H238" s="18" t="n">
        <ns0:f>'신청원본'!G238</ns0:f>
        <ns0:v>4</ns0:v>
      </ns0:c>
      <ns0:c r="I238" s="19" t="n">
        <ns0:f>'신청원본'!I238</ns0:f>
        <ns0:v>0</ns0:v>
      </ns0:c>
      <ns0:c r="J238" s="18" t="n">
        <ns0:f>IF(F238="승인",IF(COUNTA('신청원본'!J238)=0,ROUND(G238*H238*(1-I238),'정책'!$C$8),'신청원본'!J238),0)</ns0:f>
        <ns0:v>680036</ns0:v>
      </ns0:c>
      <ns0:c r="K238" t="n">
        <ns0:f>SUMIFS('출결원본'!$D$6:$D$1445,'출결원본'!$B$6:$B$1445,B238)</ns0:f>
        <ns0:v>3</ns0:v>
      </ns0:c>
      <ns0:c r="L238" t="n">
        <ns0:f>VLOOKUP(B238,'평가원본'!$B$6:$D$485,2,FALSE)</ns0:f>
        <ns0:v>93</ns0:v>
      </ns0:c>
      <ns0:c r="M238" t="n">
        <ns0:f>VLOOKUP(B238,'평가원본'!$B$6:$D$485,3,FALSE)</ns0:f>
        <ns0:v>1</ns0:v>
      </ns0:c>
      <ns0:c r="N238" t="n">
        <ns0:f>VLOOKUP(E238,'교육기준'!$B$6:$F$17,5,FALSE)</ns0:f>
        <ns0:v>70</ns0:v>
      </ns0:c>
      <ns0:c r="O238" t="n">
        <ns0:f>IF(AND(F238="승인",K238&gt;='정책'!$C$6,M238=1,L238&gt;=N238),1,0)</ns0:f>
        <ns0:v>1</ns0:v>
      </ns0:c>
    </ns0:row>
    <ns0:row r="239">
      <ns0:c r="B239" s="17" t="str">
        <ns0:f>'신청원본'!B239</ns0:f>
        <ns0:v>APP000234</ns0:v>
      </ns0:c>
      <ns0:c r="C239" s="17" t="str">
        <ns0:f>'신청원본'!C239</ns0:f>
        <ns0:v>000074</ns0:v>
      </ns0:c>
      <ns0:c r="D239" t="str">
        <ns0:f>'신청원본'!D239</ns0:f>
        <ns0:v>생산</ns0:v>
      </ns0:c>
      <ns0:c r="E239" t="str">
        <ns0:f>'신청원본'!E239</ns0:f>
        <ns0:v>C12</ns0:v>
      </ns0:c>
      <ns0:c r="F239" t="str">
        <ns0:f>'신청원본'!H239</ns0:f>
        <ns0:v>승인</ns0:v>
      </ns0:c>
      <ns0:c r="G239" s="18" t="n">
        <ns0:f>VLOOKUP(E239,'교육기준'!$B$6:$F$17,3,FALSE)</ns0:f>
        <ns0:v>292516</ns0:v>
      </ns0:c>
      <ns0:c r="H239" s="18" t="n">
        <ns0:f>'신청원본'!G239</ns0:f>
        <ns0:v>5</ns0:v>
      </ns0:c>
      <ns0:c r="I239" s="19" t="n">
        <ns0:f>'신청원본'!I239</ns0:f>
        <ns0:v>0.05</ns0:v>
      </ns0:c>
      <ns0:c r="J239" s="18" t="n">
        <ns0:f>IF(F239="승인",IF(COUNTA('신청원본'!J239)=0,ROUND(G239*H239*(1-I239),'정책'!$C$8),'신청원본'!J239),0)</ns0:f>
        <ns0:v>1389451</ns0:v>
      </ns0:c>
      <ns0:c r="K239" t="n">
        <ns0:f>SUMIFS('출결원본'!$D$6:$D$1445,'출결원본'!$B$6:$B$1445,B239)</ns0:f>
        <ns0:v>3</ns0:v>
      </ns0:c>
      <ns0:c r="L239" t="n">
        <ns0:f>VLOOKUP(B239,'평가원본'!$B$6:$D$485,2,FALSE)</ns0:f>
        <ns0:v>100</ns0:v>
      </ns0:c>
      <ns0:c r="M239" t="n">
        <ns0:f>VLOOKUP(B239,'평가원본'!$B$6:$D$485,3,FALSE)</ns0:f>
        <ns0:v>1</ns0:v>
      </ns0:c>
      <ns0:c r="N239" t="n">
        <ns0:f>VLOOKUP(E239,'교육기준'!$B$6:$F$17,5,FALSE)</ns0:f>
        <ns0:v>80</ns0:v>
      </ns0:c>
      <ns0:c r="O239" t="n">
        <ns0:f>IF(AND(F239="승인",K239&gt;='정책'!$C$6,M239=1,L239&gt;=N239),1,0)</ns0:f>
        <ns0:v>1</ns0:v>
      </ns0:c>
    </ns0:row>
    <ns0:row r="240">
      <ns0:c r="B240" s="17" t="str">
        <ns0:f>'신청원본'!B240</ns0:f>
        <ns0:v>APP000235</ns0:v>
      </ns0:c>
      <ns0:c r="C240" s="17" t="str">
        <ns0:f>'신청원본'!C240</ns0:f>
        <ns0:v>000075</ns0:v>
      </ns0:c>
      <ns0:c r="D240" t="str">
        <ns0:f>'신청원본'!D240</ns0:f>
        <ns0:v>품질</ns0:v>
      </ns0:c>
      <ns0:c r="E240" t="str">
        <ns0:f>'신청원본'!E240</ns0:f>
        <ns0:v>C07</ns0:v>
      </ns0:c>
      <ns0:c r="F240" t="str">
        <ns0:f>'신청원본'!H240</ns0:f>
        <ns0:v>승인</ns0:v>
      </ns0:c>
      <ns0:c r="G240" s="18" t="n">
        <ns0:f>VLOOKUP(E240,'교육기준'!$B$6:$F$17,3,FALSE)</ns0:f>
        <ns0:v>205011</ns0:v>
      </ns0:c>
      <ns0:c r="H240" s="18" t="n">
        <ns0:f>'신청원본'!G240</ns0:f>
        <ns0:v>0</ns0:v>
      </ns0:c>
      <ns0:c r="I240" s="19" t="n">
        <ns0:f>'신청원본'!I240</ns0:f>
        <ns0:v>0.1</ns0:v>
      </ns0:c>
      <ns0:c r="J240" s="18" t="n">
        <ns0:f>IF(F240="승인",IF(COUNTA('신청원본'!J240)=0,ROUND(G240*H240*(1-I240),'정책'!$C$8),'신청원본'!J240),0)</ns0:f>
        <ns0:v>0</ns0:v>
      </ns0:c>
      <ns0:c r="K240" t="n">
        <ns0:f>SUMIFS('출결원본'!$D$6:$D$1445,'출결원본'!$B$6:$B$1445,B240)</ns0:f>
        <ns0:v>1</ns0:v>
      </ns0:c>
      <ns0:c r="L240" t="n">
        <ns0:f>VLOOKUP(B240,'평가원본'!$B$6:$D$485,2,FALSE)</ns0:f>
        <ns0:v>56</ns0:v>
      </ns0:c>
      <ns0:c r="M240" t="n">
        <ns0:f>VLOOKUP(B240,'평가원본'!$B$6:$D$485,3,FALSE)</ns0:f>
        <ns0:v>1</ns0:v>
      </ns0:c>
      <ns0:c r="N240" t="n">
        <ns0:f>VLOOKUP(E240,'교육기준'!$B$6:$F$17,5,FALSE)</ns0:f>
        <ns0:v>60</ns0:v>
      </ns0:c>
      <ns0:c r="O240" t="n">
        <ns0:f>IF(AND(F240="승인",K240&gt;='정책'!$C$6,M240=1,L240&gt;=N240),1,0)</ns0:f>
        <ns0:v>0</ns0:v>
      </ns0:c>
    </ns0:row>
    <ns0:row r="241">
      <ns0:c r="B241" s="17" t="str">
        <ns0:f>'신청원본'!B241</ns0:f>
        <ns0:v>APP000236</ns0:v>
      </ns0:c>
      <ns0:c r="C241" s="17" t="str">
        <ns0:f>'신청원본'!C241</ns0:f>
        <ns0:v>000076</ns0:v>
      </ns0:c>
      <ns0:c r="D241" t="str">
        <ns0:f>'신청원본'!D241</ns0:f>
        <ns0:v>기획</ns0:v>
      </ns0:c>
      <ns0:c r="E241" t="str">
        <ns0:f>'신청원본'!E241</ns0:f>
        <ns0:v>C02</ns0:v>
      </ns0:c>
      <ns0:c r="F241" t="str">
        <ns0:f>'신청원본'!H241</ns0:f>
        <ns0:v>승인</ns0:v>
      </ns0:c>
      <ns0:c r="G241" s="18" t="n">
        <ns0:f>VLOOKUP(E241,'교육기준'!$B$6:$F$17,3,FALSE)</ns0:f>
        <ns0:v>117506</ns0:v>
      </ns0:c>
      <ns0:c r="H241" s="18" t="n">
        <ns0:f>'신청원본'!G241</ns0:f>
        <ns0:v>1</ns0:v>
      </ns0:c>
      <ns0:c r="I241" s="19" t="n">
        <ns0:f>'신청원본'!I241</ns0:f>
        <ns0:v>0.125</ns0:v>
      </ns0:c>
      <ns0:c r="J241" s="18" t="n">
        <ns0:f>IF(F241="승인",IF(COUNTA('신청원본'!J241)=0,ROUND(G241*H241*(1-I241),'정책'!$C$8),'신청원본'!J241),0)</ns0:f>
        <ns0:v>102818</ns0:v>
      </ns0:c>
      <ns0:c r="K241" t="n">
        <ns0:f>SUMIFS('출결원본'!$D$6:$D$1445,'출결원본'!$B$6:$B$1445,B241)</ns0:f>
        <ns0:v>3</ns0:v>
      </ns0:c>
      <ns0:c r="L241" t="n">
        <ns0:f>VLOOKUP(B241,'평가원본'!$B$6:$D$485,2,FALSE)</ns0:f>
        <ns0:v>63</ns0:v>
      </ns0:c>
      <ns0:c r="M241" t="n">
        <ns0:f>VLOOKUP(B241,'평가원본'!$B$6:$D$485,3,FALSE)</ns0:f>
        <ns0:v>1</ns0:v>
      </ns0:c>
      <ns0:c r="N241" t="n">
        <ns0:f>VLOOKUP(E241,'교육기준'!$B$6:$F$17,5,FALSE)</ns0:f>
        <ns0:v>70</ns0:v>
      </ns0:c>
      <ns0:c r="O241" t="n">
        <ns0:f>IF(AND(F241="승인",K241&gt;='정책'!$C$6,M241=1,L241&gt;=N241),1,0)</ns0:f>
        <ns0:v>0</ns0:v>
      </ns0:c>
    </ns0:row>
    <ns0:row r="242">
      <ns0:c r="B242" s="17" t="str">
        <ns0:f>'신청원본'!B242</ns0:f>
        <ns0:v>APP000237</ns0:v>
      </ns0:c>
      <ns0:c r="C242" s="17" t="str">
        <ns0:f>'신청원본'!C242</ns0:f>
        <ns0:v>000077</ns0:v>
      </ns0:c>
      <ns0:c r="D242" t="str">
        <ns0:f>'신청원본'!D242</ns0:f>
        <ns0:v>영업</ns0:v>
      </ns0:c>
      <ns0:c r="E242" t="str">
        <ns0:f>'신청원본'!E242</ns0:f>
        <ns0:v>C09</ns0:v>
      </ns0:c>
      <ns0:c r="F242" t="str">
        <ns0:f>'신청원본'!H242</ns0:f>
        <ns0:v>승인</ns0:v>
      </ns0:c>
      <ns0:c r="G242" s="18" t="n">
        <ns0:f>VLOOKUP(E242,'교육기준'!$B$6:$F$17,3,FALSE)</ns0:f>
        <ns0:v>240013</ns0:v>
      </ns0:c>
      <ns0:c r="H242" s="18" t="n">
        <ns0:f>'신청원본'!G242</ns0:f>
        <ns0:v>2</ns0:v>
      </ns0:c>
      <ns0:c r="I242" s="19" t="n">
        <ns0:f>'신청원본'!I242</ns0:f>
        <ns0:v>0</ns0:v>
      </ns0:c>
      <ns0:c r="J242" s="18" t="n">
        <ns0:f>IF(F242="승인",IF(COUNTA('신청원본'!J242)=0,ROUND(G242*H242*(1-I242),'정책'!$C$8),'신청원본'!J242),0)</ns0:f>
        <ns0:v>480026</ns0:v>
      </ns0:c>
      <ns0:c r="K242" t="n">
        <ns0:f>SUMIFS('출결원본'!$D$6:$D$1445,'출결원본'!$B$6:$B$1445,B242)</ns0:f>
        <ns0:v>3</ns0:v>
      </ns0:c>
      <ns0:c r="L242" t="n">
        <ns0:f>VLOOKUP(B242,'평가원본'!$B$6:$D$485,2,FALSE)</ns0:f>
        <ns0:v>70</ns0:v>
      </ns0:c>
      <ns0:c r="M242" t="n">
        <ns0:f>VLOOKUP(B242,'평가원본'!$B$6:$D$485,3,FALSE)</ns0:f>
        <ns0:v>1</ns0:v>
      </ns0:c>
      <ns0:c r="N242" t="n">
        <ns0:f>VLOOKUP(E242,'교육기준'!$B$6:$F$17,5,FALSE)</ns0:f>
        <ns0:v>80</ns0:v>
      </ns0:c>
      <ns0:c r="O242" t="n">
        <ns0:f>IF(AND(F242="승인",K242&gt;='정책'!$C$6,M242=1,L242&gt;=N242),1,0)</ns0:f>
        <ns0:v>0</ns0:v>
      </ns0:c>
    </ns0:row>
    <ns0:row r="243">
      <ns0:c r="B243" s="17" t="str">
        <ns0:f>'신청원본'!B243</ns0:f>
        <ns0:v>APP000238</ns0:v>
      </ns0:c>
      <ns0:c r="C243" s="17" t="str">
        <ns0:f>'신청원본'!C243</ns0:f>
        <ns0:v>000078</ns0:v>
      </ns0:c>
      <ns0:c r="D243" t="str">
        <ns0:f>'신청원본'!D243</ns0:f>
        <ns0:v>지원</ns0:v>
      </ns0:c>
      <ns0:c r="E243" t="str">
        <ns0:f>'신청원본'!E243</ns0:f>
        <ns0:v>C04</ns0:v>
      </ns0:c>
      <ns0:c r="F243" t="str">
        <ns0:f>'신청원본'!H243</ns0:f>
        <ns0:v>승인</ns0:v>
      </ns0:c>
      <ns0:c r="G243" s="18" t="n">
        <ns0:f>VLOOKUP(E243,'교육기준'!$B$6:$F$17,3,FALSE)</ns0:f>
        <ns0:v>152508</ns0:v>
      </ns0:c>
      <ns0:c r="H243" s="18" t="n">
        <ns0:f>'신청원본'!G243</ns0:f>
        <ns0:v>3</ns0:v>
      </ns0:c>
      <ns0:c r="I243" s="19" t="n">
        <ns0:f>'신청원본'!I243</ns0:f>
        <ns0:v>0.05</ns0:v>
      </ns0:c>
      <ns0:c r="J243" s="18" t="n">
        <ns0:f>IF(F243="승인",IF(COUNTA('신청원본'!J243)=0,ROUND(G243*H243*(1-I243),'정책'!$C$8),'신청원본'!J243),0)</ns0:f>
        <ns0:v>12345</ns0:v>
      </ns0:c>
      <ns0:c r="K243" t="n">
        <ns0:f>SUMIFS('출결원본'!$D$6:$D$1445,'출결원본'!$B$6:$B$1445,B243)</ns0:f>
        <ns0:v>3</ns0:v>
      </ns0:c>
      <ns0:c r="L243" t="n">
        <ns0:f>VLOOKUP(B243,'평가원본'!$B$6:$D$485,2,FALSE)</ns0:f>
        <ns0:v>77</ns0:v>
      </ns0:c>
      <ns0:c r="M243" t="n">
        <ns0:f>VLOOKUP(B243,'평가원본'!$B$6:$D$485,3,FALSE)</ns0:f>
        <ns0:v>1</ns0:v>
      </ns0:c>
      <ns0:c r="N243" t="n">
        <ns0:f>VLOOKUP(E243,'교육기준'!$B$6:$F$17,5,FALSE)</ns0:f>
        <ns0:v>60</ns0:v>
      </ns0:c>
      <ns0:c r="O243" t="n">
        <ns0:f>IF(AND(F243="승인",K243&gt;='정책'!$C$6,M243=1,L243&gt;=N243),1,0)</ns0:f>
        <ns0:v>1</ns0:v>
      </ns0:c>
    </ns0:row>
    <ns0:row r="244">
      <ns0:c r="B244" s="17" t="str">
        <ns0:f>'신청원본'!B244</ns0:f>
        <ns0:v>APP000239</ns0:v>
      </ns0:c>
      <ns0:c r="C244" s="17" t="str">
        <ns0:f>'신청원본'!C244</ns0:f>
        <ns0:v>000079</ns0:v>
      </ns0:c>
      <ns0:c r="D244" t="str">
        <ns0:f>'신청원본'!D244</ns0:f>
        <ns0:v>개발</ns0:v>
      </ns0:c>
      <ns0:c r="E244" t="str">
        <ns0:f>'신청원본'!E244</ns0:f>
        <ns0:v>C11</ns0:v>
      </ns0:c>
      <ns0:c r="F244" t="str">
        <ns0:f>'신청원본'!H244</ns0:f>
        <ns0:v>대기</ns0:v>
      </ns0:c>
      <ns0:c r="G244" s="18" t="n">
        <ns0:f>VLOOKUP(E244,'교육기준'!$B$6:$F$17,3,FALSE)</ns0:f>
        <ns0:v>275015</ns0:v>
      </ns0:c>
      <ns0:c r="H244" s="18" t="n">
        <ns0:f>'신청원본'!G244</ns0:f>
        <ns0:v>4</ns0:v>
      </ns0:c>
      <ns0:c r="I244" s="19" t="n">
        <ns0:f>'신청원본'!I244</ns0:f>
        <ns0:v>0.1</ns0:v>
      </ns0:c>
      <ns0:c r="J244" s="18" t="n">
        <ns0:f>IF(F244="승인",IF(COUNTA('신청원본'!J244)=0,ROUND(G244*H244*(1-I244),'정책'!$C$8),'신청원본'!J244),0)</ns0:f>
        <ns0:v>0</ns0:v>
      </ns0:c>
      <ns0:c r="K244" t="n">
        <ns0:f>SUMIFS('출결원본'!$D$6:$D$1445,'출결원본'!$B$6:$B$1445,B244)</ns0:f>
        <ns0:v>3</ns0:v>
      </ns0:c>
      <ns0:c r="L244" t="n">
        <ns0:f>VLOOKUP(B244,'평가원본'!$B$6:$D$485,2,FALSE)</ns0:f>
        <ns0:v>84</ns0:v>
      </ns0:c>
      <ns0:c r="M244" t="n">
        <ns0:f>VLOOKUP(B244,'평가원본'!$B$6:$D$485,3,FALSE)</ns0:f>
        <ns0:v>1</ns0:v>
      </ns0:c>
      <ns0:c r="N244" t="n">
        <ns0:f>VLOOKUP(E244,'교육기준'!$B$6:$F$17,5,FALSE)</ns0:f>
        <ns0:v>70</ns0:v>
      </ns0:c>
      <ns0:c r="O244" t="n">
        <ns0:f>IF(AND(F244="승인",K244&gt;='정책'!$C$6,M244=1,L244&gt;=N244),1,0)</ns0:f>
        <ns0:v>0</ns0:v>
      </ns0:c>
    </ns0:row>
    <ns0:row r="245">
      <ns0:c r="B245" s="17" t="str">
        <ns0:f>'신청원본'!B245</ns0:f>
        <ns0:v>APP000240</ns0:v>
      </ns0:c>
      <ns0:c r="C245" s="17" t="str">
        <ns0:f>'신청원본'!C245</ns0:f>
        <ns0:v>000080</ns0:v>
      </ns0:c>
      <ns0:c r="D245" t="str">
        <ns0:f>'신청원본'!D245</ns0:f>
        <ns0:v>생산</ns0:v>
      </ns0:c>
      <ns0:c r="E245" t="str">
        <ns0:f>'신청원본'!E245</ns0:f>
        <ns0:v>C06</ns0:v>
      </ns0:c>
      <ns0:c r="F245" t="str">
        <ns0:f>'신청원본'!H245</ns0:f>
        <ns0:v>승인</ns0:v>
      </ns0:c>
      <ns0:c r="G245" s="18" t="n">
        <ns0:f>VLOOKUP(E245,'교육기준'!$B$6:$F$17,3,FALSE)</ns0:f>
        <ns0:v>187510</ns0:v>
      </ns0:c>
      <ns0:c r="H245" s="18" t="n">
        <ns0:f>'신청원본'!G245</ns0:f>
        <ns0:v>5</ns0:v>
      </ns0:c>
      <ns0:c r="I245" s="19" t="n">
        <ns0:f>'신청원본'!I245</ns0:f>
        <ns0:v>0.125</ns0:v>
      </ns0:c>
      <ns0:c r="J245" s="18" t="n">
        <ns0:f>IF(F245="승인",IF(COUNTA('신청원본'!J245)=0,ROUND(G245*H245*(1-I245),'정책'!$C$8),'신청원본'!J245),0)</ns0:f>
      </ns0:c>
      <ns0:c r="K245" t="n">
        <ns0:f>SUMIFS('출결원본'!$D$6:$D$1445,'출결원본'!$B$6:$B$1445,B245)</ns0:f>
        <ns0:v>3</ns0:v>
      </ns0:c>
      <ns0:c r="L245" t="n">
        <ns0:f>VLOOKUP(B245,'평가원본'!$B$6:$D$485,2,FALSE)</ns0:f>
        <ns0:v>91</ns0:v>
      </ns0:c>
      <ns0:c r="M245" t="n">
        <ns0:f>VLOOKUP(B245,'평가원본'!$B$6:$D$485,3,FALSE)</ns0:f>
        <ns0:v>1</ns0:v>
      </ns0:c>
      <ns0:c r="N245" t="n">
        <ns0:f>VLOOKUP(E245,'교육기준'!$B$6:$F$17,5,FALSE)</ns0:f>
        <ns0:v>80</ns0:v>
      </ns0:c>
      <ns0:c r="O245" t="n">
        <ns0:f>IF(AND(F245="승인",K245&gt;=RequiredAttendance,M245=1,L245&gt;=N245),1,0)</ns0:f>
        <ns0:v>1</ns0:v>
      </ns0:c>
    </ns0:row>
    <ns0:row r="246">
      <ns0:c r="B246" s="17" t="str">
        <ns0:f>'신청원본'!B246</ns0:f>
        <ns0:v>APP000241</ns0:v>
      </ns0:c>
      <ns0:c r="C246" s="17" t="str">
        <ns0:f>'신청원본'!C246</ns0:f>
        <ns0:v>000081</ns0:v>
      </ns0:c>
      <ns0:c r="D246" t="str">
        <ns0:f>'신청원본'!D246</ns0:f>
        <ns0:v>품질</ns0:v>
      </ns0:c>
      <ns0:c r="E246" t="str">
        <ns0:f>'신청원본'!E246</ns0:f>
        <ns0:v>C01</ns0:v>
      </ns0:c>
      <ns0:c r="F246" t="str">
        <ns0:f>'신청원본'!H246</ns0:f>
        <ns0:v>승인</ns0:v>
      </ns0:c>
      <ns0:c r="G246" s="18" t="n">
        <ns0:f>VLOOKUP(E246,'교육기준'!$B$6:$F$17,3,FALSE)</ns0:f>
        <ns0:v>100005</ns0:v>
      </ns0:c>
      <ns0:c r="H246" s="18" t="n">
        <ns0:f>'신청원본'!G246</ns0:f>
        <ns0:v>0</ns0:v>
      </ns0:c>
      <ns0:c r="I246" s="19" t="n">
        <ns0:f>'신청원본'!I246</ns0:f>
        <ns0:v>0</ns0:v>
      </ns0:c>
      <ns0:c r="J246" s="18" t="n">
        <ns0:f>IF(F246="승인",IF(COUNTA('신청원본'!J246)=0,ROUND(G246*H246*(1-I246),'정책'!$C$8),'신청원본'!J246),0)</ns0:f>
        <ns0:v>0</ns0:v>
      </ns0:c>
      <ns0:c r="K246" t="n">
        <ns0:f>SUMIFS('출결원본'!$D$6:$D$1445,'출결원본'!$B$6:$B$1445,B246)</ns0:f>
        <ns0:v>3</ns0:v>
      </ns0:c>
      <ns0:c r="L246" t="n">
        <ns0:f>VLOOKUP(B246,'평가원본'!$B$6:$D$485,2,FALSE)</ns0:f>
        <ns0:v>98</ns0:v>
      </ns0:c>
      <ns0:c r="M246" t="n">
        <ns0:f>VLOOKUP(B246,'평가원본'!$B$6:$D$485,3,FALSE)</ns0:f>
        <ns0:v>1</ns0:v>
      </ns0:c>
      <ns0:c r="N246" t="n">
        <ns0:f>VLOOKUP(E246,'교육기준'!$B$6:$F$17,5,FALSE)</ns0:f>
        <ns0:v>60</ns0:v>
      </ns0:c>
      <ns0:c r="O246" t="n">
        <ns0:f>IF(AND(F246="승인",K246&gt;='정책'!$C$6,M246=1,L246&gt;=N246),1,0)</ns0:f>
        <ns0:v>1</ns0:v>
      </ns0:c>
    </ns0:row>
    <ns0:row r="247">
      <ns0:c r="B247" s="17" t="str">
        <ns0:f>'신청원본'!B247</ns0:f>
        <ns0:v>APP000242</ns0:v>
      </ns0:c>
      <ns0:c r="C247" s="17" t="str">
        <ns0:f>'신청원본'!C247</ns0:f>
        <ns0:v>000082</ns0:v>
      </ns0:c>
      <ns0:c r="D247" t="str">
        <ns0:f>'신청원본'!D247</ns0:f>
        <ns0:v>기획</ns0:v>
      </ns0:c>
      <ns0:c r="E247" t="str">
        <ns0:f>'신청원본'!E247</ns0:f>
        <ns0:v>C08</ns0:v>
      </ns0:c>
      <ns0:c r="F247" t="str">
        <ns0:f>'신청원본'!H247</ns0:f>
        <ns0:v>승인</ns0:v>
      </ns0:c>
      <ns0:c r="G247" s="18" t="n">
        <ns0:f>VLOOKUP(E247,'교육기준'!$B$6:$F$17,3,FALSE)</ns0:f>
        <ns0:v>222512</ns0:v>
      </ns0:c>
      <ns0:c r="H247" s="18" t="n">
        <ns0:f>'신청원본'!G247</ns0:f>
        <ns0:v>1</ns0:v>
      </ns0:c>
      <ns0:c r="I247" s="19" t="n">
        <ns0:f>'신청원본'!I247</ns0:f>
        <ns0:v>0.05</ns0:v>
      </ns0:c>
      <ns0:c r="J247" s="18" t="n">
        <ns0:f>IF(F247="승인",IF(COUNTA('신청원본'!J247)=0,ROUND(G247*H247*(1-I247),'정책'!$C$8),'신청원본'!J247),0)</ns0:f>
        <ns0:v>211386</ns0:v>
      </ns0:c>
      <ns0:c r="K247" t="n">
        <ns0:f>SUMIFS('출결원본'!$D$6:$D$1445,'출결원본'!$B$6:$B$1445,B247)</ns0:f>
        <ns0:v>3</ns0:v>
      </ns0:c>
      <ns0:c r="L247" t="n">
        <ns0:f>VLOOKUP(B247,'평가원본'!$B$6:$D$485,2,FALSE)</ns0:f>
        <ns0:v>54</ns0:v>
      </ns0:c>
      <ns0:c r="M247" t="n">
        <ns0:f>VLOOKUP(B247,'평가원본'!$B$6:$D$485,3,FALSE)</ns0:f>
        <ns0:v>1</ns0:v>
      </ns0:c>
      <ns0:c r="N247" t="n">
        <ns0:f>VLOOKUP(E247,'교육기준'!$B$6:$F$17,5,FALSE)</ns0:f>
        <ns0:v>70</ns0:v>
      </ns0:c>
      <ns0:c r="O247" t="n">
        <ns0:f>IF(AND(F247="승인",K247&gt;='정책'!$C$6,M247=1,L247&gt;=N247),1,0)</ns0:f>
        <ns0:v>0</ns0:v>
      </ns0:c>
    </ns0:row>
    <ns0:row r="248">
      <ns0:c r="B248" s="17" t="str">
        <ns0:f>'신청원본'!B248</ns0:f>
        <ns0:v>APP000243</ns0:v>
      </ns0:c>
      <ns0:c r="C248" s="17" t="str">
        <ns0:f>'신청원본'!C248</ns0:f>
        <ns0:v>000083</ns0:v>
      </ns0:c>
      <ns0:c r="D248" t="str">
        <ns0:f>'신청원본'!D248</ns0:f>
        <ns0:v>영업</ns0:v>
      </ns0:c>
      <ns0:c r="E248" t="str">
        <ns0:f>'신청원본'!E248</ns0:f>
        <ns0:v>C03</ns0:v>
      </ns0:c>
      <ns0:c r="F248" t="str">
        <ns0:f>'신청원본'!H248</ns0:f>
        <ns0:v>취소</ns0:v>
      </ns0:c>
      <ns0:c r="G248" s="18" t="n">
        <ns0:f>VLOOKUP(E248,'교육기준'!$B$6:$F$17,3,FALSE)</ns0:f>
        <ns0:v>135007</ns0:v>
      </ns0:c>
      <ns0:c r="H248" s="18" t="n">
        <ns0:f>'신청원본'!G248</ns0:f>
        <ns0:v>2</ns0:v>
      </ns0:c>
      <ns0:c r="I248" s="19" t="n">
        <ns0:f>'신청원본'!I248</ns0:f>
        <ns0:v>0.1</ns0:v>
      </ns0:c>
      <ns0:c r="J248" s="18" t="n">
        <ns0:f>IF(F248="승인",IF(COUNTA('신청원본'!J248)=0,ROUND(G248*H248*(1-I248),'정책'!$C$8),'신청원본'!J248),0)</ns0:f>
        <ns0:v>0</ns0:v>
      </ns0:c>
      <ns0:c r="K248" t="n">
        <ns0:f>SUMIFS('출결원본'!$D$6:$D$1445,'출결원본'!$B$6:$B$1445,B248)</ns0:f>
        <ns0:v>3</ns0:v>
      </ns0:c>
      <ns0:c r="L248" t="n">
        <ns0:f>VLOOKUP(B248,'평가원본'!$B$6:$D$485,2,FALSE)</ns0:f>
        <ns0:v>61</ns0:v>
      </ns0:c>
      <ns0:c r="M248" t="n">
        <ns0:f>VLOOKUP(B248,'평가원본'!$B$6:$D$485,3,FALSE)</ns0:f>
        <ns0:v>1</ns0:v>
      </ns0:c>
      <ns0:c r="N248" t="n">
        <ns0:f>VLOOKUP(E248,'교육기준'!$B$6:$F$17,5,FALSE)</ns0:f>
        <ns0:v>80</ns0:v>
      </ns0:c>
      <ns0:c r="O248" t="n">
        <ns0:f>IF(AND(F248="승인",K248&gt;='정책'!$C$6,M248=1,L248&gt;=N248),1,0)</ns0:f>
        <ns0:v>0</ns0:v>
      </ns0:c>
    </ns0:row>
    <ns0:row r="249">
      <ns0:c r="B249" s="17" t="str">
        <ns0:f>'신청원본'!B249</ns0:f>
        <ns0:v>APP000244</ns0:v>
      </ns0:c>
      <ns0:c r="C249" s="17" t="str">
        <ns0:f>'신청원본'!C249</ns0:f>
        <ns0:v>000084</ns0:v>
      </ns0:c>
      <ns0:c r="D249" t="str">
        <ns0:f>'신청원본'!D249</ns0:f>
        <ns0:v>지원</ns0:v>
      </ns0:c>
      <ns0:c r="E249" t="str">
        <ns0:f>'신청원본'!E249</ns0:f>
        <ns0:v>C10</ns0:v>
      </ns0:c>
      <ns0:c r="F249" t="str">
        <ns0:f>'신청원본'!H249</ns0:f>
        <ns0:v>승인</ns0:v>
      </ns0:c>
      <ns0:c r="G249" s="18" t="n">
        <ns0:f>VLOOKUP(E249,'교육기준'!$B$6:$F$17,3,FALSE)</ns0:f>
        <ns0:v>257514</ns0:v>
      </ns0:c>
      <ns0:c r="H249" s="18" t="n">
        <ns0:f>'신청원본'!G249</ns0:f>
        <ns0:v>3</ns0:v>
      </ns0:c>
      <ns0:c r="I249" s="19" t="n">
        <ns0:f>'신청원본'!I249</ns0:f>
        <ns0:v>0.125</ns0:v>
      </ns0:c>
      <ns0:c r="J249" s="18" t="n">
        <ns0:f>IF(F249="승인",IF(COUNTA('신청원본'!J249)=0,ROUND(G249*H249*(1-I249),'정책'!$C$8),'신청원본'!J249),0)</ns0:f>
        <ns0:v>675974</ns0:v>
      </ns0:c>
      <ns0:c r="K249" t="n">
        <ns0:f>SUMIFS('출결원본'!$D$6:$D$1445,'출결원본'!$B$6:$B$1445,B249)</ns0:f>
        <ns0:v>2</ns0:v>
      </ns0:c>
      <ns0:c r="L249" t="n">
        <ns0:f>VLOOKUP(B249,'평가원본'!$B$6:$D$485,2,FALSE)</ns0:f>
        <ns0:v>68</ns0:v>
      </ns0:c>
      <ns0:c r="M249" t="n">
        <ns0:f>VLOOKUP(B249,'평가원본'!$B$6:$D$485,3,FALSE)</ns0:f>
        <ns0:v>1</ns0:v>
      </ns0:c>
      <ns0:c r="N249" t="n">
        <ns0:f>VLOOKUP(E249,'교육기준'!$B$6:$F$17,5,FALSE)</ns0:f>
        <ns0:v>60</ns0:v>
      </ns0:c>
      <ns0:c r="O249" t="n">
        <ns0:f>IF(AND(F249="승인",K249&gt;='정책'!$C$6,M249=1,L249&gt;=N249),1,0)</ns0:f>
        <ns0:v>0</ns0:v>
      </ns0:c>
    </ns0:row>
    <ns0:row r="250">
      <ns0:c r="B250" s="17" t="str">
        <ns0:f>'신청원본'!B250</ns0:f>
        <ns0:v>APP000245</ns0:v>
      </ns0:c>
      <ns0:c r="C250" s="17" t="str">
        <ns0:f>'신청원본'!C250</ns0:f>
        <ns0:v>000085</ns0:v>
      </ns0:c>
      <ns0:c r="D250" t="str">
        <ns0:f>'신청원본'!D250</ns0:f>
        <ns0:v>개발</ns0:v>
      </ns0:c>
      <ns0:c r="E250" t="str">
        <ns0:f>'신청원본'!E250</ns0:f>
        <ns0:v>C05</ns0:v>
      </ns0:c>
      <ns0:c r="F250" t="str">
        <ns0:f>'신청원본'!H250</ns0:f>
        <ns0:v>승인</ns0:v>
      </ns0:c>
      <ns0:c r="G250" s="18" t="n">
        <ns0:f>VLOOKUP(E250,'교육기준'!$B$6:$F$17,3,FALSE)</ns0:f>
        <ns0:v>170009</ns0:v>
      </ns0:c>
      <ns0:c r="H250" s="18" t="n">
        <ns0:f>'신청원본'!G250</ns0:f>
        <ns0:v>4</ns0:v>
      </ns0:c>
      <ns0:c r="I250" s="19" t="n">
        <ns0:f>'신청원본'!I250</ns0:f>
        <ns0:v>0</ns0:v>
      </ns0:c>
      <ns0:c r="J250" s="18" t="n">
        <ns0:f>IF(F250="승인",IF(COUNTA('신청원본'!J250)=0,ROUND(G250*H250*(1-I250),'정책'!$C$8),'신청원본'!J250),0)</ns0:f>
        <ns0:v>680036</ns0:v>
      </ns0:c>
      <ns0:c r="K250" t="n">
        <ns0:f>SUMIFS('출결원본'!$D$6:$D$1445,'출결원본'!$B$6:$B$1445,B250)</ns0:f>
        <ns0:v>3</ns0:v>
      </ns0:c>
      <ns0:c r="L250" t="n">
        <ns0:f>VLOOKUP(B250,'평가원본'!$B$6:$D$485,2,FALSE)</ns0:f>
        <ns0:v>75</ns0:v>
      </ns0:c>
      <ns0:c r="M250" t="n">
        <ns0:f>VLOOKUP(B250,'평가원본'!$B$6:$D$485,3,FALSE)</ns0:f>
        <ns0:v>1</ns0:v>
      </ns0:c>
      <ns0:c r="N250" t="n">
        <ns0:f>VLOOKUP(E250,'교육기준'!$B$6:$F$17,5,FALSE)</ns0:f>
        <ns0:v>70</ns0:v>
      </ns0:c>
      <ns0:c r="O250" t="n">
        <ns0:f>IF(AND(F250="승인",K250&gt;='정책'!$C$6,M250=1,L250&gt;=N250),1,0)</ns0:f>
        <ns0:v>1</ns0:v>
      </ns0:c>
    </ns0:row>
    <ns0:row r="251">
      <ns0:c r="B251" s="17" t="str">
        <ns0:f>'신청원본'!B251</ns0:f>
        <ns0:v>APP000246</ns0:v>
      </ns0:c>
      <ns0:c r="C251" s="17" t="str">
        <ns0:f>'신청원본'!C251</ns0:f>
        <ns0:v>000086</ns0:v>
      </ns0:c>
      <ns0:c r="D251" t="str">
        <ns0:f>'신청원본'!D251</ns0:f>
        <ns0:v>생산</ns0:v>
      </ns0:c>
      <ns0:c r="E251" t="str">
        <ns0:f>'신청원본'!E251</ns0:f>
        <ns0:v>C12</ns0:v>
      </ns0:c>
      <ns0:c r="F251" t="str">
        <ns0:f>'신청원본'!H251</ns0:f>
        <ns0:v>대기</ns0:v>
      </ns0:c>
      <ns0:c r="G251" s="18" t="n">
        <ns0:f>VLOOKUP(E251,'교육기준'!$B$6:$F$17,3,FALSE)</ns0:f>
        <ns0:v>292516</ns0:v>
      </ns0:c>
      <ns0:c r="H251" s="18" t="n">
        <ns0:f>'신청원본'!G251</ns0:f>
        <ns0:v>5</ns0:v>
      </ns0:c>
      <ns0:c r="I251" s="19" t="n">
        <ns0:f>'신청원본'!I251</ns0:f>
        <ns0:v>0.05</ns0:v>
      </ns0:c>
      <ns0:c r="J251" s="18" t="n">
        <ns0:f>IF(F251="승인",IF(COUNTA('신청원본'!J251)=0,ROUND(G251*H251*(1-I251),'정책'!$C$8),'신청원본'!J251),0)</ns0:f>
        <ns0:v>0</ns0:v>
      </ns0:c>
      <ns0:c r="K251" t="n">
        <ns0:f>SUMIFS('출결원본'!$D$6:$D$1445,'출결원본'!$B$6:$B$1445,B251)</ns0:f>
        <ns0:v>3</ns0:v>
      </ns0:c>
      <ns0:c r="L251" t="n">
        <ns0:f>VLOOKUP(B251,'평가원본'!$B$6:$D$485,2,FALSE)</ns0:f>
        <ns0:v>82</ns0:v>
      </ns0:c>
      <ns0:c r="M251" t="n">
        <ns0:f>VLOOKUP(B251,'평가원본'!$B$6:$D$485,3,FALSE)</ns0:f>
        <ns0:v>1</ns0:v>
      </ns0:c>
      <ns0:c r="N251" t="n">
        <ns0:f>VLOOKUP(E251,'교육기준'!$B$6:$F$17,5,FALSE)</ns0:f>
        <ns0:v>80</ns0:v>
      </ns0:c>
      <ns0:c r="O251" t="n">
        <ns0:f>IF(AND(F251="승인",K251&gt;='정책'!$C$6,M251=1,L251&gt;=N251),1,0)</ns0:f>
        <ns0:v>0</ns0:v>
      </ns0:c>
    </ns0:row>
    <ns0:row r="252">
      <ns0:c r="B252" s="17" t="str">
        <ns0:f>'신청원본'!B252</ns0:f>
        <ns0:v>APP000247</ns0:v>
      </ns0:c>
      <ns0:c r="C252" s="17" t="str">
        <ns0:f>'신청원본'!C252</ns0:f>
        <ns0:v>000087</ns0:v>
      </ns0:c>
      <ns0:c r="D252" t="str">
        <ns0:f>'신청원본'!D252</ns0:f>
        <ns0:v>품질</ns0:v>
      </ns0:c>
      <ns0:c r="E252" t="str">
        <ns0:f>'신청원본'!E252</ns0:f>
        <ns0:v>C07</ns0:v>
      </ns0:c>
      <ns0:c r="F252" t="str">
        <ns0:f>'신청원본'!H252</ns0:f>
        <ns0:v>승인</ns0:v>
      </ns0:c>
      <ns0:c r="G252" s="18" t="n">
        <ns0:f>VLOOKUP(E252,'교육기준'!$B$6:$F$17,3,FALSE)</ns0:f>
        <ns0:v>205011</ns0:v>
      </ns0:c>
      <ns0:c r="H252" s="18" t="n">
        <ns0:f>'신청원본'!G252</ns0:f>
        <ns0:v>0</ns0:v>
      </ns0:c>
      <ns0:c r="I252" s="19" t="n">
        <ns0:f>'신청원본'!I252</ns0:f>
        <ns0:v>0.1</ns0:v>
      </ns0:c>
      <ns0:c r="J252" s="18" t="n">
        <ns0:f>IF(F252="승인",IF(COUNTA('신청원본'!J252)=0,ROUND(G252*H252*(1-I252),'정책'!$C$8),'신청원본'!J252),0)</ns0:f>
        <ns0:v>0</ns0:v>
      </ns0:c>
      <ns0:c r="K252" t="n">
        <ns0:f>SUMIFS('출결원본'!$D$6:$D$1445,'출결원본'!$B$6:$B$1445,B252)</ns0:f>
        <ns0:v>3</ns0:v>
      </ns0:c>
      <ns0:c r="L252" t="n">
        <ns0:f>VLOOKUP(B252,'평가원본'!$B$6:$D$485,2,FALSE)</ns0:f>
        <ns0:v>89</ns0:v>
      </ns0:c>
      <ns0:c r="M252" t="n">
        <ns0:f>VLOOKUP(B252,'평가원본'!$B$6:$D$485,3,FALSE)</ns0:f>
        <ns0:v>1</ns0:v>
      </ns0:c>
      <ns0:c r="N252" t="n">
        <ns0:f>VLOOKUP(E252,'교육기준'!$B$6:$F$17,5,FALSE)</ns0:f>
        <ns0:v>60</ns0:v>
      </ns0:c>
      <ns0:c r="O252" t="n">
        <ns0:f>IF(AND(F252="승인",K252&gt;='정책'!$C$6,M252=1,L252&gt;=N252),1,0)</ns0:f>
        <ns0:v>1</ns0:v>
      </ns0:c>
    </ns0:row>
    <ns0:row r="253">
      <ns0:c r="B253" s="17" t="str">
        <ns0:f>'신청원본'!B253</ns0:f>
        <ns0:v>APP000248</ns0:v>
      </ns0:c>
      <ns0:c r="C253" s="17" t="str">
        <ns0:f>'신청원본'!C253</ns0:f>
        <ns0:v>000088</ns0:v>
      </ns0:c>
      <ns0:c r="D253" t="str">
        <ns0:f>'신청원본'!D253</ns0:f>
        <ns0:v>기획</ns0:v>
      </ns0:c>
      <ns0:c r="E253" t="str">
        <ns0:f>'신청원본'!E253</ns0:f>
        <ns0:v>C02</ns0:v>
      </ns0:c>
      <ns0:c r="F253" t="str">
        <ns0:f>'신청원본'!H253</ns0:f>
        <ns0:v>승인</ns0:v>
      </ns0:c>
      <ns0:c r="G253" s="18" t="n">
        <ns0:f>VLOOKUP(E253,'교육기준'!$B$6:$F$17,3,FALSE)</ns0:f>
        <ns0:v>117506</ns0:v>
      </ns0:c>
      <ns0:c r="H253" s="18" t="n">
        <ns0:f>'신청원본'!G253</ns0:f>
        <ns0:v>1</ns0:v>
      </ns0:c>
      <ns0:c r="I253" s="19" t="n">
        <ns0:f>'신청원본'!I253</ns0:f>
        <ns0:v>0.125</ns0:v>
      </ns0:c>
      <ns0:c r="J253" s="18" t="n">
        <ns0:f>IF(F253="승인",IF(COUNTA('신청원본'!J253)=0,ROUND(G253*H253*(1-I253),'정책'!$C$8),'신청원본'!J253),0)</ns0:f>
        <ns0:v>102818</ns0:v>
      </ns0:c>
      <ns0:c r="K253" t="n">
        <ns0:f>SUMIFS('출결원본'!$D$6:$D$1445,'출결원본'!$B$6:$B$1445,B253)</ns0:f>
        <ns0:v>2</ns0:v>
      </ns0:c>
      <ns0:c r="L253" t="n">
        <ns0:f>VLOOKUP(B253,'평가원본'!$B$6:$D$485,2,FALSE)</ns0:f>
        <ns0:v>96</ns0:v>
      </ns0:c>
      <ns0:c r="M253" t="n">
        <ns0:f>VLOOKUP(B253,'평가원본'!$B$6:$D$485,3,FALSE)</ns0:f>
        <ns0:v>0</ns0:v>
      </ns0:c>
      <ns0:c r="N253" t="n">
        <ns0:f>VLOOKUP(E253,'교육기준'!$B$6:$F$17,5,FALSE)</ns0:f>
        <ns0:v>70</ns0:v>
      </ns0:c>
      <ns0:c r="O253" t="n">
        <ns0:f>IF(AND(F253="승인",K253&gt;='정책'!$C$6,M253=1,L253&gt;=N253),1,0)</ns0:f>
        <ns0:v>0</ns0:v>
      </ns0:c>
    </ns0:row>
    <ns0:row r="254">
      <ns0:c r="B254" s="17" t="str">
        <ns0:f>'신청원본'!B254</ns0:f>
        <ns0:v>APP000249</ns0:v>
      </ns0:c>
      <ns0:c r="C254" s="17" t="str">
        <ns0:f>'신청원본'!C254</ns0:f>
        <ns0:v>000089</ns0:v>
      </ns0:c>
      <ns0:c r="D254" t="str">
        <ns0:f>'신청원본'!D254</ns0:f>
        <ns0:v>영업</ns0:v>
      </ns0:c>
      <ns0:c r="E254" t="str">
        <ns0:f>'신청원본'!E254</ns0:f>
        <ns0:v>C09</ns0:v>
      </ns0:c>
      <ns0:c r="F254" t="str">
        <ns0:f>'신청원본'!H254</ns0:f>
        <ns0:v>승인</ns0:v>
      </ns0:c>
      <ns0:c r="G254" s="18" t="n">
        <ns0:f>VLOOKUP(E254,'교육기준'!$B$6:$F$17,3,FALSE)</ns0:f>
        <ns0:v>240013</ns0:v>
      </ns0:c>
      <ns0:c r="H254" s="18" t="n">
        <ns0:f>'신청원본'!G254</ns0:f>
        <ns0:v>2</ns0:v>
      </ns0:c>
      <ns0:c r="I254" s="19" t="n">
        <ns0:f>'신청원본'!I254</ns0:f>
        <ns0:v>0</ns0:v>
      </ns0:c>
      <ns0:c r="J254" s="18" t="n">
        <ns0:f>IF(F254="승인",IF(COUNTA('신청원본'!J254)=0,ROUND(G254*H254*(1-I254),'정책'!$C$8),'신청원본'!J254),0)</ns0:f>
        <ns0:v>480026</ns0:v>
      </ns0:c>
      <ns0:c r="K254" t="n">
        <ns0:f>SUMIFS('출결원본'!$D$6:$D$1445,'출결원본'!$B$6:$B$1445,B254)</ns0:f>
        <ns0:v>3</ns0:v>
      </ns0:c>
      <ns0:c r="L254" t="n">
        <ns0:f>VLOOKUP(B254,'평가원본'!$B$6:$D$485,2,FALSE)</ns0:f>
        <ns0:v>52</ns0:v>
      </ns0:c>
      <ns0:c r="M254" t="n">
        <ns0:f>VLOOKUP(B254,'평가원본'!$B$6:$D$485,3,FALSE)</ns0:f>
        <ns0:v>1</ns0:v>
      </ns0:c>
      <ns0:c r="N254" t="n">
        <ns0:f>VLOOKUP(E254,'교육기준'!$B$6:$F$17,5,FALSE)</ns0:f>
        <ns0:v>80</ns0:v>
      </ns0:c>
      <ns0:c r="O254" t="n">
        <ns0:f>IF(AND(F254="승인",K254&gt;='정책'!$C$6,M254=1,L254&gt;=N254),1,0)</ns0:f>
        <ns0:v>0</ns0:v>
      </ns0:c>
    </ns0:row>
    <ns0:row r="255">
      <ns0:c r="B255" s="17" t="str">
        <ns0:f>'신청원본'!B255</ns0:f>
        <ns0:v>APP000250</ns0:v>
      </ns0:c>
      <ns0:c r="C255" s="17" t="str">
        <ns0:f>'신청원본'!C255</ns0:f>
        <ns0:v>000090</ns0:v>
      </ns0:c>
      <ns0:c r="D255" t="str">
        <ns0:f>'신청원본'!D255</ns0:f>
        <ns0:v>지원</ns0:v>
      </ns0:c>
      <ns0:c r="E255" t="str">
        <ns0:f>'신청원본'!E255</ns0:f>
        <ns0:v>C04</ns0:v>
      </ns0:c>
      <ns0:c r="F255" t="str">
        <ns0:f>'신청원본'!H255</ns0:f>
        <ns0:v>승인</ns0:v>
      </ns0:c>
      <ns0:c r="G255" s="18" t="n">
        <ns0:f>VLOOKUP(E255,'교육기준'!$B$6:$F$17,3,FALSE)</ns0:f>
        <ns0:v>152508</ns0:v>
      </ns0:c>
      <ns0:c r="H255" s="18" t="n">
        <ns0:f>'신청원본'!G255</ns0:f>
        <ns0:v>3</ns0:v>
      </ns0:c>
      <ns0:c r="I255" s="19" t="n">
        <ns0:f>'신청원본'!I255</ns0:f>
        <ns0:v>0.05</ns0:v>
      </ns0:c>
      <ns0:c r="J255" s="18" t="n">
        <ns0:f>IF(F255="승인",IF(COUNTA('신청원본'!J255)=0,ROUND(G255*H255*(1-I255),'정책'!$C$8),'신청원본'!J255),0)</ns0:f>
        <ns0:v>434648</ns0:v>
      </ns0:c>
      <ns0:c r="K255" t="n">
        <ns0:f>SUMIFS('출결원본'!$D$6:$D$1445,'출결원본'!$B$6:$B$1445,B255)</ns0:f>
        <ns0:v>3</ns0:v>
      </ns0:c>
      <ns0:c r="L255" t="n">
        <ns0:f>VLOOKUP(B255,'평가원본'!$B$6:$D$485,2,FALSE)</ns0:f>
        <ns0:v>59</ns0:v>
      </ns0:c>
      <ns0:c r="M255" t="n">
        <ns0:f>VLOOKUP(B255,'평가원본'!$B$6:$D$485,3,FALSE)</ns0:f>
        <ns0:v>1</ns0:v>
      </ns0:c>
      <ns0:c r="N255" t="n">
        <ns0:f>VLOOKUP(E255,'교육기준'!$B$6:$F$17,5,FALSE)</ns0:f>
        <ns0:v>60</ns0:v>
      </ns0:c>
      <ns0:c r="O255" t="n">
        <ns0:f>IF(AND(F255="승인",K255&gt;='정책'!$C$6,M255=1,L255&gt;=N255),1,0)</ns0:f>
        <ns0:v>0</ns0:v>
      </ns0:c>
    </ns0:row>
    <ns0:row r="256">
      <ns0:c r="B256" s="17" t="str">
        <ns0:f>'신청원본'!B256</ns0:f>
        <ns0:v>APP000251</ns0:v>
      </ns0:c>
      <ns0:c r="C256" s="17" t="str">
        <ns0:f>'신청원본'!C256</ns0:f>
        <ns0:v>000091</ns0:v>
      </ns0:c>
      <ns0:c r="D256" t="str">
        <ns0:f>'신청원본'!D256</ns0:f>
        <ns0:v>개발</ns0:v>
      </ns0:c>
      <ns0:c r="E256" t="str">
        <ns0:f>'신청원본'!E256</ns0:f>
        <ns0:v>C11</ns0:v>
      </ns0:c>
      <ns0:c r="F256" t="str">
        <ns0:f>'신청원본'!H256</ns0:f>
        <ns0:v>승인</ns0:v>
      </ns0:c>
      <ns0:c r="G256" s="18" t="n">
        <ns0:f>VLOOKUP(E256,'교육기준'!$B$6:$F$17,3,FALSE)</ns0:f>
        <ns0:v>275015</ns0:v>
      </ns0:c>
      <ns0:c r="H256" s="18" t="n">
        <ns0:f>'신청원본'!G256</ns0:f>
        <ns0:v>4</ns0:v>
      </ns0:c>
      <ns0:c r="I256" s="19" t="n">
        <ns0:f>'신청원본'!I256</ns0:f>
        <ns0:v>0.1</ns0:v>
      </ns0:c>
      <ns0:c r="J256" s="18" t="n">
        <ns0:f>IF(F256="승인",IF(COUNTA('신청원본'!J256)=0,ROUND(G256*H256*(1-I256),'정책'!$C$8),'신청원본'!J256),0)</ns0:f>
        <ns0:v>990054</ns0:v>
      </ns0:c>
      <ns0:c r="K256" t="n">
        <ns0:f>SUMIFS('출결원본'!$D$6:$D$1445,'출결원본'!$B$6:$B$1445,B256)</ns0:f>
        <ns0:v>3</ns0:v>
      </ns0:c>
      <ns0:c r="L256" t="n">
        <ns0:f>VLOOKUP(B256,'평가원본'!$B$6:$D$485,2,FALSE)</ns0:f>
        <ns0:v>66</ns0:v>
      </ns0:c>
      <ns0:c r="M256" t="n">
        <ns0:f>VLOOKUP(B256,'평가원본'!$B$6:$D$485,3,FALSE)</ns0:f>
        <ns0:v>1</ns0:v>
      </ns0:c>
      <ns0:c r="N256" t="n">
        <ns0:f>VLOOKUP(E256,'교육기준'!$B$6:$F$17,5,FALSE)</ns0:f>
        <ns0:v>70</ns0:v>
      </ns0:c>
      <ns0:c r="O256" t="n">
        <ns0:f>IF(AND(F256="승인",K256&gt;='정책'!$C$6,M256=1,L256&gt;=N256),1,0)</ns0:f>
        <ns0:v>0</ns0:v>
      </ns0:c>
    </ns0:row>
    <ns0:row r="257">
      <ns0:c r="B257" s="17" t="str">
        <ns0:f>'신청원본'!B257</ns0:f>
        <ns0:v>APP000252</ns0:v>
      </ns0:c>
      <ns0:c r="C257" s="17" t="str">
        <ns0:f>'신청원본'!C257</ns0:f>
        <ns0:v>000092</ns0:v>
      </ns0:c>
      <ns0:c r="D257" t="str">
        <ns0:f>'신청원본'!D257</ns0:f>
        <ns0:v>생산</ns0:v>
      </ns0:c>
      <ns0:c r="E257" t="str">
        <ns0:f>'신청원본'!E257</ns0:f>
        <ns0:v>C06</ns0:v>
      </ns0:c>
      <ns0:c r="F257" t="str">
        <ns0:f>'신청원본'!H257</ns0:f>
        <ns0:v>승인</ns0:v>
      </ns0:c>
      <ns0:c r="G257" s="18" t="n">
        <ns0:f>VLOOKUP(E257,'교육기준'!$B$6:$F$17,3,FALSE)</ns0:f>
        <ns0:v>187510</ns0:v>
      </ns0:c>
      <ns0:c r="H257" s="18" t="n">
        <ns0:f>'신청원본'!G257</ns0:f>
        <ns0:v>5</ns0:v>
      </ns0:c>
      <ns0:c r="I257" s="19" t="n">
        <ns0:f>'신청원본'!I257</ns0:f>
        <ns0:v>0.125</ns0:v>
      </ns0:c>
      <ns0:c r="J257" s="18" t="n">
        <ns0:f>IF(F257="승인",IF(COUNTA('신청원본'!J257)=0,ROUND(G257*H257*(1-I257),'정책'!$C$8),'신청원본'!J257),0)</ns0:f>
        <ns0:v>820356</ns0:v>
      </ns0:c>
      <ns0:c r="K257" t="n">
        <ns0:f>SUMIFS('출결원본'!$D$6:$D$1445,'출결원본'!$B$6:$B$1445,B257)</ns0:f>
        <ns0:v>3</ns0:v>
      </ns0:c>
      <ns0:c r="L257" t="n">
        <ns0:f>VLOOKUP(B257,'평가원본'!$B$6:$D$485,2,FALSE)</ns0:f>
        <ns0:v>73</ns0:v>
      </ns0:c>
      <ns0:c r="M257" t="n">
        <ns0:f>VLOOKUP(B257,'평가원본'!$B$6:$D$485,3,FALSE)</ns0:f>
        <ns0:v>1</ns0:v>
      </ns0:c>
      <ns0:c r="N257" t="n">
        <ns0:f>VLOOKUP(E257,'교육기준'!$B$6:$F$17,5,FALSE)</ns0:f>
        <ns0:v>80</ns0:v>
      </ns0:c>
      <ns0:c r="O257" t="n">
        <ns0:f>IF(AND(F257="승인",K257&gt;='정책'!$C$6,M257=1,L257&gt;=N257),1,0)</ns0:f>
        <ns0:v>0</ns0:v>
      </ns0:c>
    </ns0:row>
    <ns0:row r="258">
      <ns0:c r="B258" s="17" t="str">
        <ns0:f>'신청원본'!B258</ns0:f>
        <ns0:v>APP000253</ns0:v>
      </ns0:c>
      <ns0:c r="C258" s="17" t="str">
        <ns0:f>'신청원본'!C258</ns0:f>
        <ns0:v>000093</ns0:v>
      </ns0:c>
      <ns0:c r="D258" t="str">
        <ns0:f>'신청원본'!D258</ns0:f>
        <ns0:v>품질</ns0:v>
      </ns0:c>
      <ns0:c r="E258" t="str">
        <ns0:f>'신청원본'!E258</ns0:f>
        <ns0:v>C01</ns0:v>
      </ns0:c>
      <ns0:c r="F258" t="str">
        <ns0:f>'신청원본'!H258</ns0:f>
        <ns0:v>대기</ns0:v>
      </ns0:c>
      <ns0:c r="G258" s="18" t="n">
        <ns0:f>VLOOKUP(E258,'교육기준'!$B$6:$F$17,3,FALSE)</ns0:f>
        <ns0:v>100005</ns0:v>
      </ns0:c>
      <ns0:c r="H258" s="18" t="n">
        <ns0:f>'신청원본'!G258</ns0:f>
        <ns0:v>0</ns0:v>
      </ns0:c>
      <ns0:c r="I258" s="19" t="n">
        <ns0:f>'신청원본'!I258</ns0:f>
        <ns0:v>0</ns0:v>
      </ns0:c>
      <ns0:c r="J258" s="18" t="n">
        <ns0:f>IF(F258="승인",IF(COUNTA('신청원본'!J258)=0,ROUND(G258*H258*(1-I258),'정책'!$C$8),'신청원본'!J258),0)</ns0:f>
        <ns0:v>0</ns0:v>
      </ns0:c>
      <ns0:c r="K258" t="n">
        <ns0:f>SUMIFS('출결원본'!$D$6:$D$1445,'출결원본'!$B$6:$B$1445,B258)</ns0:f>
        <ns0:v>2</ns0:v>
      </ns0:c>
      <ns0:c r="L258" t="n">
        <ns0:f>VLOOKUP(B258,'평가원본'!$B$6:$D$485,2,FALSE)</ns0:f>
        <ns0:v>80</ns0:v>
      </ns0:c>
      <ns0:c r="M258" t="n">
        <ns0:f>VLOOKUP(B258,'평가원본'!$B$6:$D$485,3,FALSE)</ns0:f>
        <ns0:v>1</ns0:v>
      </ns0:c>
      <ns0:c r="N258" t="n">
        <ns0:f>VLOOKUP(E258,'교육기준'!$B$6:$F$17,5,FALSE)</ns0:f>
        <ns0:v>60</ns0:v>
      </ns0:c>
      <ns0:c r="O258" t="n">
        <ns0:f>IF(AND(F258="승인",K258&gt;='정책'!$C$6,M258=1,L258&gt;=N258),1,0)</ns0:f>
        <ns0:v>0</ns0:v>
      </ns0:c>
    </ns0:row>
    <ns0:row r="259">
      <ns0:c r="B259" s="17" t="str">
        <ns0:f>'신청원본'!B259</ns0:f>
        <ns0:v>APP000254</ns0:v>
      </ns0:c>
      <ns0:c r="C259" s="17" t="str">
        <ns0:f>'신청원본'!C259</ns0:f>
        <ns0:v>000094</ns0:v>
      </ns0:c>
      <ns0:c r="D259" t="str">
        <ns0:f>'신청원본'!D259</ns0:f>
        <ns0:v>기획</ns0:v>
      </ns0:c>
      <ns0:c r="E259" t="str">
        <ns0:f>'신청원본'!E259</ns0:f>
        <ns0:v>C08</ns0:v>
      </ns0:c>
      <ns0:c r="F259" t="str">
        <ns0:f>'신청원본'!H259</ns0:f>
        <ns0:v>취소</ns0:v>
      </ns0:c>
      <ns0:c r="G259" s="18" t="n">
        <ns0:f>VLOOKUP(E259,'교육기준'!$B$6:$F$17,3,FALSE)</ns0:f>
        <ns0:v>222512</ns0:v>
      </ns0:c>
      <ns0:c r="H259" s="18" t="n">
        <ns0:f>'신청원본'!G259</ns0:f>
        <ns0:v>1</ns0:v>
      </ns0:c>
      <ns0:c r="I259" s="19" t="n">
        <ns0:f>'신청원본'!I259</ns0:f>
        <ns0:v>0.05</ns0:v>
      </ns0:c>
      <ns0:c r="J259" s="18" t="n">
        <ns0:f>IF(F259="승인",IF(COUNTA('신청원본'!J259)=0,ROUND(G259*H259*(1-I259),'정책'!$C$8),'신청원본'!J259),0)</ns0:f>
        <ns0:v>0</ns0:v>
      </ns0:c>
      <ns0:c r="K259" t="n">
        <ns0:f>SUMIFS('출결원본'!$D$6:$D$1445,'출결원본'!$B$6:$B$1445,B259)</ns0:f>
        <ns0:v>3</ns0:v>
      </ns0:c>
      <ns0:c r="L259" t="n">
        <ns0:f>VLOOKUP(B259,'평가원본'!$B$6:$D$485,2,FALSE)</ns0:f>
        <ns0:v>87</ns0:v>
      </ns0:c>
      <ns0:c r="M259" t="n">
        <ns0:f>VLOOKUP(B259,'평가원본'!$B$6:$D$485,3,FALSE)</ns0:f>
        <ns0:v>1</ns0:v>
      </ns0:c>
      <ns0:c r="N259" t="n">
        <ns0:f>VLOOKUP(E259,'교육기준'!$B$6:$F$17,5,FALSE)</ns0:f>
        <ns0:v>70</ns0:v>
      </ns0:c>
      <ns0:c r="O259" t="n">
        <ns0:f>IF(AND(F259="승인",K259&gt;='정책'!$C$6,M259=1,L259&gt;=N259),1,0)</ns0:f>
        <ns0:v>0</ns0:v>
      </ns0:c>
    </ns0:row>
    <ns0:row r="260">
      <ns0:c r="B260" s="17" t="str">
        <ns0:f>'신청원본'!B260</ns0:f>
        <ns0:v>APP000255</ns0:v>
      </ns0:c>
      <ns0:c r="C260" s="17" t="str">
        <ns0:f>'신청원본'!C260</ns0:f>
        <ns0:v>000095</ns0:v>
      </ns0:c>
      <ns0:c r="D260" t="str">
        <ns0:f>'신청원본'!D260</ns0:f>
        <ns0:v>영업</ns0:v>
      </ns0:c>
      <ns0:c r="E260" t="str">
        <ns0:f>'신청원본'!E260</ns0:f>
        <ns0:v>C03</ns0:v>
      </ns0:c>
      <ns0:c r="F260" t="str">
        <ns0:f>'신청원본'!H260</ns0:f>
        <ns0:v>승인</ns0:v>
      </ns0:c>
      <ns0:c r="G260" s="18" t="n">
        <ns0:f>VLOOKUP(E260,'교육기준'!$B$6:$F$17,3,FALSE)</ns0:f>
        <ns0:v>135007</ns0:v>
      </ns0:c>
      <ns0:c r="H260" s="18" t="n">
        <ns0:f>'신청원본'!G260</ns0:f>
        <ns0:v>2</ns0:v>
      </ns0:c>
      <ns0:c r="I260" s="19" t="n">
        <ns0:f>'신청원본'!I260</ns0:f>
        <ns0:v>0.1</ns0:v>
      </ns0:c>
      <ns0:c r="J260" s="18" t="n">
        <ns0:f>IF(F260="승인",IF(COUNTA('신청원본'!J260)=0,ROUND(G260*H260*(1-I260),'정책'!$C$8),'신청원본'!J260),0)</ns0:f>
        <ns0:v>243013</ns0:v>
      </ns0:c>
      <ns0:c r="K260" t="n">
        <ns0:f>SUMIFS('출결원본'!$D$6:$D$1445,'출결원본'!$B$6:$B$1445,B260)</ns0:f>
        <ns0:v>3</ns0:v>
      </ns0:c>
      <ns0:c r="L260" t="n">
        <ns0:f>VLOOKUP(B260,'평가원본'!$B$6:$D$485,2,FALSE)</ns0:f>
        <ns0:v>94</ns0:v>
      </ns0:c>
      <ns0:c r="M260" t="n">
        <ns0:f>VLOOKUP(B260,'평가원본'!$B$6:$D$485,3,FALSE)</ns0:f>
        <ns0:v>1</ns0:v>
      </ns0:c>
      <ns0:c r="N260" t="n">
        <ns0:f>VLOOKUP(E260,'교육기준'!$B$6:$F$17,5,FALSE)</ns0:f>
        <ns0:v>80</ns0:v>
      </ns0:c>
      <ns0:c r="O260" t="n">
        <ns0:f>IF(AND(F260="승인",K260&gt;='정책'!$C$6,M260=1,L260&gt;=N260),1,0)</ns0:f>
        <ns0:v>1</ns0:v>
      </ns0:c>
    </ns0:row>
    <ns0:row r="261">
      <ns0:c r="B261" s="17" t="str">
        <ns0:f>'신청원본'!B261</ns0:f>
        <ns0:v>APP000256</ns0:v>
      </ns0:c>
      <ns0:c r="C261" s="17" t="str">
        <ns0:f>'신청원본'!C261</ns0:f>
        <ns0:v>000096</ns0:v>
      </ns0:c>
      <ns0:c r="D261" t="str">
        <ns0:f>'신청원본'!D261</ns0:f>
        <ns0:v>지원</ns0:v>
      </ns0:c>
      <ns0:c r="E261" t="str">
        <ns0:f>'신청원본'!E261</ns0:f>
        <ns0:v>C10</ns0:v>
      </ns0:c>
      <ns0:c r="F261" t="str">
        <ns0:f>'신청원본'!H261</ns0:f>
        <ns0:v>승인</ns0:v>
      </ns0:c>
      <ns0:c r="G261" s="18" t="n">
        <ns0:f>VLOOKUP(E261,'교육기준'!$B$6:$F$17,3,FALSE)</ns0:f>
        <ns0:v>257514</ns0:v>
      </ns0:c>
      <ns0:c r="H261" s="18" t="n">
        <ns0:f>'신청원본'!G261</ns0:f>
        <ns0:v>3</ns0:v>
      </ns0:c>
      <ns0:c r="I261" s="19" t="n">
        <ns0:f>'신청원본'!I261</ns0:f>
        <ns0:v>0.125</ns0:v>
      </ns0:c>
      <ns0:c r="J261" s="18" t="n">
        <ns0:f>IF(F261="승인",IF(COUNTA('신청원본'!J261)=0,ROUND(G261*H261*(1-I261),'정책'!$C$8),'신청원본'!J261),0)</ns0:f>
        <ns0:v>675974</ns0:v>
      </ns0:c>
      <ns0:c r="K261" t="n">
        <ns0:f>SUMIFS('출결원본'!$D$6:$D$1445,'출결원본'!$B$6:$B$1445,B261)</ns0:f>
        <ns0:v>3</ns0:v>
      </ns0:c>
      <ns0:c r="L261" t="n">
        <ns0:f>VLOOKUP(B261,'평가원본'!$B$6:$D$485,2,FALSE)</ns0:f>
        <ns0:v>50</ns0:v>
      </ns0:c>
      <ns0:c r="M261" t="n">
        <ns0:f>VLOOKUP(B261,'평가원본'!$B$6:$D$485,3,FALSE)</ns0:f>
        <ns0:v>1</ns0:v>
      </ns0:c>
      <ns0:c r="N261" t="n">
        <ns0:f>VLOOKUP(E261,'교육기준'!$B$6:$F$17,5,FALSE)</ns0:f>
        <ns0:v>60</ns0:v>
      </ns0:c>
      <ns0:c r="O261" t="n">
        <ns0:f>IF(AND(F261="승인",K261&gt;='정책'!$C$6,M261=1,L261&gt;=N261),1,0)</ns0:f>
        <ns0:v>0</ns0:v>
      </ns0:c>
    </ns0:row>
    <ns0:row r="262">
      <ns0:c r="B262" s="17" t="str">
        <ns0:f>'신청원본'!B262</ns0:f>
        <ns0:v>APP000257</ns0:v>
      </ns0:c>
      <ns0:c r="C262" s="17" t="str">
        <ns0:f>'신청원본'!C262</ns0:f>
        <ns0:v>000097</ns0:v>
      </ns0:c>
      <ns0:c r="D262" t="str">
        <ns0:f>'신청원본'!D262</ns0:f>
        <ns0:v>개발</ns0:v>
      </ns0:c>
      <ns0:c r="E262" t="str">
        <ns0:f>'신청원본'!E262</ns0:f>
        <ns0:v>C05</ns0:v>
      </ns0:c>
      <ns0:c r="F262" t="str">
        <ns0:f>'신청원본'!H262</ns0:f>
        <ns0:v>승인</ns0:v>
      </ns0:c>
      <ns0:c r="G262" s="18" t="n">
        <ns0:f>VLOOKUP(E262,'교육기준'!$B$6:$F$17,3,FALSE)</ns0:f>
        <ns0:v>170009</ns0:v>
      </ns0:c>
      <ns0:c r="H262" s="18" t="n">
        <ns0:f>'신청원본'!G262</ns0:f>
        <ns0:v>4</ns0:v>
      </ns0:c>
      <ns0:c r="I262" s="19" t="n">
        <ns0:f>'신청원본'!I262</ns0:f>
        <ns0:v>0</ns0:v>
      </ns0:c>
      <ns0:c r="J262" s="18" t="n">
        <ns0:f>IF(F262="승인",IF(COUNTA('신청원본'!J262)=0,ROUND(G262*H262*(1-I262),'정책'!$C$8),'신청원본'!J262),0)</ns0:f>
        <ns0:v>680036</ns0:v>
      </ns0:c>
      <ns0:c r="K262" t="n">
        <ns0:f>SUMIFS('출결원본'!$D$6:$D$1445,'출결원본'!$B$6:$B$1445,B262)</ns0:f>
        <ns0:v>3</ns0:v>
      </ns0:c>
      <ns0:c r="L262" t="n">
        <ns0:f>VLOOKUP(B262,'평가원본'!$B$6:$D$485,2,FALSE)</ns0:f>
        <ns0:v>57</ns0:v>
      </ns0:c>
      <ns0:c r="M262" t="n">
        <ns0:f>VLOOKUP(B262,'평가원본'!$B$6:$D$485,3,FALSE)</ns0:f>
        <ns0:v>1</ns0:v>
      </ns0:c>
      <ns0:c r="N262" t="n">
        <ns0:f>VLOOKUP(E262,'교육기준'!$B$6:$F$17,5,FALSE)</ns0:f>
        <ns0:v>70</ns0:v>
      </ns0:c>
      <ns0:c r="O262" t="n">
        <ns0:f>IF(AND(F262="승인",K262&gt;='정책'!$C$6,M262=1,L262&gt;=N262),1,0)</ns0:f>
        <ns0:v>0</ns0:v>
      </ns0:c>
    </ns0:row>
    <ns0:row r="263">
      <ns0:c r="B263" s="17" t="str">
        <ns0:f>'신청원본'!B263</ns0:f>
        <ns0:v>APP000258</ns0:v>
      </ns0:c>
      <ns0:c r="C263" s="17" t="str">
        <ns0:f>'신청원본'!C263</ns0:f>
        <ns0:v>000098</ns0:v>
      </ns0:c>
      <ns0:c r="D263" t="str">
        <ns0:f>'신청원본'!D263</ns0:f>
        <ns0:v>생산</ns0:v>
      </ns0:c>
      <ns0:c r="E263" t="str">
        <ns0:f>'신청원본'!E263</ns0:f>
        <ns0:v>C12</ns0:v>
      </ns0:c>
      <ns0:c r="F263" t="str">
        <ns0:f>'신청원본'!H263</ns0:f>
        <ns0:v>승인</ns0:v>
      </ns0:c>
      <ns0:c r="G263" s="18" t="n">
        <ns0:f>VLOOKUP(E263,'교육기준'!$B$6:$F$17,3,FALSE)</ns0:f>
        <ns0:v>292516</ns0:v>
      </ns0:c>
      <ns0:c r="H263" s="18" t="n">
        <ns0:f>'신청원본'!G263</ns0:f>
        <ns0:v>5</ns0:v>
      </ns0:c>
      <ns0:c r="I263" s="19" t="n">
        <ns0:f>'신청원본'!I263</ns0:f>
        <ns0:v>0.05</ns0:v>
      </ns0:c>
      <ns0:c r="J263" s="18" t="n">
        <ns0:f>IF(F263="승인",IF(COUNTA('신청원본'!J263)=0,ROUND(G263*H263*(1-I263),'정책'!$C$8),'신청원본'!J263),0)</ns0:f>
        <ns0:v>1389451</ns0:v>
      </ns0:c>
      <ns0:c r="K263" t="n">
        <ns0:f>SUMIFS('출결원본'!$D$6:$D$1445,'출결원본'!$B$6:$B$1445,B263)</ns0:f>
        <ns0:v>3</ns0:v>
      </ns0:c>
      <ns0:c r="L263" t="n">
        <ns0:f>VLOOKUP(B263,'평가원본'!$B$6:$D$485,2,FALSE)</ns0:f>
        <ns0:v>64</ns0:v>
      </ns0:c>
      <ns0:c r="M263" t="n">
        <ns0:f>VLOOKUP(B263,'평가원본'!$B$6:$D$485,3,FALSE)</ns0:f>
        <ns0:v>1</ns0:v>
      </ns0:c>
      <ns0:c r="N263" t="n">
        <ns0:f>VLOOKUP(E263,'교육기준'!$B$6:$F$17,5,FALSE)</ns0:f>
        <ns0:v>80</ns0:v>
      </ns0:c>
      <ns0:c r="O263" t="n">
        <ns0:f>IF(AND(F263="승인",K263&gt;='정책'!$C$6,M263=1,L263&gt;=N263),1,0)</ns0:f>
        <ns0:v>0</ns0:v>
      </ns0:c>
    </ns0:row>
    <ns0:row r="264">
      <ns0:c r="B264" s="17" t="str">
        <ns0:f>'신청원본'!B264</ns0:f>
        <ns0:v>APP000259</ns0:v>
      </ns0:c>
      <ns0:c r="C264" s="17" t="str">
        <ns0:f>'신청원본'!C264</ns0:f>
        <ns0:v>000099</ns0:v>
      </ns0:c>
      <ns0:c r="D264" t="str">
        <ns0:f>'신청원본'!D264</ns0:f>
        <ns0:v>품질</ns0:v>
      </ns0:c>
      <ns0:c r="E264" t="str">
        <ns0:f>'신청원본'!E264</ns0:f>
        <ns0:v>C07</ns0:v>
      </ns0:c>
      <ns0:c r="F264" t="str">
        <ns0:f>'신청원본'!H264</ns0:f>
        <ns0:v>승인</ns0:v>
      </ns0:c>
      <ns0:c r="G264" s="18" t="n">
        <ns0:f>VLOOKUP(E264,'교육기준'!$B$6:$F$17,3,FALSE)</ns0:f>
        <ns0:v>205011</ns0:v>
      </ns0:c>
      <ns0:c r="H264" s="18" t="n">
        <ns0:f>'신청원본'!G264</ns0:f>
        <ns0:v>0</ns0:v>
      </ns0:c>
      <ns0:c r="I264" s="19" t="n">
        <ns0:f>'신청원본'!I264</ns0:f>
        <ns0:v>0.1</ns0:v>
      </ns0:c>
      <ns0:c r="J264" s="18" t="n">
        <ns0:f>IF(F264="승인",IF(COUNTA('신청원본'!J264)=0,ROUND(G264*H264*(1-I264),'정책'!$C$8),'신청원본'!J264),0)</ns0:f>
        <ns0:v>0</ns0:v>
      </ns0:c>
      <ns0:c r="K264" t="n">
        <ns0:f>SUMIFS('출결원본'!$D$6:$D$1445,'출결원본'!$B$6:$B$1445,B264)</ns0:f>
        <ns0:v>3</ns0:v>
      </ns0:c>
      <ns0:c r="L264" t="n">
        <ns0:f>VLOOKUP(B264,'평가원본'!$B$6:$D$485,2,FALSE)</ns0:f>
        <ns0:v>71</ns0:v>
      </ns0:c>
      <ns0:c r="M264" t="n">
        <ns0:f>VLOOKUP(B264,'평가원본'!$B$6:$D$485,3,FALSE)</ns0:f>
        <ns0:v>1</ns0:v>
      </ns0:c>
      <ns0:c r="N264" t="n">
        <ns0:f>VLOOKUP(E264,'교육기준'!$B$6:$F$17,5,FALSE)</ns0:f>
        <ns0:v>60</ns0:v>
      </ns0:c>
      <ns0:c r="O264" t="n">
        <ns0:f>IF(AND(F264="승인",K264&gt;='정책'!$C$6,M264=1,L264&gt;=N264),1,0)</ns0:f>
        <ns0:v>1</ns0:v>
      </ns0:c>
    </ns0:row>
    <ns0:row r="265">
      <ns0:c r="B265" s="17" t="str">
        <ns0:f>'신청원본'!B265</ns0:f>
        <ns0:v>APP000260</ns0:v>
      </ns0:c>
      <ns0:c r="C265" s="17" t="str">
        <ns0:f>'신청원본'!C265</ns0:f>
        <ns0:v>000100</ns0:v>
      </ns0:c>
      <ns0:c r="D265" t="str">
        <ns0:f>'신청원본'!D265</ns0:f>
        <ns0:v>기획</ns0:v>
      </ns0:c>
      <ns0:c r="E265" t="str">
        <ns0:f>'신청원본'!E265</ns0:f>
        <ns0:v>C02</ns0:v>
      </ns0:c>
      <ns0:c r="F265" t="str">
        <ns0:f>'신청원본'!H265</ns0:f>
        <ns0:v>대기</ns0:v>
      </ns0:c>
      <ns0:c r="G265" s="18" t="n">
        <ns0:f>VLOOKUP(E265,'교육기준'!$B$6:$F$17,3,FALSE)</ns0:f>
        <ns0:v>117506</ns0:v>
      </ns0:c>
      <ns0:c r="H265" s="18" t="n">
        <ns0:f>'신청원본'!G265</ns0:f>
        <ns0:v>1</ns0:v>
      </ns0:c>
      <ns0:c r="I265" s="19" t="n">
        <ns0:f>'신청원본'!I265</ns0:f>
        <ns0:v>0.125</ns0:v>
      </ns0:c>
      <ns0:c r="J265" s="18" t="n">
        <ns0:f>IF(F265="승인",IF(COUNTA('신청원본'!J265)=0,ROUND(G265*H265*(1-I265),'정책'!$C$8),'신청원본'!J265),0)</ns0:f>
        <ns0:v>0</ns0:v>
      </ns0:c>
      <ns0:c r="K265" t="n">
        <ns0:f>SUMIFS('출결원본'!$D$6:$D$1445,'출결원본'!$B$6:$B$1445,B265)</ns0:f>
        <ns0:v>3</ns0:v>
      </ns0:c>
      <ns0:c r="L265" t="n">
        <ns0:f>VLOOKUP(B265,'평가원본'!$B$6:$D$485,2,FALSE)</ns0:f>
        <ns0:v>78</ns0:v>
      </ns0:c>
      <ns0:c r="M265" t="n">
        <ns0:f>VLOOKUP(B265,'평가원본'!$B$6:$D$485,3,FALSE)</ns0:f>
        <ns0:v>1</ns0:v>
      </ns0:c>
      <ns0:c r="N265" t="n">
        <ns0:f>VLOOKUP(E265,'교육기준'!$B$6:$F$17,5,FALSE)</ns0:f>
        <ns0:v>70</ns0:v>
      </ns0:c>
      <ns0:c r="O265" t="n">
        <ns0:f>IF(AND(F265="승인",K265&gt;='정책'!$C$6,M265=1,L265&gt;=N265),1,0)</ns0:f>
        <ns0:v>0</ns0:v>
      </ns0:c>
    </ns0:row>
    <ns0:row r="266">
      <ns0:c r="B266" s="17" t="str">
        <ns0:f>'신청원본'!B266</ns0:f>
        <ns0:v>APP000261</ns0:v>
      </ns0:c>
      <ns0:c r="C266" s="17" t="str">
        <ns0:f>'신청원본'!C266</ns0:f>
        <ns0:v>000101</ns0:v>
      </ns0:c>
      <ns0:c r="D266" t="str">
        <ns0:f>'신청원본'!D266</ns0:f>
        <ns0:v>영업</ns0:v>
      </ns0:c>
      <ns0:c r="E266" t="str">
        <ns0:f>'신청원본'!E266</ns0:f>
        <ns0:v>C09</ns0:v>
      </ns0:c>
      <ns0:c r="F266" t="str">
        <ns0:f>'신청원본'!H266</ns0:f>
        <ns0:v>승인</ns0:v>
      </ns0:c>
      <ns0:c r="G266" s="18" t="n">
        <ns0:f>VLOOKUP(E266,'교육기준'!$B$6:$F$17,3,FALSE)</ns0:f>
        <ns0:v>240013</ns0:v>
      </ns0:c>
      <ns0:c r="H266" s="18" t="n">
        <ns0:f>'신청원본'!G266</ns0:f>
        <ns0:v>2</ns0:v>
      </ns0:c>
      <ns0:c r="I266" s="19" t="n">
        <ns0:f>'신청원본'!I266</ns0:f>
        <ns0:v>0</ns0:v>
      </ns0:c>
      <ns0:c r="J266" s="18" t="n">
        <ns0:f>IF(F266="승인",IF(COUNTA('신청원본'!J266)=0,ROUND(G266*H266*(1-I266),'정책'!$C$8),'신청원본'!J266),0)</ns0:f>
        <ns0:v>480026</ns0:v>
      </ns0:c>
      <ns0:c r="K266" t="n">
        <ns0:f>SUMIFS('출결원본'!$D$6:$D$1445,'출결원본'!$B$6:$B$1445,B266)</ns0:f>
        <ns0:v>2</ns0:v>
      </ns0:c>
      <ns0:c r="L266" t="n">
        <ns0:f>VLOOKUP(B266,'평가원본'!$B$6:$D$485,2,FALSE)</ns0:f>
        <ns0:v>85</ns0:v>
      </ns0:c>
      <ns0:c r="M266" t="n">
        <ns0:f>VLOOKUP(B266,'평가원본'!$B$6:$D$485,3,FALSE)</ns0:f>
        <ns0:v>1</ns0:v>
      </ns0:c>
      <ns0:c r="N266" t="n">
        <ns0:f>VLOOKUP(E266,'교육기준'!$B$6:$F$17,5,FALSE)</ns0:f>
        <ns0:v>80</ns0:v>
      </ns0:c>
      <ns0:c r="O266" t="n">
        <ns0:f>IF(AND(F266="승인",K266&gt;='정책'!$C$6,M266=1,L266&gt;=N266),1,0)</ns0:f>
        <ns0:v>0</ns0:v>
      </ns0:c>
    </ns0:row>
    <ns0:row r="267">
      <ns0:c r="B267" s="17" t="str">
        <ns0:f>'신청원본'!B267</ns0:f>
        <ns0:v>APP000262</ns0:v>
      </ns0:c>
      <ns0:c r="C267" s="17" t="str">
        <ns0:f>'신청원본'!C267</ns0:f>
        <ns0:v>000102</ns0:v>
      </ns0:c>
      <ns0:c r="D267" t="str">
        <ns0:f>'신청원본'!D267</ns0:f>
        <ns0:v>지원</ns0:v>
      </ns0:c>
      <ns0:c r="E267" t="str">
        <ns0:f>'신청원본'!E267</ns0:f>
        <ns0:v>C04</ns0:v>
      </ns0:c>
      <ns0:c r="F267" t="str">
        <ns0:f>'신청원본'!H267</ns0:f>
        <ns0:v>승인</ns0:v>
      </ns0:c>
      <ns0:c r="G267" s="18" t="n">
        <ns0:f>VLOOKUP(E267,'교육기준'!$B$6:$F$17,3,FALSE)</ns0:f>
        <ns0:v>152508</ns0:v>
      </ns0:c>
      <ns0:c r="H267" s="18" t="n">
        <ns0:f>'신청원본'!G267</ns0:f>
        <ns0:v>3</ns0:v>
      </ns0:c>
      <ns0:c r="I267" s="19" t="n">
        <ns0:f>'신청원본'!I267</ns0:f>
        <ns0:v>0.05</ns0:v>
      </ns0:c>
      <ns0:c r="J267" s="18" t="n">
        <ns0:f>IF(F267="승인",IF(COUNTA('신청원본'!J267)=0,ROUND(G267*H267*(1-I267),'정책'!$C$8),'신청원본'!J267),0)</ns0:f>
        <ns0:v>434648</ns0:v>
      </ns0:c>
      <ns0:c r="K267" t="n">
        <ns0:f>SUMIFS('출결원본'!$D$6:$D$1445,'출결원본'!$B$6:$B$1445,B267)</ns0:f>
        <ns0:v>2</ns0:v>
      </ns0:c>
      <ns0:c r="L267" t="n">
        <ns0:f>VLOOKUP(B267,'평가원본'!$B$6:$D$485,2,FALSE)</ns0:f>
        <ns0:v>92</ns0:v>
      </ns0:c>
      <ns0:c r="M267" t="n">
        <ns0:f>VLOOKUP(B267,'평가원본'!$B$6:$D$485,3,FALSE)</ns0:f>
        <ns0:v>1</ns0:v>
      </ns0:c>
      <ns0:c r="N267" t="n">
        <ns0:f>VLOOKUP(E267,'교육기준'!$B$6:$F$17,5,FALSE)</ns0:f>
        <ns0:v>60</ns0:v>
      </ns0:c>
      <ns0:c r="O267" t="n">
        <ns0:f>IF(AND(F267="승인",K267&gt;='정책'!$C$6,M267=1,L267&gt;=N267),1,0)</ns0:f>
        <ns0:v>0</ns0:v>
      </ns0:c>
    </ns0:row>
    <ns0:row r="268">
      <ns0:c r="B268" s="17" t="str">
        <ns0:f>'신청원본'!B268</ns0:f>
        <ns0:v>APP000263</ns0:v>
      </ns0:c>
      <ns0:c r="C268" s="17" t="str">
        <ns0:f>'신청원본'!C268</ns0:f>
        <ns0:v>000103</ns0:v>
      </ns0:c>
      <ns0:c r="D268" t="str">
        <ns0:f>'신청원본'!D268</ns0:f>
        <ns0:v>개발</ns0:v>
      </ns0:c>
      <ns0:c r="E268" t="str">
        <ns0:f>'신청원본'!E268</ns0:f>
        <ns0:v>C11</ns0:v>
      </ns0:c>
      <ns0:c r="F268" t="str">
        <ns0:f>'신청원본'!H268</ns0:f>
        <ns0:v>승인</ns0:v>
      </ns0:c>
      <ns0:c r="G268" s="18" t="n">
        <ns0:f>VLOOKUP(E268,'교육기준'!$B$6:$F$17,3,FALSE)</ns0:f>
        <ns0:v>275015</ns0:v>
      </ns0:c>
      <ns0:c r="H268" s="18" t="n">
        <ns0:f>'신청원본'!G268</ns0:f>
        <ns0:v>4</ns0:v>
      </ns0:c>
      <ns0:c r="I268" s="19" t="n">
        <ns0:f>'신청원본'!I268</ns0:f>
        <ns0:v>0.1</ns0:v>
      </ns0:c>
      <ns0:c r="J268" s="18" t="n">
        <ns0:f>IF(F268="승인",IF(COUNTA('신청원본'!J268)=0,ROUND(G268*H268*(1-I268),'정책'!$C$8),'신청원본'!J268),0)</ns0:f>
        <ns0:v>990054</ns0:v>
      </ns0:c>
      <ns0:c r="K268" t="n">
        <ns0:f>SUMIFS('출결원본'!$D$6:$D$1445,'출결원본'!$B$6:$B$1445,B268)</ns0:f>
        <ns0:v>3</ns0:v>
      </ns0:c>
      <ns0:c r="L268" t="n">
        <ns0:f>VLOOKUP(B268,'평가원본'!$B$6:$D$485,2,FALSE)</ns0:f>
        <ns0:v>99</ns0:v>
      </ns0:c>
      <ns0:c r="M268" t="n">
        <ns0:f>VLOOKUP(B268,'평가원본'!$B$6:$D$485,3,FALSE)</ns0:f>
        <ns0:v>1</ns0:v>
      </ns0:c>
      <ns0:c r="N268" t="n">
        <ns0:f>VLOOKUP(E268,'교육기준'!$B$6:$F$17,5,FALSE)</ns0:f>
        <ns0:v>70</ns0:v>
      </ns0:c>
      <ns0:c r="O268" t="n">
        <ns0:f>IF(AND(F268="승인",K268&gt;='정책'!$C$6,M268=1,L268&gt;=N268),1,0)</ns0:f>
        <ns0:v>1</ns0:v>
      </ns0:c>
    </ns0:row>
    <ns0:row r="269">
      <ns0:c r="B269" s="17" t="str">
        <ns0:f>'신청원본'!B269</ns0:f>
        <ns0:v>APP000264</ns0:v>
      </ns0:c>
      <ns0:c r="C269" s="17" t="str">
        <ns0:f>'신청원본'!C269</ns0:f>
        <ns0:v>000104</ns0:v>
      </ns0:c>
      <ns0:c r="D269" t="str">
        <ns0:f>'신청원본'!D269</ns0:f>
        <ns0:v>생산</ns0:v>
      </ns0:c>
      <ns0:c r="E269" t="str">
        <ns0:f>'신청원본'!E269</ns0:f>
        <ns0:v>C06</ns0:v>
      </ns0:c>
      <ns0:c r="F269" t="str">
        <ns0:f>'신청원본'!H269</ns0:f>
        <ns0:v>승인</ns0:v>
      </ns0:c>
      <ns0:c r="G269" s="18" t="n">
        <ns0:f>VLOOKUP(E269,'교육기준'!$B$6:$F$17,3,FALSE)</ns0:f>
        <ns0:v>187510</ns0:v>
      </ns0:c>
      <ns0:c r="H269" s="18" t="n">
        <ns0:f>'신청원본'!G269</ns0:f>
        <ns0:v>5</ns0:v>
      </ns0:c>
      <ns0:c r="I269" s="19" t="n">
        <ns0:f>'신청원본'!I269</ns0:f>
        <ns0:v>0.125</ns0:v>
      </ns0:c>
      <ns0:c r="J269" s="18" t="n">
        <ns0:f>IF(F269="승인",IF(COUNTA('신청원본'!J269)=0,ROUND(G269*H269*(1-I269),'정책'!$C$8),'신청원본'!J269),0)</ns0:f>
        <ns0:v>820356</ns0:v>
      </ns0:c>
      <ns0:c r="K269" t="n">
        <ns0:f>SUMIFS('출결원본'!$D$6:$D$1445,'출결원본'!$B$6:$B$1445,B269)</ns0:f>
        <ns0:v>3</ns0:v>
      </ns0:c>
      <ns0:c r="L269" t="n">
        <ns0:f>VLOOKUP(B269,'평가원본'!$B$6:$D$485,2,FALSE)</ns0:f>
        <ns0:v>55</ns0:v>
      </ns0:c>
      <ns0:c r="M269" t="n">
        <ns0:f>VLOOKUP(B269,'평가원본'!$B$6:$D$485,3,FALSE)</ns0:f>
        <ns0:v>1</ns0:v>
      </ns0:c>
      <ns0:c r="N269" t="n">
        <ns0:f>VLOOKUP(E269,'교육기준'!$B$6:$F$17,5,FALSE)</ns0:f>
        <ns0:v>80</ns0:v>
      </ns0:c>
      <ns0:c r="O269" t="n">
        <ns0:f>IF(AND(F269="승인",K269&gt;='정책'!$C$6,M269=1,L269&gt;=N269),1,0)</ns0:f>
        <ns0:v>0</ns0:v>
      </ns0:c>
    </ns0:row>
    <ns0:row r="270">
      <ns0:c r="B270" s="17" t="str">
        <ns0:f>'신청원본'!B270</ns0:f>
        <ns0:v>APP000265</ns0:v>
      </ns0:c>
      <ns0:c r="C270" s="17" t="str">
        <ns0:f>'신청원본'!C270</ns0:f>
        <ns0:v>000105</ns0:v>
      </ns0:c>
      <ns0:c r="D270" t="str">
        <ns0:f>'신청원본'!D270</ns0:f>
        <ns0:v>품질</ns0:v>
      </ns0:c>
      <ns0:c r="E270" t="str">
        <ns0:f>'신청원본'!E270</ns0:f>
        <ns0:v>C01</ns0:v>
      </ns0:c>
      <ns0:c r="F270" t="str">
        <ns0:f>'신청원본'!H270</ns0:f>
        <ns0:v>취소</ns0:v>
      </ns0:c>
      <ns0:c r="G270" s="18" t="n">
        <ns0:f>VLOOKUP(E270,'교육기준'!$B$6:$F$17,3,FALSE)</ns0:f>
        <ns0:v>100005</ns0:v>
      </ns0:c>
      <ns0:c r="H270" s="18" t="n">
        <ns0:f>'신청원본'!G270</ns0:f>
        <ns0:v>0</ns0:v>
      </ns0:c>
      <ns0:c r="I270" s="19" t="n">
        <ns0:f>'신청원본'!I270</ns0:f>
        <ns0:v>0</ns0:v>
      </ns0:c>
      <ns0:c r="J270" s="18" t="n">
        <ns0:f>IF(F270="승인",IF(COUNTA('신청원본'!J270)=0,ROUND(G270*H270*(1-I270),'정책'!$C$8),'신청원본'!J270),0)</ns0:f>
        <ns0:v>0</ns0:v>
      </ns0:c>
      <ns0:c r="K270" t="n">
        <ns0:f>SUMIFS('출결원본'!$D$6:$D$1445,'출결원본'!$B$6:$B$1445,B270)</ns0:f>
        <ns0:v>3</ns0:v>
      </ns0:c>
      <ns0:c r="L270" t="n">
        <ns0:f>VLOOKUP(B270,'평가원본'!$B$6:$D$485,2,FALSE)</ns0:f>
        <ns0:v>62</ns0:v>
      </ns0:c>
      <ns0:c r="M270" t="n">
        <ns0:f>VLOOKUP(B270,'평가원본'!$B$6:$D$485,3,FALSE)</ns0:f>
        <ns0:v>1</ns0:v>
      </ns0:c>
      <ns0:c r="N270" t="n">
        <ns0:f>VLOOKUP(E270,'교육기준'!$B$6:$F$17,5,FALSE)</ns0:f>
        <ns0:v>60</ns0:v>
      </ns0:c>
      <ns0:c r="O270" t="n">
        <ns0:f>IF(AND(F270="승인",K270&gt;='정책'!$C$6,M270=1,L270&gt;=N270),1,0)</ns0:f>
        <ns0:v>0</ns0:v>
      </ns0:c>
    </ns0:row>
    <ns0:row r="271">
      <ns0:c r="B271" s="17" t="str">
        <ns0:f>'신청원본'!B271</ns0:f>
        <ns0:v>APP000266</ns0:v>
      </ns0:c>
      <ns0:c r="C271" s="17" t="str">
        <ns0:f>'신청원본'!C271</ns0:f>
        <ns0:v>000106</ns0:v>
      </ns0:c>
      <ns0:c r="D271" t="str">
        <ns0:f>'신청원본'!D271</ns0:f>
        <ns0:v>기획</ns0:v>
      </ns0:c>
      <ns0:c r="E271" t="str">
        <ns0:f>'신청원본'!E271</ns0:f>
        <ns0:v>C08</ns0:v>
      </ns0:c>
      <ns0:c r="F271" t="str">
        <ns0:f>'신청원본'!H271</ns0:f>
        <ns0:v>승인</ns0:v>
      </ns0:c>
      <ns0:c r="G271" s="18" t="n">
        <ns0:f>VLOOKUP(E271,'교육기준'!$B$6:$F$17,3,FALSE)</ns0:f>
        <ns0:v>222512</ns0:v>
      </ns0:c>
      <ns0:c r="H271" s="18" t="n">
        <ns0:f>'신청원본'!G271</ns0:f>
        <ns0:v>1</ns0:v>
      </ns0:c>
      <ns0:c r="I271" s="19" t="n">
        <ns0:f>'신청원본'!I271</ns0:f>
        <ns0:v>0.05</ns0:v>
      </ns0:c>
      <ns0:c r="J271" s="18" t="n">
        <ns0:f>IF(F271="승인",IF(COUNTA('신청원본'!J271)=0,ROUND(G271*H271*(1-I271),'정책'!$C$8),'신청원본'!J271),0)</ns0:f>
        <ns0:v>0</ns0:v>
      </ns0:c>
      <ns0:c r="K271" t="n">
        <ns0:f>SUMIFS('출결원본'!$D$6:$D$1445,'출결원본'!$B$6:$B$1445,B271)</ns0:f>
        <ns0:v>3</ns0:v>
      </ns0:c>
      <ns0:c r="L271" t="n">
        <ns0:f>VLOOKUP(B271,'평가원본'!$B$6:$D$485,2,FALSE)</ns0:f>
        <ns0:v>69</ns0:v>
      </ns0:c>
      <ns0:c r="M271" t="n">
        <ns0:f>VLOOKUP(B271,'평가원본'!$B$6:$D$485,3,FALSE)</ns0:f>
        <ns0:v>1</ns0:v>
      </ns0:c>
      <ns0:c r="N271" t="n">
        <ns0:f>VLOOKUP(E271,'교육기준'!$B$6:$F$17,5,FALSE)</ns0:f>
        <ns0:v>70</ns0:v>
      </ns0:c>
      <ns0:c r="O271" t="n">
        <ns0:f>IF(AND(F271="승인",K271&gt;='정책'!$C$6,M271=1,L271&gt;=N271),1,0)</ns0:f>
        <ns0:v>0</ns0:v>
      </ns0:c>
    </ns0:row>
    <ns0:row r="272">
      <ns0:c r="B272" s="17" t="str">
        <ns0:f>'신청원본'!B272</ns0:f>
        <ns0:v>APP000267</ns0:v>
      </ns0:c>
      <ns0:c r="C272" s="17" t="str">
        <ns0:f>'신청원본'!C272</ns0:f>
        <ns0:v>000107</ns0:v>
      </ns0:c>
      <ns0:c r="D272" t="str">
        <ns0:f>'신청원본'!D272</ns0:f>
        <ns0:v>영업</ns0:v>
      </ns0:c>
      <ns0:c r="E272" t="str">
        <ns0:f>'신청원본'!E272</ns0:f>
        <ns0:v>C03</ns0:v>
      </ns0:c>
      <ns0:c r="F272" t="str">
        <ns0:f>'신청원본'!H272</ns0:f>
        <ns0:v>대기</ns0:v>
      </ns0:c>
      <ns0:c r="G272" s="18" t="n">
        <ns0:f>VLOOKUP(E272,'교육기준'!$B$6:$F$17,3,FALSE)</ns0:f>
        <ns0:v>135007</ns0:v>
      </ns0:c>
      <ns0:c r="H272" s="18" t="n">
        <ns0:f>'신청원본'!G272</ns0:f>
        <ns0:v>2</ns0:v>
      </ns0:c>
      <ns0:c r="I272" s="19" t="n">
        <ns0:f>'신청원본'!I272</ns0:f>
        <ns0:v>0.1</ns0:v>
      </ns0:c>
      <ns0:c r="J272" s="18" t="n">
        <ns0:f>IF(F272="승인",IF(COUNTA('신청원본'!J272)=0,ROUND(G272*H272*(1-I272),'정책'!$C$8),'신청원본'!J272),0)</ns0:f>
        <ns0:v>0</ns0:v>
      </ns0:c>
      <ns0:c r="K272" t="n">
        <ns0:f>SUMIFS('출결원본'!$D$6:$D$1445,'출결원본'!$B$6:$B$1445,B272)</ns0:f>
        <ns0:v>3</ns0:v>
      </ns0:c>
      <ns0:c r="L272" t="n">
        <ns0:f>VLOOKUP(B272,'평가원본'!$B$6:$D$485,2,FALSE)</ns0:f>
        <ns0:v>76</ns0:v>
      </ns0:c>
      <ns0:c r="M272" t="n">
        <ns0:f>VLOOKUP(B272,'평가원본'!$B$6:$D$485,3,FALSE)</ns0:f>
        <ns0:v>0</ns0:v>
      </ns0:c>
      <ns0:c r="N272" t="n">
        <ns0:f>VLOOKUP(E272,'교육기준'!$B$6:$F$17,5,FALSE)</ns0:f>
        <ns0:v>80</ns0:v>
      </ns0:c>
      <ns0:c r="O272" t="n">
        <ns0:f>IF(AND(F272="승인",K272&gt;='정책'!$C$6,M272=1,L272&gt;=N272),1,0)</ns0:f>
        <ns0:v>0</ns0:v>
      </ns0:c>
    </ns0:row>
    <ns0:row r="273">
      <ns0:c r="B273" s="17" t="str">
        <ns0:f>'신청원본'!B273</ns0:f>
        <ns0:v>APP000268</ns0:v>
      </ns0:c>
      <ns0:c r="C273" s="17" t="str">
        <ns0:f>'신청원본'!C273</ns0:f>
        <ns0:v>000108</ns0:v>
      </ns0:c>
      <ns0:c r="D273" t="str">
        <ns0:f>'신청원본'!D273</ns0:f>
        <ns0:v>지원</ns0:v>
      </ns0:c>
      <ns0:c r="E273" t="str">
        <ns0:f>'신청원본'!E273</ns0:f>
        <ns0:v>C10</ns0:v>
      </ns0:c>
      <ns0:c r="F273" t="str">
        <ns0:f>'신청원본'!H273</ns0:f>
        <ns0:v>승인</ns0:v>
      </ns0:c>
      <ns0:c r="G273" s="18" t="n">
        <ns0:f>VLOOKUP(E273,'교육기준'!$B$6:$F$17,3,FALSE)</ns0:f>
        <ns0:v>257514</ns0:v>
      </ns0:c>
      <ns0:c r="H273" s="18" t="n">
        <ns0:f>'신청원본'!G273</ns0:f>
        <ns0:v>3</ns0:v>
      </ns0:c>
      <ns0:c r="I273" s="19" t="n">
        <ns0:f>'신청원본'!I273</ns0:f>
        <ns0:v>0.125</ns0:v>
      </ns0:c>
      <ns0:c r="J273" s="18" t="n">
        <ns0:f>IF(F273="승인",IF(COUNTA('신청원본'!J273)=0,ROUND(G273*H273*(1-I273),'정책'!$C$8),'신청원본'!J273),0)</ns0:f>
        <ns0:v>675974</ns0:v>
      </ns0:c>
      <ns0:c r="K273" t="n">
        <ns0:f>SUMIFS('출결원본'!$D$6:$D$1445,'출결원본'!$B$6:$B$1445,B273)</ns0:f>
        <ns0:v>3</ns0:v>
      </ns0:c>
      <ns0:c r="L273" t="n">
        <ns0:f>VLOOKUP(B273,'평가원본'!$B$6:$D$485,2,FALSE)</ns0:f>
        <ns0:v>83</ns0:v>
      </ns0:c>
      <ns0:c r="M273" t="n">
        <ns0:f>VLOOKUP(B273,'평가원본'!$B$6:$D$485,3,FALSE)</ns0:f>
        <ns0:v>1</ns0:v>
      </ns0:c>
      <ns0:c r="N273" t="n">
        <ns0:f>VLOOKUP(E273,'교육기준'!$B$6:$F$17,5,FALSE)</ns0:f>
        <ns0:v>60</ns0:v>
      </ns0:c>
      <ns0:c r="O273" t="n">
        <ns0:f>IF(AND(F273="승인",K273&gt;='정책'!$C$6,M273=1,L273&gt;=N273),1,0)</ns0:f>
        <ns0:v>1</ns0:v>
      </ns0:c>
    </ns0:row>
    <ns0:row r="274">
      <ns0:c r="B274" s="17" t="str">
        <ns0:f>'신청원본'!B274</ns0:f>
        <ns0:v>APP000269</ns0:v>
      </ns0:c>
      <ns0:c r="C274" s="17" t="str">
        <ns0:f>'신청원본'!C274</ns0:f>
        <ns0:v>000109</ns0:v>
      </ns0:c>
      <ns0:c r="D274" t="str">
        <ns0:f>'신청원본'!D274</ns0:f>
        <ns0:v>개발</ns0:v>
      </ns0:c>
      <ns0:c r="E274" t="str">
        <ns0:f>'신청원본'!E274</ns0:f>
        <ns0:v>C05</ns0:v>
      </ns0:c>
      <ns0:c r="F274" t="str">
        <ns0:f>'신청원본'!H274</ns0:f>
        <ns0:v>승인</ns0:v>
      </ns0:c>
      <ns0:c r="G274" s="18" t="n">
        <ns0:f>VLOOKUP(E274,'교육기준'!$B$6:$F$17,3,FALSE)</ns0:f>
        <ns0:v>170009</ns0:v>
      </ns0:c>
      <ns0:c r="H274" s="18" t="n">
        <ns0:f>'신청원본'!G274</ns0:f>
        <ns0:v>4</ns0:v>
      </ns0:c>
      <ns0:c r="I274" s="19" t="n">
        <ns0:f>'신청원본'!I274</ns0:f>
        <ns0:v>0</ns0:v>
      </ns0:c>
      <ns0:c r="J274" s="18" t="n">
        <ns0:f>IF(F274="승인",IF(COUNTA('신청원본'!J274)=0,ROUND(G274*H274*(1-I274),'정책'!$C$8),'신청원본'!J274),0)</ns0:f>
        <ns0:v>680036</ns0:v>
      </ns0:c>
      <ns0:c r="K274" t="n">
        <ns0:f>SUMIFS('출결원본'!$D$6:$D$1445,'출결원본'!$B$6:$B$1445,B274)</ns0:f>
        <ns0:v>3</ns0:v>
      </ns0:c>
      <ns0:c r="L274" t="n">
        <ns0:f>VLOOKUP(B274,'평가원본'!$B$6:$D$485,2,FALSE)</ns0:f>
        <ns0:v>90</ns0:v>
      </ns0:c>
      <ns0:c r="M274" t="n">
        <ns0:f>VLOOKUP(B274,'평가원본'!$B$6:$D$485,3,FALSE)</ns0:f>
        <ns0:v>1</ns0:v>
      </ns0:c>
      <ns0:c r="N274" t="n">
        <ns0:f>VLOOKUP(E274,'교육기준'!$B$6:$F$17,5,FALSE)</ns0:f>
        <ns0:v>70</ns0:v>
      </ns0:c>
      <ns0:c r="O274" t="n">
        <ns0:f>IF(AND(F274="승인",K274&gt;='정책'!$C$6,M274=1,L274&gt;=N274),1,0)</ns0:f>
        <ns0:v>1</ns0:v>
      </ns0:c>
    </ns0:row>
    <ns0:row r="275">
      <ns0:c r="B275" s="17" t="str">
        <ns0:f>'신청원본'!B275</ns0:f>
        <ns0:v>APP000270</ns0:v>
      </ns0:c>
      <ns0:c r="C275" s="17" t="str">
        <ns0:f>'신청원본'!C275</ns0:f>
        <ns0:v>000110</ns0:v>
      </ns0:c>
      <ns0:c r="D275" t="str">
        <ns0:f>'신청원본'!D275</ns0:f>
        <ns0:v>생산</ns0:v>
      </ns0:c>
      <ns0:c r="E275" t="str">
        <ns0:f>'신청원본'!E275</ns0:f>
        <ns0:v>C12</ns0:v>
      </ns0:c>
      <ns0:c r="F275" t="str">
        <ns0:f>'신청원본'!H275</ns0:f>
        <ns0:v>승인</ns0:v>
      </ns0:c>
      <ns0:c r="G275" s="18" t="n">
        <ns0:f>VLOOKUP(E275,'교육기준'!$B$6:$F$17,3,FALSE)</ns0:f>
        <ns0:v>292516</ns0:v>
      </ns0:c>
      <ns0:c r="H275" s="18" t="n">
        <ns0:f>'신청원본'!G275</ns0:f>
        <ns0:v>5</ns0:v>
      </ns0:c>
      <ns0:c r="I275" s="19" t="n">
        <ns0:f>'신청원본'!I275</ns0:f>
        <ns0:v>0.05</ns0:v>
      </ns0:c>
      <ns0:c r="J275" s="18" t="n">
        <ns0:f>IF(F275="승인",IF(COUNTA('신청원본'!J275)=0,ROUND(G275*H275*(1-I275),'정책'!$C$8),'신청원본'!J275),0)</ns0:f>
        <ns0:v>1389451</ns0:v>
      </ns0:c>
      <ns0:c r="K275" t="n">
        <ns0:f>SUMIFS('출결원본'!$D$6:$D$1445,'출결원본'!$B$6:$B$1445,B275)</ns0:f>
        <ns0:v>3</ns0:v>
      </ns0:c>
      <ns0:c r="L275" t="n">
        <ns0:f>VLOOKUP(B275,'평가원본'!$B$6:$D$485,2,FALSE)</ns0:f>
        <ns0:v>97</ns0:v>
      </ns0:c>
      <ns0:c r="M275" t="n">
        <ns0:f>VLOOKUP(B275,'평가원본'!$B$6:$D$485,3,FALSE)</ns0:f>
        <ns0:v>1</ns0:v>
      </ns0:c>
      <ns0:c r="N275" t="n">
        <ns0:f>VLOOKUP(E275,'교육기준'!$B$6:$F$17,5,FALSE)</ns0:f>
        <ns0:v>80</ns0:v>
      </ns0:c>
      <ns0:c r="O275" t="n">
        <ns0:f>IF(AND(F275="승인",K275&gt;='정책'!$C$6,M275=1,L275&gt;=N275),1,0)</ns0:f>
        <ns0:v>1</ns0:v>
      </ns0:c>
    </ns0:row>
    <ns0:row r="276">
      <ns0:c r="B276" s="17" t="str">
        <ns0:f>'신청원본'!B276</ns0:f>
        <ns0:v>APP000271</ns0:v>
      </ns0:c>
      <ns0:c r="C276" s="17" t="str">
        <ns0:f>'신청원본'!C276</ns0:f>
        <ns0:v>000111</ns0:v>
      </ns0:c>
      <ns0:c r="D276" t="str">
        <ns0:f>'신청원본'!D276</ns0:f>
        <ns0:v>품질</ns0:v>
      </ns0:c>
      <ns0:c r="E276" t="str">
        <ns0:f>'신청원본'!E276</ns0:f>
        <ns0:v>C07</ns0:v>
      </ns0:c>
      <ns0:c r="F276" t="str">
        <ns0:f>'신청원본'!H276</ns0:f>
        <ns0:v>승인</ns0:v>
      </ns0:c>
      <ns0:c r="G276" s="18" t="n">
        <ns0:f>VLOOKUP(E276,'교육기준'!$B$6:$F$17,3,FALSE)</ns0:f>
        <ns0:v>205011</ns0:v>
      </ns0:c>
      <ns0:c r="H276" s="18" t="n">
        <ns0:f>'신청원본'!G276</ns0:f>
        <ns0:v>0</ns0:v>
      </ns0:c>
      <ns0:c r="I276" s="19" t="n">
        <ns0:f>'신청원본'!I276</ns0:f>
        <ns0:v>0.1</ns0:v>
      </ns0:c>
      <ns0:c r="J276" s="18" t="n">
        <ns0:f>IF(F276="승인",IF(COUNTA('신청원본'!J276)=0,ROUND(G276*H276*(1-I276),'정책'!$C$8),'신청원본'!J276),0)</ns0:f>
        <ns0:v>0</ns0:v>
      </ns0:c>
      <ns0:c r="K276" t="n">
        <ns0:f>SUMIFS('출결원본'!$D$6:$D$1445,'출결원본'!$B$6:$B$1445,B276)</ns0:f>
        <ns0:v>2</ns0:v>
      </ns0:c>
      <ns0:c r="L276" t="n">
        <ns0:f>VLOOKUP(B276,'평가원본'!$B$6:$D$485,2,FALSE)</ns0:f>
        <ns0:v>53</ns0:v>
      </ns0:c>
      <ns0:c r="M276" t="n">
        <ns0:f>VLOOKUP(B276,'평가원본'!$B$6:$D$485,3,FALSE)</ns0:f>
        <ns0:v>1</ns0:v>
      </ns0:c>
      <ns0:c r="N276" t="n">
        <ns0:f>VLOOKUP(E276,'교육기준'!$B$6:$F$17,5,FALSE)</ns0:f>
        <ns0:v>60</ns0:v>
      </ns0:c>
      <ns0:c r="O276" t="n">
        <ns0:f>IF(AND(F276="승인",K276&gt;='정책'!$C$6,M276=1,L276&gt;=N276),1,0)</ns0:f>
        <ns0:v>0</ns0:v>
      </ns0:c>
    </ns0:row>
    <ns0:row r="277">
      <ns0:c r="B277" s="17" t="str">
        <ns0:f>'신청원본'!B277</ns0:f>
        <ns0:v>APP000272</ns0:v>
      </ns0:c>
      <ns0:c r="C277" s="17" t="str">
        <ns0:f>'신청원본'!C277</ns0:f>
        <ns0:v>000112</ns0:v>
      </ns0:c>
      <ns0:c r="D277" t="str">
        <ns0:f>'신청원본'!D277</ns0:f>
        <ns0:v>기획</ns0:v>
      </ns0:c>
      <ns0:c r="E277" t="str">
        <ns0:f>'신청원본'!E277</ns0:f>
        <ns0:v>C02</ns0:v>
      </ns0:c>
      <ns0:c r="F277" t="str">
        <ns0:f>'신청원본'!H277</ns0:f>
        <ns0:v>승인</ns0:v>
      </ns0:c>
      <ns0:c r="G277" s="18" t="n">
        <ns0:f>VLOOKUP(E277,'교육기준'!$B$6:$F$17,3,FALSE)</ns0:f>
        <ns0:v>117506</ns0:v>
      </ns0:c>
      <ns0:c r="H277" s="18" t="n">
        <ns0:f>'신청원본'!G277</ns0:f>
        <ns0:v>1</ns0:v>
      </ns0:c>
      <ns0:c r="I277" s="19" t="n">
        <ns0:f>'신청원본'!I277</ns0:f>
        <ns0:v>0.125</ns0:v>
      </ns0:c>
      <ns0:c r="J277" s="18" t="n">
        <ns0:f>IF(F277="승인",IF(COUNTA('신청원본'!J277)=0,ROUND(G277*H277*(1-I277),'정책'!$C$8),'신청원본'!J277),0)</ns0:f>
        <ns0:v>102818</ns0:v>
      </ns0:c>
      <ns0:c r="K277" t="n">
        <ns0:f>SUMIFS('출결원본'!$D$6:$D$1445,'출결원본'!$B$6:$B$1445,B277)</ns0:f>
        <ns0:v>3</ns0:v>
      </ns0:c>
      <ns0:c r="L277" t="n">
        <ns0:f>VLOOKUP(B277,'평가원본'!$B$6:$D$485,2,FALSE)</ns0:f>
        <ns0:v>60</ns0:v>
      </ns0:c>
      <ns0:c r="M277" t="n">
        <ns0:f>VLOOKUP(B277,'평가원본'!$B$6:$D$485,3,FALSE)</ns0:f>
        <ns0:v>1</ns0:v>
      </ns0:c>
      <ns0:c r="N277" t="n">
        <ns0:f>VLOOKUP(E277,'교육기준'!$B$6:$F$17,5,FALSE)</ns0:f>
        <ns0:v>70</ns0:v>
      </ns0:c>
      <ns0:c r="O277" t="n">
        <ns0:f>IF(AND(F277="승인",K277&gt;='정책'!$C$6,M277=1,L277&gt;=N277),1,0)</ns0:f>
        <ns0:v>0</ns0:v>
      </ns0:c>
    </ns0:row>
    <ns0:row r="278">
      <ns0:c r="B278" s="17" t="str">
        <ns0:f>'신청원본'!B278</ns0:f>
        <ns0:v>APP000273</ns0:v>
      </ns0:c>
      <ns0:c r="C278" s="17" t="str">
        <ns0:f>'신청원본'!C278</ns0:f>
        <ns0:v>000113</ns0:v>
      </ns0:c>
      <ns0:c r="D278" t="str">
        <ns0:f>'신청원본'!D278</ns0:f>
        <ns0:v>영업</ns0:v>
      </ns0:c>
      <ns0:c r="E278" t="str">
        <ns0:f>'신청원본'!E278</ns0:f>
        <ns0:v>C09</ns0:v>
      </ns0:c>
      <ns0:c r="F278" t="str">
        <ns0:f>'신청원본'!H278</ns0:f>
        <ns0:v>승인</ns0:v>
      </ns0:c>
      <ns0:c r="G278" s="18" t="n">
        <ns0:f>VLOOKUP(E278,'교육기준'!$B$6:$F$17,3,FALSE)</ns0:f>
        <ns0:v>240013</ns0:v>
      </ns0:c>
      <ns0:c r="H278" s="18" t="n">
        <ns0:f>'신청원본'!G278</ns0:f>
        <ns0:v>2</ns0:v>
      </ns0:c>
      <ns0:c r="I278" s="19" t="n">
        <ns0:f>'신청원본'!I278</ns0:f>
        <ns0:v>0</ns0:v>
      </ns0:c>
      <ns0:c r="J278" s="18" t="n">
        <ns0:f>IF(F278="승인",IF(COUNTA('신청원본'!J278)=0,ROUND(G278*H278*(1-I278),'정책'!$C$8),'신청원본'!J278),0)</ns0:f>
        <ns0:v>480026</ns0:v>
      </ns0:c>
      <ns0:c r="K278" t="n">
        <ns0:f>SUMIFS('출결원본'!$D$6:$D$1445,'출결원본'!$B$6:$B$1445,B278)</ns0:f>
        <ns0:v>3</ns0:v>
      </ns0:c>
      <ns0:c r="L278" t="n">
        <ns0:f>VLOOKUP(B278,'평가원본'!$B$6:$D$485,2,FALSE)</ns0:f>
        <ns0:v>67</ns0:v>
      </ns0:c>
      <ns0:c r="M278" t="n">
        <ns0:f>VLOOKUP(B278,'평가원본'!$B$6:$D$485,3,FALSE)</ns0:f>
        <ns0:v>1</ns0:v>
      </ns0:c>
      <ns0:c r="N278" t="n">
        <ns0:f>VLOOKUP(E278,'교육기준'!$B$6:$F$17,5,FALSE)</ns0:f>
        <ns0:v>80</ns0:v>
      </ns0:c>
      <ns0:c r="O278" t="n">
        <ns0:f>IF(AND(F278="승인",K278&gt;='정책'!$C$6,M278=1,L278&gt;=N278),1,0)</ns0:f>
        <ns0:v>0</ns0:v>
      </ns0:c>
    </ns0:row>
    <ns0:row r="279">
      <ns0:c r="B279" s="17" t="str">
        <ns0:f>'신청원본'!B279</ns0:f>
        <ns0:v>APP000274</ns0:v>
      </ns0:c>
      <ns0:c r="C279" s="17" t="str">
        <ns0:f>'신청원본'!C279</ns0:f>
        <ns0:v>000114</ns0:v>
      </ns0:c>
      <ns0:c r="D279" t="str">
        <ns0:f>'신청원본'!D279</ns0:f>
        <ns0:v>지원</ns0:v>
      </ns0:c>
      <ns0:c r="E279" t="str">
        <ns0:f>'신청원본'!E279</ns0:f>
        <ns0:v>C04</ns0:v>
      </ns0:c>
      <ns0:c r="F279" t="str">
        <ns0:f>'신청원본'!H279</ns0:f>
        <ns0:v>대기</ns0:v>
      </ns0:c>
      <ns0:c r="G279" s="18" t="n">
        <ns0:f>VLOOKUP(E279,'교육기준'!$B$6:$F$17,3,FALSE)</ns0:f>
        <ns0:v>152508</ns0:v>
      </ns0:c>
      <ns0:c r="H279" s="18" t="n">
        <ns0:f>'신청원본'!G279</ns0:f>
        <ns0:v>3</ns0:v>
      </ns0:c>
      <ns0:c r="I279" s="19" t="n">
        <ns0:f>'신청원본'!I279</ns0:f>
        <ns0:v>0.05</ns0:v>
      </ns0:c>
      <ns0:c r="J279" s="18" t="n">
        <ns0:f>IF(F279="승인",IF(COUNTA('신청원본'!J279)=0,ROUND(G279*H279*(1-I279),'정책'!$C$8),'신청원본'!J279),0)</ns0:f>
        <ns0:v>0</ns0:v>
      </ns0:c>
      <ns0:c r="K279" t="n">
        <ns0:f>SUMIFS('출결원본'!$D$6:$D$1445,'출결원본'!$B$6:$B$1445,B279)</ns0:f>
        <ns0:v>2</ns0:v>
      </ns0:c>
      <ns0:c r="L279" t="n">
        <ns0:f>VLOOKUP(B279,'평가원본'!$B$6:$D$485,2,FALSE)</ns0:f>
        <ns0:v>74</ns0:v>
      </ns0:c>
      <ns0:c r="M279" t="n">
        <ns0:f>VLOOKUP(B279,'평가원본'!$B$6:$D$485,3,FALSE)</ns0:f>
        <ns0:v>1</ns0:v>
      </ns0:c>
      <ns0:c r="N279" t="n">
        <ns0:f>VLOOKUP(E279,'교육기준'!$B$6:$F$17,5,FALSE)</ns0:f>
        <ns0:v>60</ns0:v>
      </ns0:c>
      <ns0:c r="O279" t="n">
        <ns0:f>IF(AND(F279="승인",K279&gt;='정책'!$C$6,M279=1,L279&gt;=N279),1,0)</ns0:f>
        <ns0:v>0</ns0:v>
      </ns0:c>
    </ns0:row>
    <ns0:row r="280">
      <ns0:c r="B280" s="17" t="str">
        <ns0:f>'신청원본'!B280</ns0:f>
        <ns0:v>APP000275</ns0:v>
      </ns0:c>
      <ns0:c r="C280" s="17" t="str">
        <ns0:f>'신청원본'!C280</ns0:f>
        <ns0:v>000115</ns0:v>
      </ns0:c>
      <ns0:c r="D280" t="str">
        <ns0:f>'신청원본'!D280</ns0:f>
        <ns0:v>개발</ns0:v>
      </ns0:c>
      <ns0:c r="E280" t="str">
        <ns0:f>'신청원본'!E280</ns0:f>
        <ns0:v>C11</ns0:v>
      </ns0:c>
      <ns0:c r="F280" t="str">
        <ns0:f>'신청원본'!H280</ns0:f>
        <ns0:v>승인</ns0:v>
      </ns0:c>
      <ns0:c r="G280" s="18" t="n">
        <ns0:f>VLOOKUP(E280,'교육기준'!$B$6:$F$17,3,FALSE)</ns0:f>
        <ns0:v>275015</ns0:v>
      </ns0:c>
      <ns0:c r="H280" s="18" t="n">
        <ns0:f>'신청원본'!G280</ns0:f>
        <ns0:v>4</ns0:v>
      </ns0:c>
      <ns0:c r="I280" s="19" t="n">
        <ns0:f>'신청원본'!I280</ns0:f>
        <ns0:v>0.1</ns0:v>
      </ns0:c>
      <ns0:c r="J280" s="18" t="n">
        <ns0:f>IF(F280="승인",IF(COUNTA('신청원본'!J280)=0,ROUND(G280*H280*(1-I280),'정책'!$C$8),'신청원본'!J280),0)</ns0:f>
        <ns0:v>990054</ns0:v>
      </ns0:c>
      <ns0:c r="K280" t="n">
        <ns0:f>SUMIFS('출결원본'!$D$6:$D$1445,'출결원본'!$B$6:$B$1445,B280)</ns0:f>
        <ns0:v>3</ns0:v>
      </ns0:c>
      <ns0:c r="L280" t="n">
        <ns0:f>VLOOKUP(B280,'평가원본'!$B$6:$D$485,2,FALSE)</ns0:f>
        <ns0:v>81</ns0:v>
      </ns0:c>
      <ns0:c r="M280" t="n">
        <ns0:f>VLOOKUP(B280,'평가원본'!$B$6:$D$485,3,FALSE)</ns0:f>
        <ns0:v>1</ns0:v>
      </ns0:c>
      <ns0:c r="N280" t="n">
        <ns0:f>VLOOKUP(E280,'교육기준'!$B$6:$F$17,5,FALSE)</ns0:f>
        <ns0:v>70</ns0:v>
      </ns0:c>
      <ns0:c r="O280" t="n">
        <ns0:f>IF(AND(F280="승인",K280&gt;='정책'!$C$6,M280=1,L280&gt;=N280),1,0)</ns0:f>
        <ns0:v>1</ns0:v>
      </ns0:c>
    </ns0:row>
    <ns0:row r="281">
      <ns0:c r="B281" s="17" t="str">
        <ns0:f>'신청원본'!B281</ns0:f>
        <ns0:v>APP000276</ns0:v>
      </ns0:c>
      <ns0:c r="C281" s="17" t="str">
        <ns0:f>'신청원본'!C281</ns0:f>
        <ns0:v>000116</ns0:v>
      </ns0:c>
      <ns0:c r="D281" t="str">
        <ns0:f>'신청원본'!D281</ns0:f>
        <ns0:v>생산</ns0:v>
      </ns0:c>
      <ns0:c r="E281" t="str">
        <ns0:f>'신청원본'!E281</ns0:f>
        <ns0:v>C06</ns0:v>
      </ns0:c>
      <ns0:c r="F281" t="str">
        <ns0:f>'신청원본'!H281</ns0:f>
        <ns0:v>취소</ns0:v>
      </ns0:c>
      <ns0:c r="G281" s="18" t="n">
        <ns0:f>VLOOKUP(E281,'교육기준'!$B$6:$F$17,3,FALSE)</ns0:f>
        <ns0:v>187510</ns0:v>
      </ns0:c>
      <ns0:c r="H281" s="18" t="n">
        <ns0:f>'신청원본'!G281</ns0:f>
        <ns0:v>5</ns0:v>
      </ns0:c>
      <ns0:c r="I281" s="19" t="n">
        <ns0:f>'신청원본'!I281</ns0:f>
        <ns0:v>0.125</ns0:v>
      </ns0:c>
      <ns0:c r="J281" s="18" t="n">
        <ns0:f>IF(F281="승인",IF(COUNTA('신청원본'!J281)=0,ROUND(G281*H281*(1-I281),'정책'!$C$8),'신청원본'!J281),0)</ns0:f>
        <ns0:v>0</ns0:v>
      </ns0:c>
      <ns0:c r="K281" t="n">
        <ns0:f>SUMIFS('출결원본'!$D$6:$D$1445,'출결원본'!$B$6:$B$1445,B281)</ns0:f>
        <ns0:v>3</ns0:v>
      </ns0:c>
      <ns0:c r="L281" t="n">
        <ns0:f>VLOOKUP(B281,'평가원본'!$B$6:$D$485,2,FALSE)</ns0:f>
        <ns0:v>88</ns0:v>
      </ns0:c>
      <ns0:c r="M281" t="n">
        <ns0:f>VLOOKUP(B281,'평가원본'!$B$6:$D$485,3,FALSE)</ns0:f>
        <ns0:v>1</ns0:v>
      </ns0:c>
      <ns0:c r="N281" t="n">
        <ns0:f>VLOOKUP(E281,'교육기준'!$B$6:$F$17,5,FALSE)</ns0:f>
        <ns0:v>80</ns0:v>
      </ns0:c>
      <ns0:c r="O281" t="n">
        <ns0:f>IF(AND(F281="승인",K281&gt;='정책'!$C$6,M281=1,L281&gt;=N281),1,0)</ns0:f>
        <ns0:v>0</ns0:v>
      </ns0:c>
    </ns0:row>
    <ns0:row r="282">
      <ns0:c r="B282" s="17" t="str">
        <ns0:f>'신청원본'!B282</ns0:f>
        <ns0:v>APP000277</ns0:v>
      </ns0:c>
      <ns0:c r="C282" s="17" t="str">
        <ns0:f>'신청원본'!C282</ns0:f>
        <ns0:v>000117</ns0:v>
      </ns0:c>
      <ns0:c r="D282" t="str">
        <ns0:f>'신청원본'!D282</ns0:f>
        <ns0:v>품질</ns0:v>
      </ns0:c>
      <ns0:c r="E282" t="str">
        <ns0:f>'신청원본'!E282</ns0:f>
        <ns0:v>C01</ns0:v>
      </ns0:c>
      <ns0:c r="F282" t="str">
        <ns0:f>'신청원본'!H282</ns0:f>
        <ns0:v>승인</ns0:v>
      </ns0:c>
      <ns0:c r="G282" s="18" t="n">
        <ns0:f>VLOOKUP(E282,'교육기준'!$B$6:$F$17,3,FALSE)</ns0:f>
        <ns0:v>100005</ns0:v>
      </ns0:c>
      <ns0:c r="H282" s="18" t="n">
        <ns0:f>'신청원본'!G282</ns0:f>
        <ns0:v>0</ns0:v>
      </ns0:c>
      <ns0:c r="I282" s="19" t="n">
        <ns0:f>'신청원본'!I282</ns0:f>
        <ns0:v>0</ns0:v>
      </ns0:c>
      <ns0:c r="J282" s="18" t="n">
        <ns0:f>IF(F282="승인",IF(COUNTA('신청원본'!J282)=0,ROUND(G282*H282*(1-I282),'정책'!$C$8),'신청원본'!J282),0)</ns0:f>
        <ns0:v>0</ns0:v>
      </ns0:c>
      <ns0:c r="K282" t="n">
        <ns0:f>SUMIFS('출결원본'!$D$6:$D$1445,'출결원본'!$B$6:$B$1445,B282)</ns0:f>
        <ns0:v>3</ns0:v>
      </ns0:c>
      <ns0:c r="L282" t="n">
        <ns0:f>VLOOKUP(B282,'평가원본'!$B$6:$D$485,2,FALSE)</ns0:f>
        <ns0:v>95</ns0:v>
      </ns0:c>
      <ns0:c r="M282" t="n">
        <ns0:f>VLOOKUP(B282,'평가원본'!$B$6:$D$485,3,FALSE)</ns0:f>
        <ns0:v>1</ns0:v>
      </ns0:c>
      <ns0:c r="N282" t="n">
        <ns0:f>VLOOKUP(E282,'교육기준'!$B$6:$F$17,5,FALSE)</ns0:f>
        <ns0:v>60</ns0:v>
      </ns0:c>
      <ns0:c r="O282" t="n">
        <ns0:f>IF(AND(F282="승인",K282&gt;='정책'!$C$6,M282=1,L282&gt;=N282),1,0)</ns0:f>
        <ns0:v>1</ns0:v>
      </ns0:c>
    </ns0:row>
    <ns0:row r="283">
      <ns0:c r="B283" s="17" t="str">
        <ns0:f>'신청원본'!B283</ns0:f>
        <ns0:v>APP000278</ns0:v>
      </ns0:c>
      <ns0:c r="C283" s="17" t="str">
        <ns0:f>'신청원본'!C283</ns0:f>
        <ns0:v>000118</ns0:v>
      </ns0:c>
      <ns0:c r="D283" t="str">
        <ns0:f>'신청원본'!D283</ns0:f>
        <ns0:v>기획</ns0:v>
      </ns0:c>
      <ns0:c r="E283" t="str">
        <ns0:f>'신청원본'!E283</ns0:f>
        <ns0:v>C08</ns0:v>
      </ns0:c>
      <ns0:c r="F283" t="str">
        <ns0:f>'신청원본'!H283</ns0:f>
        <ns0:v>승인</ns0:v>
      </ns0:c>
      <ns0:c r="G283" s="18" t="n">
        <ns0:f>VLOOKUP(E283,'교육기준'!$B$6:$F$17,3,FALSE)</ns0:f>
        <ns0:v>222512</ns0:v>
      </ns0:c>
      <ns0:c r="H283" s="18" t="n">
        <ns0:f>'신청원본'!G283</ns0:f>
        <ns0:v>1</ns0:v>
      </ns0:c>
      <ns0:c r="I283" s="19" t="n">
        <ns0:f>'신청원본'!I283</ns0:f>
        <ns0:v>0.05</ns0:v>
      </ns0:c>
      <ns0:c r="J283" s="18" t="n">
        <ns0:f>IF(F283="승인",IF(COUNTA('신청원본'!J283)=0,ROUND(G283*H283*(1-I283),'정책'!$C$8),'신청원본'!J283),0)</ns0:f>
        <ns0:v>211386</ns0:v>
      </ns0:c>
      <ns0:c r="K283" t="n">
        <ns0:f>SUMIFS('출결원본'!$D$6:$D$1445,'출결원본'!$B$6:$B$1445,B283)</ns0:f>
        <ns0:v>3</ns0:v>
      </ns0:c>
      <ns0:c r="L283" t="n">
        <ns0:f>VLOOKUP(B283,'평가원본'!$B$6:$D$485,2,FALSE)</ns0:f>
        <ns0:v>51</ns0:v>
      </ns0:c>
      <ns0:c r="M283" t="n">
        <ns0:f>VLOOKUP(B283,'평가원본'!$B$6:$D$485,3,FALSE)</ns0:f>
        <ns0:v>1</ns0:v>
      </ns0:c>
      <ns0:c r="N283" t="n">
        <ns0:f>VLOOKUP(E283,'교육기준'!$B$6:$F$17,5,FALSE)</ns0:f>
        <ns0:v>70</ns0:v>
      </ns0:c>
      <ns0:c r="O283" t="n">
        <ns0:f>IF(AND(F283="승인",K283&gt;='정책'!$C$6,M283=1,L283&gt;=N283),1,0)</ns0:f>
        <ns0:v>0</ns0:v>
      </ns0:c>
    </ns0:row>
    <ns0:row r="284">
      <ns0:c r="B284" s="17" t="str">
        <ns0:f>'신청원본'!B284</ns0:f>
        <ns0:v>APP000279</ns0:v>
      </ns0:c>
      <ns0:c r="C284" s="17" t="str">
        <ns0:f>'신청원본'!C284</ns0:f>
        <ns0:v>000119</ns0:v>
      </ns0:c>
      <ns0:c r="D284" t="str">
        <ns0:f>'신청원본'!D284</ns0:f>
        <ns0:v>영업</ns0:v>
      </ns0:c>
      <ns0:c r="E284" t="str">
        <ns0:f>'신청원본'!E284</ns0:f>
        <ns0:v>C03</ns0:v>
      </ns0:c>
      <ns0:c r="F284" t="str">
        <ns0:f>'신청원본'!H284</ns0:f>
        <ns0:v>승인</ns0:v>
      </ns0:c>
      <ns0:c r="G284" s="18" t="n">
        <ns0:f>VLOOKUP(E284,'교육기준'!$B$6:$F$17,3,FALSE)</ns0:f>
        <ns0:v>135007</ns0:v>
      </ns0:c>
      <ns0:c r="H284" s="18" t="n">
        <ns0:f>'신청원본'!G284</ns0:f>
        <ns0:v>2</ns0:v>
      </ns0:c>
      <ns0:c r="I284" s="19" t="n">
        <ns0:f>'신청원본'!I284</ns0:f>
        <ns0:v>0.1</ns0:v>
      </ns0:c>
      <ns0:c r="J284" s="18" t="n">
        <ns0:f>IF(F284="승인",IF(COUNTA('신청원본'!J284)=0,ROUND(G284*H284*(1-I284),'정책'!$C$8),'신청원본'!J284),0)</ns0:f>
        <ns0:v>243013</ns0:v>
      </ns0:c>
      <ns0:c r="K284" t="n">
        <ns0:f>SUMIFS('출결원본'!$D$6:$D$1445,'출결원본'!$B$6:$B$1445,B284)</ns0:f>
        <ns0:v>3</ns0:v>
      </ns0:c>
      <ns0:c r="L284" t="n">
        <ns0:f>VLOOKUP(B284,'평가원본'!$B$6:$D$485,2,FALSE)</ns0:f>
        <ns0:v>58</ns0:v>
      </ns0:c>
      <ns0:c r="M284" t="n">
        <ns0:f>VLOOKUP(B284,'평가원본'!$B$6:$D$485,3,FALSE)</ns0:f>
        <ns0:v>1</ns0:v>
      </ns0:c>
      <ns0:c r="N284" t="n">
        <ns0:f>VLOOKUP(E284,'교육기준'!$B$6:$F$17,5,FALSE)</ns0:f>
        <ns0:v>80</ns0:v>
      </ns0:c>
      <ns0:c r="O284" t="n">
        <ns0:f>IF(AND(F284="승인",K284&gt;='정책'!$C$6,M284=1,L284&gt;=N284),1,0)</ns0:f>
        <ns0:v>0</ns0:v>
      </ns0:c>
    </ns0:row>
    <ns0:row r="285">
      <ns0:c r="B285" s="17" t="str">
        <ns0:f>'신청원본'!B285</ns0:f>
        <ns0:v>APP000280</ns0:v>
      </ns0:c>
      <ns0:c r="C285" s="17" t="str">
        <ns0:f>'신청원본'!C285</ns0:f>
        <ns0:v>000120</ns0:v>
      </ns0:c>
      <ns0:c r="D285" t="str">
        <ns0:f>'신청원본'!D285</ns0:f>
        <ns0:v>지원</ns0:v>
      </ns0:c>
      <ns0:c r="E285" t="str">
        <ns0:f>'신청원본'!E285</ns0:f>
        <ns0:v>C10</ns0:v>
      </ns0:c>
      <ns0:c r="F285" t="str">
        <ns0:f>'신청원본'!H285</ns0:f>
        <ns0:v>승인</ns0:v>
      </ns0:c>
      <ns0:c r="G285" s="18" t="n">
        <ns0:f>VLOOKUP(E285,'교육기준'!$B$6:$F$17,3,FALSE)</ns0:f>
        <ns0:v>257514</ns0:v>
      </ns0:c>
      <ns0:c r="H285" s="18" t="n">
        <ns0:f>'신청원본'!G285</ns0:f>
        <ns0:v>3</ns0:v>
      </ns0:c>
      <ns0:c r="I285" s="19" t="n">
        <ns0:f>'신청원본'!I285</ns0:f>
        <ns0:v>0.125</ns0:v>
      </ns0:c>
      <ns0:c r="J285" s="18" t="n">
        <ns0:f>IF(F285="승인",IF(COUNTA('신청원본'!J285)=0,ROUND(G285*H285*(1-I285),'정책'!$C$8),'신청원본'!J285),0)</ns0:f>
        <ns0:v>675974</ns0:v>
      </ns0:c>
      <ns0:c r="K285" t="n">
        <ns0:f>SUMIFS('출결원본'!$D$6:$D$1445,'출결원본'!$B$6:$B$1445,B285)</ns0:f>
        <ns0:v>2</ns0:v>
      </ns0:c>
      <ns0:c r="L285" t="n">
        <ns0:f>VLOOKUP(B285,'평가원본'!$B$6:$D$485,2,FALSE)</ns0:f>
        <ns0:v>65</ns0:v>
      </ns0:c>
      <ns0:c r="M285" t="n">
        <ns0:f>VLOOKUP(B285,'평가원본'!$B$6:$D$485,3,FALSE)</ns0:f>
        <ns0:v>1</ns0:v>
      </ns0:c>
      <ns0:c r="N285" t="n">
        <ns0:f>VLOOKUP(E285,'교육기준'!$B$6:$F$17,5,FALSE)</ns0:f>
        <ns0:v>60</ns0:v>
      </ns0:c>
      <ns0:c r="O285" t="n">
        <ns0:f>IF(AND(F285="승인",K285&gt;='정책'!$C$6,M285=1,L285&gt;=N285),1,0)</ns0:f>
        <ns0:v>0</ns0:v>
      </ns0:c>
    </ns0:row>
    <ns0:row r="286">
      <ns0:c r="B286" s="17" t="str">
        <ns0:f>'신청원본'!B286</ns0:f>
        <ns0:v>APP000281</ns0:v>
      </ns0:c>
      <ns0:c r="C286" s="17" t="str">
        <ns0:f>'신청원본'!C286</ns0:f>
        <ns0:v>000121</ns0:v>
      </ns0:c>
      <ns0:c r="D286" t="str">
        <ns0:f>'신청원본'!D286</ns0:f>
        <ns0:v>개발</ns0:v>
      </ns0:c>
      <ns0:c r="E286" t="str">
        <ns0:f>'신청원본'!E286</ns0:f>
        <ns0:v>C05</ns0:v>
      </ns0:c>
      <ns0:c r="F286" t="str">
        <ns0:f>'신청원본'!H286</ns0:f>
        <ns0:v>대기</ns0:v>
      </ns0:c>
      <ns0:c r="G286" s="18" t="n">
        <ns0:f>VLOOKUP(E286,'교육기준'!$B$6:$F$17,3,FALSE)</ns0:f>
        <ns0:v>170009</ns0:v>
      </ns0:c>
      <ns0:c r="H286" s="18" t="n">
        <ns0:f>'신청원본'!G286</ns0:f>
        <ns0:v>4</ns0:v>
      </ns0:c>
      <ns0:c r="I286" s="19" t="n">
        <ns0:f>'신청원본'!I286</ns0:f>
        <ns0:v>0</ns0:v>
      </ns0:c>
      <ns0:c r="J286" s="18" t="n">
        <ns0:f>IF(F286="승인",IF(COUNTA('신청원본'!J286)=0,ROUND(G286*H286*(1-I286),'정책'!$C$8),'신청원본'!J286),0)</ns0:f>
        <ns0:v>0</ns0:v>
      </ns0:c>
      <ns0:c r="K286" t="n">
        <ns0:f>SUMIFS('출결원본'!$D$6:$D$1445,'출결원본'!$B$6:$B$1445,B286)</ns0:f>
        <ns0:v>3</ns0:v>
      </ns0:c>
      <ns0:c r="L286" t="n">
        <ns0:f>VLOOKUP(B286,'평가원본'!$B$6:$D$485,2,FALSE)</ns0:f>
        <ns0:v>72</ns0:v>
      </ns0:c>
      <ns0:c r="M286" t="n">
        <ns0:f>VLOOKUP(B286,'평가원본'!$B$6:$D$485,3,FALSE)</ns0:f>
        <ns0:v>1</ns0:v>
      </ns0:c>
      <ns0:c r="N286" t="n">
        <ns0:f>VLOOKUP(E286,'교육기준'!$B$6:$F$17,5,FALSE)</ns0:f>
        <ns0:v>70</ns0:v>
      </ns0:c>
      <ns0:c r="O286" t="n">
        <ns0:f>IF(AND(F286="승인",K286&gt;='정책'!$C$6,M286=1,L286&gt;=N286),1,0)</ns0:f>
        <ns0:v>0</ns0:v>
      </ns0:c>
    </ns0:row>
    <ns0:row r="287">
      <ns0:c r="B287" s="17" t="str">
        <ns0:f>'신청원본'!B287</ns0:f>
        <ns0:v>APP000282</ns0:v>
      </ns0:c>
      <ns0:c r="C287" s="17" t="str">
        <ns0:f>'신청원본'!C287</ns0:f>
        <ns0:v>000122</ns0:v>
      </ns0:c>
      <ns0:c r="D287" t="str">
        <ns0:f>'신청원본'!D287</ns0:f>
        <ns0:v>생산</ns0:v>
      </ns0:c>
      <ns0:c r="E287" t="str">
        <ns0:f>'신청원본'!E287</ns0:f>
        <ns0:v>C12</ns0:v>
      </ns0:c>
      <ns0:c r="F287" t="str">
        <ns0:f>'신청원본'!H287</ns0:f>
        <ns0:v>승인</ns0:v>
      </ns0:c>
      <ns0:c r="G287" s="18" t="n">
        <ns0:f>VLOOKUP(E287,'교육기준'!$B$6:$F$17,3,FALSE)</ns0:f>
        <ns0:v>292516</ns0:v>
      </ns0:c>
      <ns0:c r="H287" s="18" t="n">
        <ns0:f>'신청원본'!G287</ns0:f>
        <ns0:v>5</ns0:v>
      </ns0:c>
      <ns0:c r="I287" s="19" t="n">
        <ns0:f>'신청원본'!I287</ns0:f>
        <ns0:v>0.05</ns0:v>
      </ns0:c>
      <ns0:c r="J287" s="18" t="n">
        <ns0:f>IF(F287="승인",IF(COUNTA('신청원본'!J287)=0,ROUND(G287*H287*(1-I287),'정책'!$C$8),'신청원본'!J287),0)</ns0:f>
        <ns0:v>1389451</ns0:v>
      </ns0:c>
      <ns0:c r="K287" t="n">
        <ns0:f>SUMIFS('출결원본'!$D$6:$D$1445,'출결원본'!$B$6:$B$1445,B287)</ns0:f>
        <ns0:v>3</ns0:v>
      </ns0:c>
      <ns0:c r="L287" t="n">
        <ns0:f>VLOOKUP(B287,'평가원본'!$B$6:$D$485,2,FALSE)</ns0:f>
        <ns0:v>79</ns0:v>
      </ns0:c>
      <ns0:c r="M287" t="n">
        <ns0:f>VLOOKUP(B287,'평가원본'!$B$6:$D$485,3,FALSE)</ns0:f>
        <ns0:v>1</ns0:v>
      </ns0:c>
      <ns0:c r="N287" t="n">
        <ns0:f>VLOOKUP(E287,'교육기준'!$B$6:$F$17,5,FALSE)</ns0:f>
        <ns0:v>80</ns0:v>
      </ns0:c>
      <ns0:c r="O287" t="n">
        <ns0:f>IF(AND(F287="승인",K287&gt;='정책'!$C$6,M287=1,L287&gt;=N287),1,0)</ns0:f>
        <ns0:v>0</ns0:v>
      </ns0:c>
    </ns0:row>
    <ns0:row r="288">
      <ns0:c r="B288" s="17" t="str">
        <ns0:f>'신청원본'!B288</ns0:f>
        <ns0:v>APP000283</ns0:v>
      </ns0:c>
      <ns0:c r="C288" s="17" t="str">
        <ns0:f>'신청원본'!C288</ns0:f>
        <ns0:v>000123</ns0:v>
      </ns0:c>
      <ns0:c r="D288" t="str">
        <ns0:f>'신청원본'!D288</ns0:f>
        <ns0:v>품질</ns0:v>
      </ns0:c>
      <ns0:c r="E288" t="str">
        <ns0:f>'신청원본'!E288</ns0:f>
        <ns0:v>C07</ns0:v>
      </ns0:c>
      <ns0:c r="F288" t="str">
        <ns0:f>'신청원본'!H288</ns0:f>
        <ns0:v>승인</ns0:v>
      </ns0:c>
      <ns0:c r="G288" s="18" t="n">
        <ns0:f>VLOOKUP(E288,'교육기준'!$B$6:$F$17,3,FALSE)</ns0:f>
        <ns0:v>205011</ns0:v>
      </ns0:c>
      <ns0:c r="H288" s="18" t="n">
        <ns0:f>'신청원본'!G288</ns0:f>
        <ns0:v>0</ns0:v>
      </ns0:c>
      <ns0:c r="I288" s="19" t="n">
        <ns0:f>'신청원본'!I288</ns0:f>
        <ns0:v>0.1</ns0:v>
      </ns0:c>
      <ns0:c r="J288" s="18" t="n">
        <ns0:f>IF(F288="승인",IF(COUNTA('신청원본'!J288)=0,ROUND(G288*H288*(1-I288),'정책'!$C$8),'신청원본'!J288),0)</ns0:f>
        <ns0:v>0</ns0:v>
      </ns0:c>
      <ns0:c r="K288" t="n">
        <ns0:f>SUMIFS('출결원본'!$D$6:$D$1445,'출결원본'!$B$6:$B$1445,B288)</ns0:f>
        <ns0:v>3</ns0:v>
      </ns0:c>
      <ns0:c r="L288" t="n">
        <ns0:f>VLOOKUP(B288,'평가원본'!$B$6:$D$485,2,FALSE)</ns0:f>
        <ns0:v>86</ns0:v>
      </ns0:c>
      <ns0:c r="M288" t="n">
        <ns0:f>VLOOKUP(B288,'평가원본'!$B$6:$D$485,3,FALSE)</ns0:f>
        <ns0:v>1</ns0:v>
      </ns0:c>
      <ns0:c r="N288" t="n">
        <ns0:f>VLOOKUP(E288,'교육기준'!$B$6:$F$17,5,FALSE)</ns0:f>
        <ns0:v>60</ns0:v>
      </ns0:c>
      <ns0:c r="O288" t="n">
        <ns0:f>IF(AND(F288="승인",K288&gt;='정책'!$C$6,M288=1,L288&gt;=N288),1,0)</ns0:f>
        <ns0:v>1</ns0:v>
      </ns0:c>
    </ns0:row>
    <ns0:row r="289">
      <ns0:c r="B289" s="17" t="str">
        <ns0:f>'신청원본'!B289</ns0:f>
        <ns0:v>APP000284</ns0:v>
      </ns0:c>
      <ns0:c r="C289" s="17" t="str">
        <ns0:f>'신청원본'!C289</ns0:f>
        <ns0:v>000124</ns0:v>
      </ns0:c>
      <ns0:c r="D289" t="str">
        <ns0:f>'신청원본'!D289</ns0:f>
        <ns0:v>기획</ns0:v>
      </ns0:c>
      <ns0:c r="E289" t="str">
        <ns0:f>'신청원본'!E289</ns0:f>
        <ns0:v>C02</ns0:v>
      </ns0:c>
      <ns0:c r="F289" t="str">
        <ns0:f>'신청원본'!H289</ns0:f>
        <ns0:v>승인</ns0:v>
      </ns0:c>
      <ns0:c r="G289" s="18" t="n">
        <ns0:f>VLOOKUP(E289,'교육기준'!$B$6:$F$17,3,FALSE)</ns0:f>
        <ns0:v>117506</ns0:v>
      </ns0:c>
      <ns0:c r="H289" s="18" t="n">
        <ns0:f>'신청원본'!G289</ns0:f>
        <ns0:v>1</ns0:v>
      </ns0:c>
      <ns0:c r="I289" s="19" t="n">
        <ns0:f>'신청원본'!I289</ns0:f>
        <ns0:v>0.125</ns0:v>
      </ns0:c>
      <ns0:c r="J289" s="18" t="n">
        <ns0:f>IF(F289="승인",IF(COUNTA('신청원본'!J289)=0,ROUND(G289*H289*(1-I289),'정책'!$C$8),'신청원본'!J289),0)</ns0:f>
        <ns0:v>102818</ns0:v>
      </ns0:c>
      <ns0:c r="K289" t="n">
        <ns0:f>SUMIFS('출결원본'!$D$6:$D$1445,'출결원본'!$B$6:$B$1445,B289)</ns0:f>
        <ns0:v>3</ns0:v>
      </ns0:c>
      <ns0:c r="L289" t="n">
        <ns0:f>VLOOKUP(B289,'평가원본'!$B$6:$D$485,2,FALSE)</ns0:f>
        <ns0:v>93</ns0:v>
      </ns0:c>
      <ns0:c r="M289" t="n">
        <ns0:f>VLOOKUP(B289,'평가원본'!$B$6:$D$485,3,FALSE)</ns0:f>
        <ns0:v>1</ns0:v>
      </ns0:c>
      <ns0:c r="N289" t="n">
        <ns0:f>VLOOKUP(E289,'교육기준'!$B$6:$F$17,5,FALSE)</ns0:f>
        <ns0:v>70</ns0:v>
      </ns0:c>
      <ns0:c r="O289" t="n">
        <ns0:f>IF(AND(F289="승인",K289&gt;='정책'!$C$6,M289=1,L289&gt;=N289),1,0)</ns0:f>
        <ns0:v>1</ns0:v>
      </ns0:c>
    </ns0:row>
    <ns0:row r="290">
      <ns0:c r="B290" s="17" t="str">
        <ns0:f>'신청원본'!B290</ns0:f>
        <ns0:v>APP000285</ns0:v>
      </ns0:c>
      <ns0:c r="C290" s="17" t="str">
        <ns0:f>'신청원본'!C290</ns0:f>
        <ns0:v>000125</ns0:v>
      </ns0:c>
      <ns0:c r="D290" t="str">
        <ns0:f>'신청원본'!D290</ns0:f>
        <ns0:v>영업</ns0:v>
      </ns0:c>
      <ns0:c r="E290" t="str">
        <ns0:f>'신청원본'!E290</ns0:f>
        <ns0:v>C09</ns0:v>
      </ns0:c>
      <ns0:c r="F290" t="str">
        <ns0:f>'신청원본'!H290</ns0:f>
        <ns0:v>승인</ns0:v>
      </ns0:c>
      <ns0:c r="G290" s="18" t="n">
        <ns0:f>VLOOKUP(E290,'교육기준'!$B$6:$F$17,3,FALSE)</ns0:f>
        <ns0:v>240013</ns0:v>
      </ns0:c>
      <ns0:c r="H290" s="18" t="n">
        <ns0:f>'신청원본'!G290</ns0:f>
        <ns0:v>2</ns0:v>
      </ns0:c>
      <ns0:c r="I290" s="19" t="n">
        <ns0:f>'신청원본'!I290</ns0:f>
        <ns0:v>0</ns0:v>
      </ns0:c>
      <ns0:c r="J290" s="18" t="n">
        <ns0:f>IF(F290="승인",IF(COUNTA('신청원본'!J290)=0,ROUND(G290*H290*(1-I290),'정책'!$C$8),'신청원본'!J290),0)</ns0:f>
        <ns0:v>480026</ns0:v>
      </ns0:c>
      <ns0:c r="K290" t="n">
        <ns0:f>SUMIFS('출결원본'!$D$6:$D$1445,'출결원본'!$B$6:$B$1445,B290)</ns0:f>
        <ns0:v>3</ns0:v>
      </ns0:c>
      <ns0:c r="L290" t="n">
        <ns0:f>VLOOKUP(B290,'평가원본'!$B$6:$D$485,2,FALSE)</ns0:f>
        <ns0:v>100</ns0:v>
      </ns0:c>
      <ns0:c r="M290" t="n">
        <ns0:f>VLOOKUP(B290,'평가원본'!$B$6:$D$485,3,FALSE)</ns0:f>
        <ns0:v>1</ns0:v>
      </ns0:c>
      <ns0:c r="N290" t="n">
        <ns0:f>VLOOKUP(E290,'교육기준'!$B$6:$F$17,5,FALSE)</ns0:f>
        <ns0:v>80</ns0:v>
      </ns0:c>
      <ns0:c r="O290" t="n">
        <ns0:f>IF(AND(F290="승인",K290&gt;='정책'!$C$6,M290=1,L290&gt;=N290),1,0)</ns0:f>
        <ns0:v>1</ns0:v>
      </ns0:c>
    </ns0:row>
    <ns0:row r="291">
      <ns0:c r="B291" s="17" t="str">
        <ns0:f>'신청원본'!B291</ns0:f>
        <ns0:v>APP000286</ns0:v>
      </ns0:c>
      <ns0:c r="C291" s="17" t="str">
        <ns0:f>'신청원본'!C291</ns0:f>
        <ns0:v>000126</ns0:v>
      </ns0:c>
      <ns0:c r="D291" t="str">
        <ns0:f>'신청원본'!D291</ns0:f>
        <ns0:v>지원</ns0:v>
      </ns0:c>
      <ns0:c r="E291" t="str">
        <ns0:f>'신청원본'!E291</ns0:f>
        <ns0:v>C04</ns0:v>
      </ns0:c>
      <ns0:c r="F291" t="str">
        <ns0:f>'신청원본'!H291</ns0:f>
        <ns0:v>승인</ns0:v>
      </ns0:c>
      <ns0:c r="G291" s="18" t="n">
        <ns0:f>VLOOKUP(E291,'교육기준'!$B$6:$F$17,3,FALSE)</ns0:f>
        <ns0:v>152508</ns0:v>
      </ns0:c>
      <ns0:c r="H291" s="18" t="n">
        <ns0:f>'신청원본'!G291</ns0:f>
        <ns0:v>3</ns0:v>
      </ns0:c>
      <ns0:c r="I291" s="19" t="n">
        <ns0:f>'신청원본'!I291</ns0:f>
        <ns0:v>0.05</ns0:v>
      </ns0:c>
      <ns0:c r="J291" s="18" t="n">
        <ns0:f>IF(F291="승인",IF(COUNTA('신청원본'!J291)=0,ROUND(G291*H291*(1-I291),'정책'!$C$8),'신청원본'!J291),0)</ns0:f>
        <ns0:v>434648</ns0:v>
      </ns0:c>
      <ns0:c r="K291" t="n">
        <ns0:f>SUMIFS('출결원본'!$D$6:$D$1445,'출결원본'!$B$6:$B$1445,B291)</ns0:f>
        <ns0:v>3</ns0:v>
      </ns0:c>
      <ns0:c r="L291" t="n">
        <ns0:f>VLOOKUP(B291,'평가원본'!$B$6:$D$485,2,FALSE)</ns0:f>
        <ns0:v>56</ns0:v>
      </ns0:c>
      <ns0:c r="M291" t="n">
        <ns0:f>VLOOKUP(B291,'평가원본'!$B$6:$D$485,3,FALSE)</ns0:f>
        <ns0:v>0</ns0:v>
      </ns0:c>
      <ns0:c r="N291" t="n">
        <ns0:f>VLOOKUP(E291,'교육기준'!$B$6:$F$17,5,FALSE)</ns0:f>
        <ns0:v>60</ns0:v>
      </ns0:c>
      <ns0:c r="O291" t="n">
        <ns0:f>IF(AND(F291="승인",K291&gt;='정책'!$C$6,M291=1,L291&gt;=N291),1,0)</ns0:f>
        <ns0:v>0</ns0:v>
      </ns0:c>
    </ns0:row>
    <ns0:row r="292">
      <ns0:c r="B292" s="17" t="str">
        <ns0:f>'신청원본'!B292</ns0:f>
        <ns0:v>APP000287</ns0:v>
      </ns0:c>
      <ns0:c r="C292" s="17" t="str">
        <ns0:f>'신청원본'!C292</ns0:f>
        <ns0:v>000127</ns0:v>
      </ns0:c>
      <ns0:c r="D292" t="str">
        <ns0:f>'신청원본'!D292</ns0:f>
        <ns0:v>개발</ns0:v>
      </ns0:c>
      <ns0:c r="E292" t="str">
        <ns0:f>'신청원본'!E292</ns0:f>
        <ns0:v>C11</ns0:v>
      </ns0:c>
      <ns0:c r="F292" t="str">
        <ns0:f>'신청원본'!H292</ns0:f>
        <ns0:v>취소</ns0:v>
      </ns0:c>
      <ns0:c r="G292" s="18" t="n">
        <ns0:f>VLOOKUP(E292,'교육기준'!$B$6:$F$17,3,FALSE)</ns0:f>
        <ns0:v>275015</ns0:v>
      </ns0:c>
      <ns0:c r="H292" s="18" t="n">
        <ns0:f>'신청원본'!G292</ns0:f>
        <ns0:v>4</ns0:v>
      </ns0:c>
      <ns0:c r="I292" s="19" t="n">
        <ns0:f>'신청원본'!I292</ns0:f>
        <ns0:v>0.1</ns0:v>
      </ns0:c>
      <ns0:c r="J292" s="18" t="n">
        <ns0:f>IF(F292="승인",IF(COUNTA('신청원본'!J292)=0,ROUND(G292*H292*(1-I292),'정책'!$C$8),'신청원본'!J292),0)</ns0:f>
        <ns0:v>0</ns0:v>
      </ns0:c>
      <ns0:c r="K292" t="n">
        <ns0:f>SUMIFS('출결원본'!$D$6:$D$1445,'출결원본'!$B$6:$B$1445,B292)</ns0:f>
        <ns0:v>2</ns0:v>
      </ns0:c>
      <ns0:c r="L292" t="n">
        <ns0:f>VLOOKUP(B292,'평가원본'!$B$6:$D$485,2,FALSE)</ns0:f>
        <ns0:v>63</ns0:v>
      </ns0:c>
      <ns0:c r="M292" t="n">
        <ns0:f>VLOOKUP(B292,'평가원본'!$B$6:$D$485,3,FALSE)</ns0:f>
        <ns0:v>1</ns0:v>
      </ns0:c>
      <ns0:c r="N292" t="n">
        <ns0:f>VLOOKUP(E292,'교육기준'!$B$6:$F$17,5,FALSE)</ns0:f>
        <ns0:v>70</ns0:v>
      </ns0:c>
      <ns0:c r="O292" t="n">
        <ns0:f>IF(AND(F292="승인",K292&gt;='정책'!$C$6,M292=1,L292&gt;=N292),1,0)</ns0:f>
        <ns0:v>0</ns0:v>
      </ns0:c>
    </ns0:row>
    <ns0:row r="293">
      <ns0:c r="B293" s="17" t="str">
        <ns0:f>'신청원본'!B293</ns0:f>
        <ns0:v>APP000288</ns0:v>
      </ns0:c>
      <ns0:c r="C293" s="17" t="str">
        <ns0:f>'신청원본'!C293</ns0:f>
        <ns0:v>000128</ns0:v>
      </ns0:c>
      <ns0:c r="D293" t="str">
        <ns0:f>'신청원본'!D293</ns0:f>
        <ns0:v>생산</ns0:v>
      </ns0:c>
      <ns0:c r="E293" t="str">
        <ns0:f>'신청원본'!E293</ns0:f>
        <ns0:v>C06</ns0:v>
      </ns0:c>
      <ns0:c r="F293" t="str">
        <ns0:f>'신청원본'!H293</ns0:f>
        <ns0:v>대기</ns0:v>
      </ns0:c>
      <ns0:c r="G293" s="18" t="n">
        <ns0:f>VLOOKUP(E293,'교육기준'!$B$6:$F$17,3,FALSE)</ns0:f>
        <ns0:v>187510</ns0:v>
      </ns0:c>
      <ns0:c r="H293" s="18" t="n">
        <ns0:f>'신청원본'!G293</ns0:f>
        <ns0:v>5</ns0:v>
      </ns0:c>
      <ns0:c r="I293" s="19" t="n">
        <ns0:f>'신청원본'!I293</ns0:f>
        <ns0:v>0.125</ns0:v>
      </ns0:c>
      <ns0:c r="J293" s="18" t="n">
        <ns0:f>IF(F293="승인",IF(COUNTA('신청원본'!J293)=0,ROUND(G293*H293*(1-I293),'정책'!$C$8),'신청원본'!J293),0)</ns0:f>
        <ns0:v>0</ns0:v>
      </ns0:c>
      <ns0:c r="K293" t="n">
        <ns0:f>SUMIFS('출결원본'!$D$6:$D$1445,'출결원본'!$B$6:$B$1445,B293)</ns0:f>
        <ns0:v>3</ns0:v>
      </ns0:c>
      <ns0:c r="L293" t="n">
        <ns0:f>VLOOKUP(B293,'평가원본'!$B$6:$D$485,2,FALSE)</ns0:f>
        <ns0:v>70</ns0:v>
      </ns0:c>
      <ns0:c r="M293" t="n">
        <ns0:f>VLOOKUP(B293,'평가원본'!$B$6:$D$485,3,FALSE)</ns0:f>
        <ns0:v>1</ns0:v>
      </ns0:c>
      <ns0:c r="N293" t="n">
        <ns0:f>VLOOKUP(E293,'교육기준'!$B$6:$F$17,5,FALSE)</ns0:f>
        <ns0:v>80</ns0:v>
      </ns0:c>
      <ns0:c r="O293" t="n">
        <ns0:f>IF(AND(F293="승인",K293&gt;='정책'!$C$6,M293=1,L293&gt;=N293),1,0)</ns0:f>
        <ns0:v>0</ns0:v>
      </ns0:c>
    </ns0:row>
    <ns0:row r="294">
      <ns0:c r="B294" s="17" t="str">
        <ns0:f>'신청원본'!B294</ns0:f>
        <ns0:v>APP000289</ns0:v>
      </ns0:c>
      <ns0:c r="C294" s="17" t="str">
        <ns0:f>'신청원본'!C294</ns0:f>
        <ns0:v>000129</ns0:v>
      </ns0:c>
      <ns0:c r="D294" t="str">
        <ns0:f>'신청원본'!D294</ns0:f>
        <ns0:v>품질</ns0:v>
      </ns0:c>
      <ns0:c r="E294" t="str">
        <ns0:f>'신청원본'!E294</ns0:f>
        <ns0:v>C01</ns0:v>
      </ns0:c>
      <ns0:c r="F294" t="str">
        <ns0:f>'신청원본'!H294</ns0:f>
        <ns0:v>승인</ns0:v>
      </ns0:c>
      <ns0:c r="G294" s="18" t="n">
        <ns0:f>VLOOKUP(E294,'교육기준'!$B$6:$F$17,3,FALSE)</ns0:f>
        <ns0:v>100005</ns0:v>
      </ns0:c>
      <ns0:c r="H294" s="18" t="n">
        <ns0:f>'신청원본'!G294</ns0:f>
        <ns0:v>0</ns0:v>
      </ns0:c>
      <ns0:c r="I294" s="19" t="n">
        <ns0:f>'신청원본'!I294</ns0:f>
        <ns0:v>0</ns0:v>
      </ns0:c>
      <ns0:c r="J294" s="18" t="n">
        <ns0:f>IF(F294="승인",IF(COUNTA('신청원본'!J294)=0,ROUND(G294*H294*(1-I294),'정책'!$C$8),'신청원본'!J294),0)</ns0:f>
        <ns0:v>0</ns0:v>
      </ns0:c>
      <ns0:c r="K294" t="n">
        <ns0:f>SUMIFS('출결원본'!$D$6:$D$1445,'출결원본'!$B$6:$B$1445,B294)</ns0:f>
        <ns0:v>2</ns0:v>
      </ns0:c>
      <ns0:c r="L294" t="n">
        <ns0:f>VLOOKUP(B294,'평가원본'!$B$6:$D$485,2,FALSE)</ns0:f>
        <ns0:v>77</ns0:v>
      </ns0:c>
      <ns0:c r="M294" t="n">
        <ns0:f>VLOOKUP(B294,'평가원본'!$B$6:$D$485,3,FALSE)</ns0:f>
        <ns0:v>1</ns0:v>
      </ns0:c>
      <ns0:c r="N294" t="n">
        <ns0:f>VLOOKUP(E294,'교육기준'!$B$6:$F$17,5,FALSE)</ns0:f>
        <ns0:v>60</ns0:v>
      </ns0:c>
      <ns0:c r="O294" t="n">
        <ns0:f>IF(AND(F294="승인",K294&gt;='정책'!$C$6,M294=1,L294&gt;=N294),1,0)</ns0:f>
        <ns0:v>0</ns0:v>
      </ns0:c>
    </ns0:row>
    <ns0:row r="295">
      <ns0:c r="B295" s="17" t="str">
        <ns0:f>'신청원본'!B295</ns0:f>
        <ns0:v>APP000290</ns0:v>
      </ns0:c>
      <ns0:c r="C295" s="17" t="str">
        <ns0:f>'신청원본'!C295</ns0:f>
        <ns0:v>000130</ns0:v>
      </ns0:c>
      <ns0:c r="D295" t="str">
        <ns0:f>'신청원본'!D295</ns0:f>
        <ns0:v>기획</ns0:v>
      </ns0:c>
      <ns0:c r="E295" t="str">
        <ns0:f>'신청원본'!E295</ns0:f>
        <ns0:v>C08</ns0:v>
      </ns0:c>
      <ns0:c r="F295" t="str">
        <ns0:f>'신청원본'!H295</ns0:f>
        <ns0:v>승인</ns0:v>
      </ns0:c>
      <ns0:c r="G295" s="18" t="n">
        <ns0:f>VLOOKUP(E295,'교육기준'!$B$6:$F$17,3,FALSE)</ns0:f>
        <ns0:v>222512</ns0:v>
      </ns0:c>
      <ns0:c r="H295" s="18" t="n">
        <ns0:f>'신청원본'!G295</ns0:f>
        <ns0:v>1</ns0:v>
      </ns0:c>
      <ns0:c r="I295" s="19" t="n">
        <ns0:f>'신청원본'!I295</ns0:f>
        <ns0:v>0.05</ns0:v>
      </ns0:c>
      <ns0:c r="J295" s="18" t="n">
        <ns0:f>IF(F295="승인",IF(COUNTA('신청원본'!J295)=0,ROUND(G295*H295*(1-I295),'정책'!$C$8),'신청원본'!J295),0)</ns0:f>
        <ns0:v>211386</ns0:v>
      </ns0:c>
      <ns0:c r="K295" t="n">
        <ns0:f>SUMIFS('출결원본'!$D$6:$D$1445,'출결원본'!$B$6:$B$1445,B295)</ns0:f>
        <ns0:v>3</ns0:v>
      </ns0:c>
      <ns0:c r="L295" t="n">
        <ns0:f>VLOOKUP(B295,'평가원본'!$B$6:$D$485,2,FALSE)</ns0:f>
        <ns0:v>84</ns0:v>
      </ns0:c>
      <ns0:c r="M295" t="n">
        <ns0:f>VLOOKUP(B295,'평가원본'!$B$6:$D$485,3,FALSE)</ns0:f>
        <ns0:v>1</ns0:v>
      </ns0:c>
      <ns0:c r="N295" t="n">
        <ns0:f>VLOOKUP(E295,'교육기준'!$B$6:$F$17,5,FALSE)</ns0:f>
        <ns0:v>70</ns0:v>
      </ns0:c>
      <ns0:c r="O295" t="n">
        <ns0:f>IF(AND(F295="승인",K295&gt;='정책'!$C$6,M295=1,L295&gt;=N295),1,0)</ns0:f>
        <ns0:v>1</ns0:v>
      </ns0:c>
    </ns0:row>
    <ns0:row r="296">
      <ns0:c r="B296" s="17" t="str">
        <ns0:f>'신청원본'!B296</ns0:f>
        <ns0:v>APP000291</ns0:v>
      </ns0:c>
      <ns0:c r="C296" s="17" t="str">
        <ns0:f>'신청원본'!C296</ns0:f>
        <ns0:v>000131</ns0:v>
      </ns0:c>
      <ns0:c r="D296" t="str">
        <ns0:f>'신청원본'!D296</ns0:f>
        <ns0:v>영업</ns0:v>
      </ns0:c>
      <ns0:c r="E296" t="str">
        <ns0:f>'신청원본'!E296</ns0:f>
        <ns0:v>C03</ns0:v>
      </ns0:c>
      <ns0:c r="F296" t="str">
        <ns0:f>'신청원본'!H296</ns0:f>
        <ns0:v>승인</ns0:v>
      </ns0:c>
      <ns0:c r="G296" s="18" t="n">
        <ns0:f>VLOOKUP(E296,'교육기준'!$B$6:$F$17,3,FALSE)</ns0:f>
        <ns0:v>135007</ns0:v>
      </ns0:c>
      <ns0:c r="H296" s="18" t="n">
        <ns0:f>'신청원본'!G296</ns0:f>
        <ns0:v>2</ns0:v>
      </ns0:c>
      <ns0:c r="I296" s="19" t="n">
        <ns0:f>'신청원본'!I296</ns0:f>
        <ns0:v>0.1</ns0:v>
      </ns0:c>
      <ns0:c r="J296" s="18" t="n">
        <ns0:f>IF(F296="승인",IF(COUNTA('신청원본'!J296)=0,ROUND(G296*H296*(1-I296),'정책'!$C$8),'신청원본'!J296),0)</ns0:f>
        <ns0:v>243013</ns0:v>
      </ns0:c>
      <ns0:c r="K296" t="n">
        <ns0:f>SUMIFS('출결원본'!$D$6:$D$1445,'출결원본'!$B$6:$B$1445,B296)</ns0:f>
        <ns0:v>3</ns0:v>
      </ns0:c>
      <ns0:c r="L296" t="n">
        <ns0:f>VLOOKUP(B296,'평가원본'!$B$6:$D$485,2,FALSE)</ns0:f>
        <ns0:v>91</ns0:v>
      </ns0:c>
      <ns0:c r="M296" t="n">
        <ns0:f>VLOOKUP(B296,'평가원본'!$B$6:$D$485,3,FALSE)</ns0:f>
        <ns0:v>1</ns0:v>
      </ns0:c>
      <ns0:c r="N296" t="n">
        <ns0:f>VLOOKUP(E296,'교육기준'!$B$6:$F$17,5,FALSE)</ns0:f>
        <ns0:v>80</ns0:v>
      </ns0:c>
      <ns0:c r="O296" t="n">
        <ns0:f>IF(AND(F296="승인",K296&gt;='정책'!$C$6,M296=1,L296&gt;=N296),1,0)</ns0:f>
        <ns0:v>1</ns0:v>
      </ns0:c>
    </ns0:row>
    <ns0:row r="297">
      <ns0:c r="B297" s="17" t="str">
        <ns0:f>'신청원본'!B297</ns0:f>
        <ns0:v>APP000292</ns0:v>
      </ns0:c>
      <ns0:c r="C297" s="17" t="str">
        <ns0:f>'신청원본'!C297</ns0:f>
        <ns0:v>000132</ns0:v>
      </ns0:c>
      <ns0:c r="D297" t="str">
        <ns0:f>'신청원본'!D297</ns0:f>
        <ns0:v>지원</ns0:v>
      </ns0:c>
      <ns0:c r="E297" t="str">
        <ns0:f>'신청원본'!E297</ns0:f>
        <ns0:v>C10</ns0:v>
      </ns0:c>
      <ns0:c r="F297" t="str">
        <ns0:f>'신청원본'!H297</ns0:f>
        <ns0:v>승인</ns0:v>
      </ns0:c>
      <ns0:c r="G297" s="18" t="n">
        <ns0:f>VLOOKUP(E297,'교육기준'!$B$6:$F$17,3,FALSE)</ns0:f>
        <ns0:v>257514</ns0:v>
      </ns0:c>
      <ns0:c r="H297" s="18" t="n">
        <ns0:f>'신청원본'!G297</ns0:f>
        <ns0:v>3</ns0:v>
      </ns0:c>
      <ns0:c r="I297" s="19" t="n">
        <ns0:f>'신청원본'!I297</ns0:f>
        <ns0:v>0.125</ns0:v>
      </ns0:c>
      <ns0:c r="J297" s="18" t="n">
        <ns0:f>IF(F297="승인",IF(COUNTA('신청원본'!J297)=0,ROUND(G297*H297*(1-I297),'정책'!$C$8),'신청원본'!J297),0)</ns0:f>
        <ns0:v>675974</ns0:v>
      </ns0:c>
      <ns0:c r="K297" t="n">
        <ns0:f>SUMIFS('출결원본'!$D$6:$D$1445,'출결원본'!$B$6:$B$1445,B297)</ns0:f>
        <ns0:v>3</ns0:v>
      </ns0:c>
      <ns0:c r="L297" t="n">
        <ns0:f>VLOOKUP(B297,'평가원본'!$B$6:$D$485,2,FALSE)</ns0:f>
        <ns0:v>98</ns0:v>
      </ns0:c>
      <ns0:c r="M297" t="n">
        <ns0:f>VLOOKUP(B297,'평가원본'!$B$6:$D$485,3,FALSE)</ns0:f>
        <ns0:v>1</ns0:v>
      </ns0:c>
      <ns0:c r="N297" t="n">
        <ns0:f>VLOOKUP(E297,'교육기준'!$B$6:$F$17,5,FALSE)</ns0:f>
        <ns0:v>60</ns0:v>
      </ns0:c>
      <ns0:c r="O297" t="n">
        <ns0:f>IF(AND(F297="승인",K297&gt;='정책'!$C$6,M297=1,L297&gt;=N297),1,0)</ns0:f>
        <ns0:v>1</ns0:v>
      </ns0:c>
    </ns0:row>
    <ns0:row r="298">
      <ns0:c r="B298" s="17" t="str">
        <ns0:f>'신청원본'!B298</ns0:f>
        <ns0:v>APP000293</ns0:v>
      </ns0:c>
      <ns0:c r="C298" s="17" t="str">
        <ns0:f>'신청원본'!C298</ns0:f>
        <ns0:v>000133</ns0:v>
      </ns0:c>
      <ns0:c r="D298" t="str">
        <ns0:f>'신청원본'!D298</ns0:f>
        <ns0:v>개발</ns0:v>
      </ns0:c>
      <ns0:c r="E298" t="str">
        <ns0:f>'신청원본'!E298</ns0:f>
        <ns0:v>C05</ns0:v>
      </ns0:c>
      <ns0:c r="F298" t="str">
        <ns0:f>'신청원본'!H298</ns0:f>
        <ns0:v>승인</ns0:v>
      </ns0:c>
      <ns0:c r="G298" s="18" t="n">
        <ns0:f>VLOOKUP(E298,'교육기준'!$B$6:$F$17,3,FALSE)</ns0:f>
        <ns0:v>170009</ns0:v>
      </ns0:c>
      <ns0:c r="H298" s="18" t="n">
        <ns0:f>'신청원본'!G298</ns0:f>
        <ns0:v>4</ns0:v>
      </ns0:c>
      <ns0:c r="I298" s="19" t="n">
        <ns0:f>'신청원본'!I298</ns0:f>
        <ns0:v>0</ns0:v>
      </ns0:c>
      <ns0:c r="J298" s="18" t="n">
        <ns0:f>IF(F298="승인",IF(COUNTA('신청원본'!J298)=0,ROUND(G298*H298*(1-I298),'정책'!$C$8),'신청원본'!J298),0)</ns0:f>
        <ns0:v>680036</ns0:v>
      </ns0:c>
      <ns0:c r="K298" t="n">
        <ns0:f>SUMIFS('출결원본'!$D$6:$D$1445,'출결원본'!$B$6:$B$1445,B298)</ns0:f>
        <ns0:v>3</ns0:v>
      </ns0:c>
      <ns0:c r="L298" t="n">
        <ns0:f>VLOOKUP(B298,'평가원본'!$B$6:$D$485,2,FALSE)</ns0:f>
        <ns0:v>54</ns0:v>
      </ns0:c>
      <ns0:c r="M298" t="n">
        <ns0:f>VLOOKUP(B298,'평가원본'!$B$6:$D$485,3,FALSE)</ns0:f>
        <ns0:v>1</ns0:v>
      </ns0:c>
      <ns0:c r="N298" t="n">
        <ns0:f>VLOOKUP(E298,'교육기준'!$B$6:$F$17,5,FALSE)</ns0:f>
        <ns0:v>70</ns0:v>
      </ns0:c>
      <ns0:c r="O298" t="n">
        <ns0:f>IF(AND(F298="승인",K298&gt;='정책'!$C$6,M298=1,L298&gt;=N298),1,0)</ns0:f>
        <ns0:v>0</ns0:v>
      </ns0:c>
    </ns0:row>
    <ns0:row r="299">
      <ns0:c r="B299" s="17" t="str">
        <ns0:f>'신청원본'!B299</ns0:f>
        <ns0:v>APP000294</ns0:v>
      </ns0:c>
      <ns0:c r="C299" s="17" t="str">
        <ns0:f>'신청원본'!C299</ns0:f>
        <ns0:v>000134</ns0:v>
      </ns0:c>
      <ns0:c r="D299" t="str">
        <ns0:f>'신청원본'!D299</ns0:f>
        <ns0:v>생산</ns0:v>
      </ns0:c>
      <ns0:c r="E299" t="str">
        <ns0:f>'신청원본'!E299</ns0:f>
        <ns0:v>C12</ns0:v>
      </ns0:c>
      <ns0:c r="F299" t="str">
        <ns0:f>'신청원본'!H299</ns0:f>
        <ns0:v>승인</ns0:v>
      </ns0:c>
      <ns0:c r="G299" s="18" t="n">
        <ns0:f>VLOOKUP(E299,'교육기준'!$B$6:$F$17,3,FALSE)</ns0:f>
        <ns0:v>292516</ns0:v>
      </ns0:c>
      <ns0:c r="H299" s="18" t="n">
        <ns0:f>'신청원본'!G299</ns0:f>
        <ns0:v>5</ns0:v>
      </ns0:c>
      <ns0:c r="I299" s="19" t="n">
        <ns0:f>'신청원본'!I299</ns0:f>
        <ns0:v>0.05</ns0:v>
      </ns0:c>
      <ns0:c r="J299" s="18" t="n">
        <ns0:f>IF(F299="승인",IF(COUNTA('신청원본'!J299)=0,ROUND(G299*H299*(1-I299),'정책'!$C$8),'신청원본'!J299),0)</ns0:f>
        <ns0:v>1389451</ns0:v>
      </ns0:c>
      <ns0:c r="K299" t="n">
        <ns0:f>SUMIFS('출결원본'!$D$6:$D$1445,'출결원본'!$B$6:$B$1445,B299)</ns0:f>
        <ns0:v>3</ns0:v>
      </ns0:c>
      <ns0:c r="L299" t="n">
        <ns0:f>VLOOKUP(B299,'평가원본'!$B$6:$D$485,2,FALSE)</ns0:f>
        <ns0:v>61</ns0:v>
      </ns0:c>
      <ns0:c r="M299" t="n">
        <ns0:f>VLOOKUP(B299,'평가원본'!$B$6:$D$485,3,FALSE)</ns0:f>
        <ns0:v>1</ns0:v>
      </ns0:c>
      <ns0:c r="N299" t="n">
        <ns0:f>VLOOKUP(E299,'교육기준'!$B$6:$F$17,5,FALSE)</ns0:f>
        <ns0:v>80</ns0:v>
      </ns0:c>
      <ns0:c r="O299" t="n">
        <ns0:f>IF(AND(F299="승인",K299&gt;='정책'!$C$6,M299=1,L299&gt;=N299),1,0)</ns0:f>
        <ns0:v>0</ns0:v>
      </ns0:c>
    </ns0:row>
    <ns0:row r="300">
      <ns0:c r="B300" s="17" t="str">
        <ns0:f>'신청원본'!B300</ns0:f>
        <ns0:v>APP000295</ns0:v>
      </ns0:c>
      <ns0:c r="C300" s="17" t="str">
        <ns0:f>'신청원본'!C300</ns0:f>
        <ns0:v>000135</ns0:v>
      </ns0:c>
      <ns0:c r="D300" t="str">
        <ns0:f>'신청원본'!D300</ns0:f>
        <ns0:v>품질</ns0:v>
      </ns0:c>
      <ns0:c r="E300" t="str">
        <ns0:f>'신청원본'!E300</ns0:f>
        <ns0:v>C07</ns0:v>
      </ns0:c>
      <ns0:c r="F300" t="str">
        <ns0:f>'신청원본'!H300</ns0:f>
        <ns0:v>대기</ns0:v>
      </ns0:c>
      <ns0:c r="G300" s="18" t="n">
        <ns0:f>VLOOKUP(E300,'교육기준'!$B$6:$F$17,3,FALSE)</ns0:f>
        <ns0:v>205011</ns0:v>
      </ns0:c>
      <ns0:c r="H300" s="18" t="n">
        <ns0:f>'신청원본'!G300</ns0:f>
        <ns0:v>0</ns0:v>
      </ns0:c>
      <ns0:c r="I300" s="19" t="n">
        <ns0:f>'신청원본'!I300</ns0:f>
        <ns0:v>0.1</ns0:v>
      </ns0:c>
      <ns0:c r="J300" s="18" t="n">
        <ns0:f>IF(F300="승인",IF(COUNTA('신청원본'!J300)=0,ROUND(G300*H300*(1-I300),'정책'!$C$8),'신청원본'!J300),0)</ns0:f>
        <ns0:v>0</ns0:v>
      </ns0:c>
      <ns0:c r="K300" t="n">
        <ns0:f>SUMIFS('출결원본'!$D$6:$D$1445,'출결원본'!$B$6:$B$1445,B300)</ns0:f>
        <ns0:v>3</ns0:v>
      </ns0:c>
      <ns0:c r="L300" t="n">
        <ns0:f>VLOOKUP(B300,'평가원본'!$B$6:$D$485,2,FALSE)</ns0:f>
        <ns0:v>68</ns0:v>
      </ns0:c>
      <ns0:c r="M300" t="n">
        <ns0:f>VLOOKUP(B300,'평가원본'!$B$6:$D$485,3,FALSE)</ns0:f>
        <ns0:v>1</ns0:v>
      </ns0:c>
      <ns0:c r="N300" t="n">
        <ns0:f>VLOOKUP(E300,'교육기준'!$B$6:$F$17,5,FALSE)</ns0:f>
        <ns0:v>60</ns0:v>
      </ns0:c>
      <ns0:c r="O300" t="n">
        <ns0:f>IF(AND(F300="승인",K300&gt;='정책'!$C$6,M300=1,L300&gt;=N300),1,0)</ns0:f>
        <ns0:v>0</ns0:v>
      </ns0:c>
    </ns0:row>
    <ns0:row r="301">
      <ns0:c r="B301" s="17" t="str">
        <ns0:f>'신청원본'!B301</ns0:f>
        <ns0:v>APP000296</ns0:v>
      </ns0:c>
      <ns0:c r="C301" s="17" t="str">
        <ns0:f>'신청원본'!C301</ns0:f>
        <ns0:v>000136</ns0:v>
      </ns0:c>
      <ns0:c r="D301" t="str">
        <ns0:f>'신청원본'!D301</ns0:f>
        <ns0:v>기획</ns0:v>
      </ns0:c>
      <ns0:c r="E301" t="str">
        <ns0:f>'신청원본'!E301</ns0:f>
        <ns0:v>C02</ns0:v>
      </ns0:c>
      <ns0:c r="F301" t="str">
        <ns0:f>'신청원본'!H301</ns0:f>
        <ns0:v>승인</ns0:v>
      </ns0:c>
      <ns0:c r="G301" s="18" t="n">
        <ns0:f>VLOOKUP(E301,'교육기준'!$B$6:$F$17,3,FALSE)</ns0:f>
        <ns0:v>117506</ns0:v>
      </ns0:c>
      <ns0:c r="H301" s="18" t="n">
        <ns0:f>'신청원본'!G301</ns0:f>
        <ns0:v>1</ns0:v>
      </ns0:c>
      <ns0:c r="I301" s="19" t="n">
        <ns0:f>'신청원본'!I301</ns0:f>
        <ns0:v>0.125</ns0:v>
      </ns0:c>
      <ns0:c r="J301" s="18" t="n">
        <ns0:f>IF(F301="승인",IF(COUNTA('신청원본'!J301)=0,ROUND(G301*H301*(1-I301),'정책'!$C$8),'신청원본'!J301),0)</ns0:f>
        <ns0:v>102818</ns0:v>
      </ns0:c>
      <ns0:c r="K301" t="n">
        <ns0:f>SUMIFS('출결원본'!$D$6:$D$1445,'출결원본'!$B$6:$B$1445,B301)</ns0:f>
        <ns0:v>3</ns0:v>
      </ns0:c>
      <ns0:c r="L301" t="n">
        <ns0:f>VLOOKUP(B301,'평가원본'!$B$6:$D$485,2,FALSE)</ns0:f>
        <ns0:v>75</ns0:v>
      </ns0:c>
      <ns0:c r="M301" t="n">
        <ns0:f>VLOOKUP(B301,'평가원본'!$B$6:$D$485,3,FALSE)</ns0:f>
        <ns0:v>1</ns0:v>
      </ns0:c>
      <ns0:c r="N301" t="n">
        <ns0:f>VLOOKUP(E301,'교육기준'!$B$6:$F$17,5,FALSE)</ns0:f>
        <ns0:v>70</ns0:v>
      </ns0:c>
      <ns0:c r="O301" t="n">
        <ns0:f>IF(AND(F301="승인",K301&gt;='정책'!$C$6,M301=1,L301&gt;=N301),1,0)</ns0:f>
        <ns0:v>1</ns0:v>
      </ns0:c>
    </ns0:row>
    <ns0:row r="302">
      <ns0:c r="B302" s="17" t="str">
        <ns0:f>'신청원본'!B302</ns0:f>
        <ns0:v>APP000297</ns0:v>
      </ns0:c>
      <ns0:c r="C302" s="17" t="str">
        <ns0:f>'신청원본'!C302</ns0:f>
        <ns0:v>000137</ns0:v>
      </ns0:c>
      <ns0:c r="D302" t="str">
        <ns0:f>'신청원본'!D302</ns0:f>
        <ns0:v>영업</ns0:v>
      </ns0:c>
      <ns0:c r="E302" t="str">
        <ns0:f>'신청원본'!E302</ns0:f>
        <ns0:v>C09</ns0:v>
      </ns0:c>
      <ns0:c r="F302" t="str">
        <ns0:f>'신청원본'!H302</ns0:f>
        <ns0:v>승인</ns0:v>
      </ns0:c>
      <ns0:c r="G302" s="18" t="n">
        <ns0:f>VLOOKUP(E302,'교육기준'!$B$6:$F$17,3,FALSE)</ns0:f>
        <ns0:v>240013</ns0:v>
      </ns0:c>
      <ns0:c r="H302" s="18" t="n">
        <ns0:f>'신청원본'!G302</ns0:f>
        <ns0:v>2</ns0:v>
      </ns0:c>
      <ns0:c r="I302" s="19" t="n">
        <ns0:f>'신청원본'!I302</ns0:f>
        <ns0:v>0</ns0:v>
      </ns0:c>
      <ns0:c r="J302" s="18" t="n">
        <ns0:f>IF(F302="승인",IF(COUNTA('신청원본'!J302)=0,ROUND(G302*H302*(1-I302),'정책'!$C$8),'신청원본'!J302),0)</ns0:f>
        <ns0:v>480026</ns0:v>
      </ns0:c>
      <ns0:c r="K302" t="n">
        <ns0:f>SUMIFS('출결원본'!$D$6:$D$1445,'출결원본'!$B$6:$B$1445,B302)</ns0:f>
        <ns0:v>3</ns0:v>
      </ns0:c>
      <ns0:c r="L302" t="n">
        <ns0:f>VLOOKUP(B302,'평가원본'!$B$6:$D$485,2,FALSE)</ns0:f>
        <ns0:v>82</ns0:v>
      </ns0:c>
      <ns0:c r="M302" t="n">
        <ns0:f>VLOOKUP(B302,'평가원본'!$B$6:$D$485,3,FALSE)</ns0:f>
        <ns0:v>1</ns0:v>
      </ns0:c>
      <ns0:c r="N302" t="n">
        <ns0:f>VLOOKUP(E302,'교육기준'!$B$6:$F$17,5,FALSE)</ns0:f>
        <ns0:v>80</ns0:v>
      </ns0:c>
      <ns0:c r="O302" t="n">
        <ns0:f>IF(AND(F302="승인",K302&gt;='정책'!$C$6,M302=1,L302&gt;=N302),1,0)</ns0:f>
        <ns0:v>1</ns0:v>
      </ns0:c>
    </ns0:row>
    <ns0:row r="303">
      <ns0:c r="B303" s="17" t="str">
        <ns0:f>'신청원본'!B303</ns0:f>
        <ns0:v>APP000298</ns0:v>
      </ns0:c>
      <ns0:c r="C303" s="17" t="str">
        <ns0:f>'신청원본'!C303</ns0:f>
        <ns0:v>000138</ns0:v>
      </ns0:c>
      <ns0:c r="D303" t="str">
        <ns0:f>'신청원본'!D303</ns0:f>
        <ns0:v>지원</ns0:v>
      </ns0:c>
      <ns0:c r="E303" t="str">
        <ns0:f>'신청원본'!E303</ns0:f>
        <ns0:v>C04</ns0:v>
      </ns0:c>
      <ns0:c r="F303" t="str">
        <ns0:f>'신청원본'!H303</ns0:f>
        <ns0:v>취소</ns0:v>
      </ns0:c>
      <ns0:c r="G303" s="18" t="n">
        <ns0:f>VLOOKUP(E303,'교육기준'!$B$6:$F$17,3,FALSE)</ns0:f>
        <ns0:v>152508</ns0:v>
      </ns0:c>
      <ns0:c r="H303" s="18" t="n">
        <ns0:f>'신청원본'!G303</ns0:f>
        <ns0:v>3</ns0:v>
      </ns0:c>
      <ns0:c r="I303" s="19" t="n">
        <ns0:f>'신청원본'!I303</ns0:f>
        <ns0:v>0.05</ns0:v>
      </ns0:c>
      <ns0:c r="J303" s="18" t="n">
        <ns0:f>IF(F303="승인",IF(COUNTA('신청원본'!J303)=0,ROUND(G303*H303*(1-I303),'정책'!$C$8),'신청원본'!J303),0)</ns0:f>
        <ns0:v>0</ns0:v>
      </ns0:c>
      <ns0:c r="K303" t="n">
        <ns0:f>SUMIFS('출결원본'!$D$6:$D$1445,'출결원본'!$B$6:$B$1445,B303)</ns0:f>
        <ns0:v>2</ns0:v>
      </ns0:c>
      <ns0:c r="L303" t="n">
        <ns0:f>VLOOKUP(B303,'평가원본'!$B$6:$D$485,2,FALSE)</ns0:f>
        <ns0:v>89</ns0:v>
      </ns0:c>
      <ns0:c r="M303" t="n">
        <ns0:f>VLOOKUP(B303,'평가원본'!$B$6:$D$485,3,FALSE)</ns0:f>
        <ns0:v>1</ns0:v>
      </ns0:c>
      <ns0:c r="N303" t="n">
        <ns0:f>VLOOKUP(E303,'교육기준'!$B$6:$F$17,5,FALSE)</ns0:f>
        <ns0:v>60</ns0:v>
      </ns0:c>
      <ns0:c r="O303" t="n">
        <ns0:f>IF(AND(F303="승인",K303&gt;='정책'!$C$6,M303=1,L303&gt;=N303),1,0)</ns0:f>
        <ns0:v>0</ns0:v>
      </ns0:c>
    </ns0:row>
    <ns0:row r="304">
      <ns0:c r="B304" s="17" t="str">
        <ns0:f>'신청원본'!B304</ns0:f>
        <ns0:v>APP000299</ns0:v>
      </ns0:c>
      <ns0:c r="C304" s="17" t="str">
        <ns0:f>'신청원본'!C304</ns0:f>
        <ns0:v>000139</ns0:v>
      </ns0:c>
      <ns0:c r="D304" t="str">
        <ns0:f>'신청원본'!D304</ns0:f>
        <ns0:v>개발</ns0:v>
      </ns0:c>
      <ns0:c r="E304" t="str">
        <ns0:f>'신청원본'!E304</ns0:f>
        <ns0:v>C11</ns0:v>
      </ns0:c>
      <ns0:c r="F304" t="str">
        <ns0:f>'신청원본'!H304</ns0:f>
        <ns0:v>승인</ns0:v>
      </ns0:c>
      <ns0:c r="G304" s="18" t="n">
        <ns0:f>VLOOKUP(E304,'교육기준'!$B$6:$F$17,3,FALSE)</ns0:f>
        <ns0:v>275015</ns0:v>
      </ns0:c>
      <ns0:c r="H304" s="18" t="n">
        <ns0:f>'신청원본'!G304</ns0:f>
        <ns0:v>4</ns0:v>
      </ns0:c>
      <ns0:c r="I304" s="19" t="n">
        <ns0:f>'신청원본'!I304</ns0:f>
        <ns0:v>0.1</ns0:v>
      </ns0:c>
      <ns0:c r="J304" s="18" t="n">
        <ns0:f>IF(F304="승인",IF(COUNTA('신청원본'!J304)=0,ROUND(G304*H304*(1-I304),'정책'!$C$8),'신청원본'!J304),0)</ns0:f>
        <ns0:v>990054</ns0:v>
      </ns0:c>
      <ns0:c r="K304" t="n">
        <ns0:f>SUMIFS('출결원본'!$D$6:$D$1445,'출결원본'!$B$6:$B$1445,B304)</ns0:f>
        <ns0:v>3</ns0:v>
      </ns0:c>
      <ns0:c r="L304" t="n">
        <ns0:f>VLOOKUP(B304,'평가원본'!$B$6:$D$485,2,FALSE)</ns0:f>
        <ns0:v>96</ns0:v>
      </ns0:c>
      <ns0:c r="M304" t="n">
        <ns0:f>VLOOKUP(B304,'평가원본'!$B$6:$D$485,3,FALSE)</ns0:f>
        <ns0:v>1</ns0:v>
      </ns0:c>
      <ns0:c r="N304" t="n">
        <ns0:f>VLOOKUP(E304,'교육기준'!$B$6:$F$17,5,FALSE)</ns0:f>
        <ns0:v>70</ns0:v>
      </ns0:c>
      <ns0:c r="O304" t="n">
        <ns0:f>IF(AND(F304="승인",K304&gt;='정책'!$C$6,M304=1,L304&gt;=N304),1,0)</ns0:f>
        <ns0:v>1</ns0:v>
      </ns0:c>
    </ns0:row>
    <ns0:row r="305">
      <ns0:c r="B305" s="17" t="str">
        <ns0:f>'신청원본'!B305</ns0:f>
        <ns0:v>APP000300</ns0:v>
      </ns0:c>
      <ns0:c r="C305" s="17" t="str">
        <ns0:f>'신청원본'!C305</ns0:f>
        <ns0:v>000140</ns0:v>
      </ns0:c>
      <ns0:c r="D305" t="str">
        <ns0:f>'신청원본'!D305</ns0:f>
        <ns0:v>생산</ns0:v>
      </ns0:c>
      <ns0:c r="E305" t="str">
        <ns0:f>'신청원본'!E305</ns0:f>
        <ns0:v>C06</ns0:v>
      </ns0:c>
      <ns0:c r="F305" t="str">
        <ns0:f>'신청원본'!H305</ns0:f>
        <ns0:v>승인</ns0:v>
      </ns0:c>
      <ns0:c r="G305" s="18" t="n">
        <ns0:f>VLOOKUP(E305,'교육기준'!$B$6:$F$17,3,FALSE)</ns0:f>
        <ns0:v>187510</ns0:v>
      </ns0:c>
      <ns0:c r="H305" s="18" t="n">
        <ns0:f>'신청원본'!G305</ns0:f>
        <ns0:v>5</ns0:v>
      </ns0:c>
      <ns0:c r="I305" s="19" t="n">
        <ns0:f>'신청원본'!I305</ns0:f>
        <ns0:v>0.125</ns0:v>
      </ns0:c>
      <ns0:c r="J305" s="18" t="n">
        <ns0:f>IF(F305="승인",IF(COUNTA('신청원본'!J305)=0,ROUND(G305*H305*(1-I305),'정책'!$C$8),'신청원본'!J305),0)</ns0:f>
        <ns0:v>820356</ns0:v>
      </ns0:c>
      <ns0:c r="K305" t="n">
        <ns0:f>SUMIFS('출결원본'!$D$6:$D$1445,'출결원본'!$B$6:$B$1445,B305)</ns0:f>
        <ns0:v>2</ns0:v>
      </ns0:c>
      <ns0:c r="L305" t="n">
        <ns0:f>VLOOKUP(B305,'평가원본'!$B$6:$D$485,2,FALSE)</ns0:f>
        <ns0:v>52</ns0:v>
      </ns0:c>
      <ns0:c r="M305" t="n">
        <ns0:f>VLOOKUP(B305,'평가원본'!$B$6:$D$485,3,FALSE)</ns0:f>
        <ns0:v>1</ns0:v>
      </ns0:c>
      <ns0:c r="N305" t="n">
        <ns0:f>VLOOKUP(E305,'교육기준'!$B$6:$F$17,5,FALSE)</ns0:f>
        <ns0:v>80</ns0:v>
      </ns0:c>
      <ns0:c r="O305" t="n">
        <ns0:f>IF(AND(F305="승인",K305&gt;='정책'!$C$6,M305=1,L305&gt;=N305),1,0)</ns0:f>
        <ns0:v>0</ns0:v>
      </ns0:c>
    </ns0:row>
    <ns0:row r="306">
      <ns0:c r="B306" s="17" t="str">
        <ns0:f>'신청원본'!B306</ns0:f>
        <ns0:v>APP000301</ns0:v>
      </ns0:c>
      <ns0:c r="C306" s="17" t="str">
        <ns0:f>'신청원본'!C306</ns0:f>
        <ns0:v>000141</ns0:v>
      </ns0:c>
      <ns0:c r="D306" t="str">
        <ns0:f>'신청원본'!D306</ns0:f>
        <ns0:v>품질</ns0:v>
      </ns0:c>
      <ns0:c r="E306" t="str">
        <ns0:f>'신청원본'!E306</ns0:f>
        <ns0:v>C01</ns0:v>
      </ns0:c>
      <ns0:c r="F306" t="str">
        <ns0:f>'신청원본'!H306</ns0:f>
        <ns0:v>승인</ns0:v>
      </ns0:c>
      <ns0:c r="G306" s="18" t="n">
        <ns0:f>VLOOKUP(E306,'교육기준'!$B$6:$F$17,3,FALSE)</ns0:f>
        <ns0:v>100005</ns0:v>
      </ns0:c>
      <ns0:c r="H306" s="18" t="n">
        <ns0:f>'신청원본'!G306</ns0:f>
        <ns0:v>0</ns0:v>
      </ns0:c>
      <ns0:c r="I306" s="19" t="n">
        <ns0:f>'신청원본'!I306</ns0:f>
        <ns0:v>0</ns0:v>
      </ns0:c>
      <ns0:c r="J306" s="18" t="n">
        <ns0:f>IF(F306="승인",IF(COUNTA('신청원본'!J306)=0,ROUND(G306*H306*(1-I306),'정책'!$C$8),'신청원본'!J306),0)</ns0:f>
        <ns0:v>0</ns0:v>
      </ns0:c>
      <ns0:c r="K306" t="n">
        <ns0:f>SUMIFS('출결원본'!$D$6:$D$1445,'출결원본'!$B$6:$B$1445,B306)</ns0:f>
        <ns0:v>3</ns0:v>
      </ns0:c>
      <ns0:c r="L306" t="n">
        <ns0:f>VLOOKUP(B306,'평가원본'!$B$6:$D$485,2,FALSE)</ns0:f>
        <ns0:v>59</ns0:v>
      </ns0:c>
      <ns0:c r="M306" t="n">
        <ns0:f>VLOOKUP(B306,'평가원본'!$B$6:$D$485,3,FALSE)</ns0:f>
        <ns0:v>1</ns0:v>
      </ns0:c>
      <ns0:c r="N306" t="n">
        <ns0:f>VLOOKUP(E306,'교육기준'!$B$6:$F$17,5,FALSE)</ns0:f>
        <ns0:v>60</ns0:v>
      </ns0:c>
      <ns0:c r="O306" t="n">
        <ns0:f>IF(AND(F306="승인",K306&gt;='정책'!$C$6,M306=1,L306&gt;=N306),1,0)</ns0:f>
        <ns0:v>0</ns0:v>
      </ns0:c>
    </ns0:row>
    <ns0:row r="307">
      <ns0:c r="B307" s="17" t="str">
        <ns0:f>'신청원본'!B307</ns0:f>
        <ns0:v>APP000302</ns0:v>
      </ns0:c>
      <ns0:c r="C307" s="17" t="str">
        <ns0:f>'신청원본'!C307</ns0:f>
        <ns0:v>000142</ns0:v>
      </ns0:c>
      <ns0:c r="D307" t="str">
        <ns0:f>'신청원본'!D307</ns0:f>
        <ns0:v>기획</ns0:v>
      </ns0:c>
      <ns0:c r="E307" t="str">
        <ns0:f>'신청원본'!E307</ns0:f>
        <ns0:v>C08</ns0:v>
      </ns0:c>
      <ns0:c r="F307" t="str">
        <ns0:f>'신청원본'!H307</ns0:f>
        <ns0:v>대기</ns0:v>
      </ns0:c>
      <ns0:c r="G307" s="18" t="n">
        <ns0:f>VLOOKUP(E307,'교육기준'!$B$6:$F$17,3,FALSE)</ns0:f>
        <ns0:v>222512</ns0:v>
      </ns0:c>
      <ns0:c r="H307" s="18" t="n">
        <ns0:f>'신청원본'!G307</ns0:f>
        <ns0:v>1</ns0:v>
      </ns0:c>
      <ns0:c r="I307" s="19" t="n">
        <ns0:f>'신청원본'!I307</ns0:f>
        <ns0:v>0.05</ns0:v>
      </ns0:c>
      <ns0:c r="J307" s="18" t="n">
        <ns0:f>IF(F307="승인",IF(COUNTA('신청원본'!J307)=0,ROUND(G307*H307*(1-I307),'정책'!$C$8),'신청원본'!J307),0)</ns0:f>
        <ns0:v>0</ns0:v>
      </ns0:c>
      <ns0:c r="K307" t="n">
        <ns0:f>SUMIFS('출결원본'!$D$6:$D$1445,'출결원본'!$B$6:$B$1445,B307)</ns0:f>
        <ns0:v>3</ns0:v>
      </ns0:c>
      <ns0:c r="L307" t="n">
        <ns0:f>VLOOKUP(B307,'평가원본'!$B$6:$D$485,2,FALSE)</ns0:f>
        <ns0:v>66</ns0:v>
      </ns0:c>
      <ns0:c r="M307" t="n">
        <ns0:f>VLOOKUP(B307,'평가원본'!$B$6:$D$485,3,FALSE)</ns0:f>
        <ns0:v>1</ns0:v>
      </ns0:c>
      <ns0:c r="N307" t="n">
        <ns0:f>VLOOKUP(E307,'교육기준'!$B$6:$F$17,5,FALSE)</ns0:f>
        <ns0:v>70</ns0:v>
      </ns0:c>
      <ns0:c r="O307" t="n">
        <ns0:f>IF(AND(F307="승인",K307&gt;='정책'!$C$6,M307=1,L307&gt;=N307),1,0)</ns0:f>
        <ns0:v>0</ns0:v>
      </ns0:c>
    </ns0:row>
    <ns0:row r="308">
      <ns0:c r="B308" s="17" t="str">
        <ns0:f>'신청원본'!B308</ns0:f>
        <ns0:v>APP000303</ns0:v>
      </ns0:c>
      <ns0:c r="C308" s="17" t="str">
        <ns0:f>'신청원본'!C308</ns0:f>
        <ns0:v>000143</ns0:v>
      </ns0:c>
      <ns0:c r="D308" t="str">
        <ns0:f>'신청원본'!D308</ns0:f>
        <ns0:v>영업</ns0:v>
      </ns0:c>
      <ns0:c r="E308" t="str">
        <ns0:f>'신청원본'!E308</ns0:f>
        <ns0:v>C03</ns0:v>
      </ns0:c>
      <ns0:c r="F308" t="str">
        <ns0:f>'신청원본'!H308</ns0:f>
        <ns0:v>승인</ns0:v>
      </ns0:c>
      <ns0:c r="G308" s="18" t="n">
        <ns0:f>VLOOKUP(E308,'교육기준'!$B$6:$F$17,3,FALSE)</ns0:f>
        <ns0:v>135007</ns0:v>
      </ns0:c>
      <ns0:c r="H308" s="18" t="n">
        <ns0:f>'신청원본'!G308</ns0:f>
        <ns0:v>2</ns0:v>
      </ns0:c>
      <ns0:c r="I308" s="19" t="n">
        <ns0:f>'신청원본'!I308</ns0:f>
        <ns0:v>0.1</ns0:v>
      </ns0:c>
      <ns0:c r="J308" s="18" t="n">
        <ns0:f>IF(F308="승인",IF(COUNTA('신청원본'!J308)=0,ROUND(G308*H308*(1-I308),'정책'!$C$8),'신청원본'!J308),0)</ns0:f>
        <ns0:v>243013</ns0:v>
      </ns0:c>
      <ns0:c r="K308" t="n">
        <ns0:f>SUMIFS('출결원본'!$D$6:$D$1445,'출결원본'!$B$6:$B$1445,B308)</ns0:f>
        <ns0:v>3</ns0:v>
      </ns0:c>
      <ns0:c r="L308" t="n">
        <ns0:f>VLOOKUP(B308,'평가원본'!$B$6:$D$485,2,FALSE)</ns0:f>
        <ns0:v>73</ns0:v>
      </ns0:c>
      <ns0:c r="M308" t="n">
        <ns0:f>VLOOKUP(B308,'평가원본'!$B$6:$D$485,3,FALSE)</ns0:f>
        <ns0:v>1</ns0:v>
      </ns0:c>
      <ns0:c r="N308" t="n">
        <ns0:f>VLOOKUP(E308,'교육기준'!$B$6:$F$17,5,FALSE)</ns0:f>
        <ns0:v>80</ns0:v>
      </ns0:c>
      <ns0:c r="O308" t="n">
        <ns0:f>IF(AND(F308="승인",K308&gt;='정책'!$C$6,M308=1,L308&gt;=N308),1,0)</ns0:f>
        <ns0:v>0</ns0:v>
      </ns0:c>
    </ns0:row>
    <ns0:row r="309">
      <ns0:c r="B309" s="17" t="str">
        <ns0:f>'신청원본'!B309</ns0:f>
        <ns0:v>APP000304</ns0:v>
      </ns0:c>
      <ns0:c r="C309" s="17" t="str">
        <ns0:f>'신청원본'!C309</ns0:f>
        <ns0:v>000144</ns0:v>
      </ns0:c>
      <ns0:c r="D309" t="str">
        <ns0:f>'신청원본'!D309</ns0:f>
        <ns0:v>지원</ns0:v>
      </ns0:c>
      <ns0:c r="E309" t="str">
        <ns0:f>'신청원본'!E309</ns0:f>
        <ns0:v>C10</ns0:v>
      </ns0:c>
      <ns0:c r="F309" t="str">
        <ns0:f>'신청원본'!H309</ns0:f>
        <ns0:v>승인</ns0:v>
      </ns0:c>
      <ns0:c r="G309" s="18" t="n">
        <ns0:f>VLOOKUP(E309,'교육기준'!$B$6:$F$17,3,FALSE)</ns0:f>
        <ns0:v>257514</ns0:v>
      </ns0:c>
      <ns0:c r="H309" s="18" t="n">
        <ns0:f>'신청원본'!G309</ns0:f>
        <ns0:v>3</ns0:v>
      </ns0:c>
      <ns0:c r="I309" s="19" t="n">
        <ns0:f>'신청원본'!I309</ns0:f>
        <ns0:v>0.125</ns0:v>
      </ns0:c>
      <ns0:c r="J309" s="18" t="n">
        <ns0:f>IF(F309="승인",IF(COUNTA('신청원본'!J309)=0,ROUND(G309*H309*(1-I309),'정책'!$C$8),'신청원본'!J309),0)</ns0:f>
        <ns0:v>675974</ns0:v>
      </ns0:c>
      <ns0:c r="K309" t="n">
        <ns0:f>SUMIFS('출결원본'!$D$6:$D$1445,'출결원본'!$B$6:$B$1445,B309)</ns0:f>
        <ns0:v>3</ns0:v>
      </ns0:c>
      <ns0:c r="L309" t="n">
        <ns0:f>VLOOKUP(B309,'평가원본'!$B$6:$D$485,2,FALSE)</ns0:f>
        <ns0:v>80</ns0:v>
      </ns0:c>
      <ns0:c r="M309" t="n">
        <ns0:f>VLOOKUP(B309,'평가원본'!$B$6:$D$485,3,FALSE)</ns0:f>
        <ns0:v>1</ns0:v>
      </ns0:c>
      <ns0:c r="N309" t="n">
        <ns0:f>VLOOKUP(E309,'교육기준'!$B$6:$F$17,5,FALSE)</ns0:f>
        <ns0:v>60</ns0:v>
      </ns0:c>
      <ns0:c r="O309" t="n">
        <ns0:f>IF(AND(F309="승인",K309&gt;='정책'!$C$6,M309=1,L309&gt;=N309),1,0)</ns0:f>
        <ns0:v>1</ns0:v>
      </ns0:c>
    </ns0:row>
    <ns0:row r="310">
      <ns0:c r="B310" s="17" t="str">
        <ns0:f>'신청원본'!B310</ns0:f>
        <ns0:v>APP000305</ns0:v>
      </ns0:c>
      <ns0:c r="C310" s="17" t="str">
        <ns0:f>'신청원본'!C310</ns0:f>
        <ns0:v>000145</ns0:v>
      </ns0:c>
      <ns0:c r="D310" t="str">
        <ns0:f>'신청원본'!D310</ns0:f>
        <ns0:v>개발</ns0:v>
      </ns0:c>
      <ns0:c r="E310" t="str">
        <ns0:f>'신청원본'!E310</ns0:f>
        <ns0:v>C05</ns0:v>
      </ns0:c>
      <ns0:c r="F310" t="str">
        <ns0:f>'신청원본'!H310</ns0:f>
        <ns0:v>승인</ns0:v>
      </ns0:c>
      <ns0:c r="G310" s="18" t="n">
        <ns0:f>VLOOKUP(E310,'교육기준'!$B$6:$F$17,3,FALSE)</ns0:f>
        <ns0:v>170009</ns0:v>
      </ns0:c>
      <ns0:c r="H310" s="18" t="n">
        <ns0:f>'신청원본'!G310</ns0:f>
        <ns0:v>4</ns0:v>
      </ns0:c>
      <ns0:c r="I310" s="19" t="n">
        <ns0:f>'신청원본'!I310</ns0:f>
        <ns0:v>0</ns0:v>
      </ns0:c>
      <ns0:c r="J310" s="18" t="n">
        <ns0:f>IF(F310="승인",IF(COUNTA('신청원본'!J310)=0,ROUND(G310*H310*(1-I310),'정책'!$C$8),'신청원본'!J310),0)</ns0:f>
        <ns0:v>680036</ns0:v>
      </ns0:c>
      <ns0:c r="K310" t="n">
        <ns0:f>SUMIFS('출결원본'!$D$6:$D$1445,'출결원본'!$B$6:$B$1445,B310)</ns0:f>
        <ns0:v>3</ns0:v>
      </ns0:c>
      <ns0:c r="L310" t="n">
        <ns0:f>VLOOKUP(B310,'평가원본'!$B$6:$D$485,2,FALSE)</ns0:f>
        <ns0:v>87</ns0:v>
      </ns0:c>
      <ns0:c r="M310" t="n">
        <ns0:f>VLOOKUP(B310,'평가원본'!$B$6:$D$485,3,FALSE)</ns0:f>
        <ns0:v>0</ns0:v>
      </ns0:c>
      <ns0:c r="N310" t="n">
        <ns0:f>VLOOKUP(E310,'교육기준'!$B$6:$F$17,5,FALSE)</ns0:f>
        <ns0:v>70</ns0:v>
      </ns0:c>
      <ns0:c r="O310" t="n">
        <ns0:f>IF(AND(F310="승인",K310&gt;='정책'!$C$6,M310=1,L310&gt;=N310),1,0)</ns0:f>
        <ns0:v>0</ns0:v>
      </ns0:c>
    </ns0:row>
    <ns0:row r="311">
      <ns0:c r="B311" s="17" t="str">
        <ns0:f>'신청원본'!B311</ns0:f>
        <ns0:v>APP000306</ns0:v>
      </ns0:c>
      <ns0:c r="C311" s="17" t="str">
        <ns0:f>'신청원본'!C311</ns0:f>
        <ns0:v>000146</ns0:v>
      </ns0:c>
      <ns0:c r="D311" t="str">
        <ns0:f>'신청원본'!D311</ns0:f>
        <ns0:v>생산</ns0:v>
      </ns0:c>
      <ns0:c r="E311" t="str">
        <ns0:f>'신청원본'!E311</ns0:f>
        <ns0:v>C12</ns0:v>
      </ns0:c>
      <ns0:c r="F311" t="str">
        <ns0:f>'신청원본'!H311</ns0:f>
        <ns0:v>승인</ns0:v>
      </ns0:c>
      <ns0:c r="G311" s="18" t="n">
        <ns0:f>VLOOKUP(E311,'교육기준'!$B$6:$F$17,3,FALSE)</ns0:f>
        <ns0:v>292516</ns0:v>
      </ns0:c>
      <ns0:c r="H311" s="18" t="n">
        <ns0:f>'신청원본'!G311</ns0:f>
        <ns0:v>5</ns0:v>
      </ns0:c>
      <ns0:c r="I311" s="19" t="n">
        <ns0:f>'신청원본'!I311</ns0:f>
        <ns0:v>0.05</ns0:v>
      </ns0:c>
      <ns0:c r="J311" s="18" t="n">
        <ns0:f>IF(F311="승인",IF(COUNTA('신청원본'!J311)=0,ROUND(G311*H311*(1-I311),'정책'!$C$8),'신청원본'!J311),0)</ns0:f>
        <ns0:v>1389451</ns0:v>
      </ns0:c>
      <ns0:c r="K311" t="n">
        <ns0:f>SUMIFS('출결원본'!$D$6:$D$1445,'출결원본'!$B$6:$B$1445,B311)</ns0:f>
        <ns0:v>3</ns0:v>
      </ns0:c>
      <ns0:c r="L311" t="n">
        <ns0:f>VLOOKUP(B311,'평가원본'!$B$6:$D$485,2,FALSE)</ns0:f>
        <ns0:v>94</ns0:v>
      </ns0:c>
      <ns0:c r="M311" t="n">
        <ns0:f>VLOOKUP(B311,'평가원본'!$B$6:$D$485,3,FALSE)</ns0:f>
        <ns0:v>1</ns0:v>
      </ns0:c>
      <ns0:c r="N311" t="n">
        <ns0:f>VLOOKUP(E311,'교육기준'!$B$6:$F$17,5,FALSE)</ns0:f>
        <ns0:v>80</ns0:v>
      </ns0:c>
      <ns0:c r="O311" t="n">
        <ns0:f>IF(AND(F311="승인",K311&gt;='정책'!$C$6,M311=1,L311&gt;=N311),1,0)</ns0:f>
        <ns0:v>1</ns0:v>
      </ns0:c>
    </ns0:row>
    <ns0:row r="312">
      <ns0:c r="B312" s="17" t="str">
        <ns0:f>'신청원본'!B312</ns0:f>
        <ns0:v>APP000307</ns0:v>
      </ns0:c>
      <ns0:c r="C312" s="17" t="str">
        <ns0:f>'신청원본'!C312</ns0:f>
        <ns0:v>000147</ns0:v>
      </ns0:c>
      <ns0:c r="D312" t="str">
        <ns0:f>'신청원본'!D312</ns0:f>
        <ns0:v>품질</ns0:v>
      </ns0:c>
      <ns0:c r="E312" t="str">
        <ns0:f>'신청원본'!E312</ns0:f>
        <ns0:v>C07</ns0:v>
      </ns0:c>
      <ns0:c r="F312" t="str">
        <ns0:f>'신청원본'!H312</ns0:f>
        <ns0:v>승인</ns0:v>
      </ns0:c>
      <ns0:c r="G312" s="18" t="n">
        <ns0:f>VLOOKUP(E312,'교육기준'!$B$6:$F$17,3,FALSE)</ns0:f>
        <ns0:v>205011</ns0:v>
      </ns0:c>
      <ns0:c r="H312" s="18" t="n">
        <ns0:f>'신청원본'!G312</ns0:f>
        <ns0:v>0</ns0:v>
      </ns0:c>
      <ns0:c r="I312" s="19" t="n">
        <ns0:f>'신청원본'!I312</ns0:f>
        <ns0:v>0.1</ns0:v>
      </ns0:c>
      <ns0:c r="J312" s="18" t="n">
        <ns0:f>IF(F312="승인",IF(COUNTA('신청원본'!J312)=0,ROUND(G312*H312*(1-I312),'정책'!$C$8),'신청원본'!J312),0)</ns0:f>
        <ns0:v>0</ns0:v>
      </ns0:c>
      <ns0:c r="K312" t="n">
        <ns0:f>SUMIFS('출결원본'!$D$6:$D$1445,'출결원본'!$B$6:$B$1445,B312)</ns0:f>
        <ns0:v>2</ns0:v>
      </ns0:c>
      <ns0:c r="L312" t="n">
        <ns0:f>VLOOKUP(B312,'평가원본'!$B$6:$D$485,2,FALSE)</ns0:f>
        <ns0:v>50</ns0:v>
      </ns0:c>
      <ns0:c r="M312" t="n">
        <ns0:f>VLOOKUP(B312,'평가원본'!$B$6:$D$485,3,FALSE)</ns0:f>
        <ns0:v>1</ns0:v>
      </ns0:c>
      <ns0:c r="N312" t="n">
        <ns0:f>VLOOKUP(E312,'교육기준'!$B$6:$F$17,5,FALSE)</ns0:f>
        <ns0:v>60</ns0:v>
      </ns0:c>
      <ns0:c r="O312" t="n">
        <ns0:f>IF(AND(F312="승인",K312&gt;='정책'!$C$6,M312=1,L312&gt;=N312),1,0)</ns0:f>
        <ns0:v>0</ns0:v>
      </ns0:c>
    </ns0:row>
    <ns0:row r="313">
      <ns0:c r="B313" s="17" t="str">
        <ns0:f>'신청원본'!B313</ns0:f>
        <ns0:v>APP000308</ns0:v>
      </ns0:c>
      <ns0:c r="C313" s="17" t="str">
        <ns0:f>'신청원본'!C313</ns0:f>
        <ns0:v>000148</ns0:v>
      </ns0:c>
      <ns0:c r="D313" t="str">
        <ns0:f>'신청원본'!D313</ns0:f>
        <ns0:v>기획</ns0:v>
      </ns0:c>
      <ns0:c r="E313" t="str">
        <ns0:f>'신청원본'!E313</ns0:f>
        <ns0:v>C02</ns0:v>
      </ns0:c>
      <ns0:c r="F313" t="str">
        <ns0:f>'신청원본'!H313</ns0:f>
        <ns0:v>승인</ns0:v>
      </ns0:c>
      <ns0:c r="G313" s="18" t="n">
        <ns0:f>VLOOKUP(E313,'교육기준'!$B$6:$F$17,3,FALSE)</ns0:f>
        <ns0:v>117506</ns0:v>
      </ns0:c>
      <ns0:c r="H313" s="18" t="n">
        <ns0:f>'신청원본'!G313</ns0:f>
        <ns0:v>1</ns0:v>
      </ns0:c>
      <ns0:c r="I313" s="19" t="n">
        <ns0:f>'신청원본'!I313</ns0:f>
        <ns0:v>0.125</ns0:v>
      </ns0:c>
      <ns0:c r="J313" s="18" t="n">
        <ns0:f>IF(F313="승인",IF(COUNTA('신청원본'!J313)=0,ROUND(G313*H313*(1-I313),'정책'!$C$8),'신청원본'!J313),0)</ns0:f>
        <ns0:v>102818</ns0:v>
      </ns0:c>
      <ns0:c r="K313" t="n">
        <ns0:f>SUMIFS('출결원본'!$D$6:$D$1445,'출결원본'!$B$6:$B$1445,B313)</ns0:f>
        <ns0:v>3</ns0:v>
      </ns0:c>
      <ns0:c r="L313" t="n">
        <ns0:f>VLOOKUP(B313,'평가원본'!$B$6:$D$485,2,FALSE)</ns0:f>
        <ns0:v>57</ns0:v>
      </ns0:c>
      <ns0:c r="M313" t="n">
        <ns0:f>VLOOKUP(B313,'평가원본'!$B$6:$D$485,3,FALSE)</ns0:f>
        <ns0:v>1</ns0:v>
      </ns0:c>
      <ns0:c r="N313" t="n">
        <ns0:f>VLOOKUP(E313,'교육기준'!$B$6:$F$17,5,FALSE)</ns0:f>
        <ns0:v>70</ns0:v>
      </ns0:c>
      <ns0:c r="O313" t="n">
        <ns0:f>IF(AND(F313="승인",K313&gt;='정책'!$C$6,M313=1,L313&gt;=N313),1,0)</ns0:f>
        <ns0:v>0</ns0:v>
      </ns0:c>
    </ns0:row>
    <ns0:row r="314">
      <ns0:c r="B314" s="17" t="str">
        <ns0:f>'신청원본'!B314</ns0:f>
        <ns0:v>APP000309</ns0:v>
      </ns0:c>
      <ns0:c r="C314" s="17" t="str">
        <ns0:f>'신청원본'!C314</ns0:f>
        <ns0:v>000149</ns0:v>
      </ns0:c>
      <ns0:c r="D314" t="str">
        <ns0:f>'신청원본'!D314</ns0:f>
        <ns0:v>영업</ns0:v>
      </ns0:c>
      <ns0:c r="E314" t="str">
        <ns0:f>'신청원본'!E314</ns0:f>
        <ns0:v>C09</ns0:v>
      </ns0:c>
      <ns0:c r="F314" t="str">
        <ns0:f>'신청원본'!H314</ns0:f>
        <ns0:v>취소</ns0:v>
      </ns0:c>
      <ns0:c r="G314" s="18" t="n">
        <ns0:f>VLOOKUP(E314,'교육기준'!$B$6:$F$17,3,FALSE)</ns0:f>
        <ns0:v>240013</ns0:v>
      </ns0:c>
      <ns0:c r="H314" s="18" t="n">
        <ns0:f>'신청원본'!G314</ns0:f>
        <ns0:v>2</ns0:v>
      </ns0:c>
      <ns0:c r="I314" s="19" t="n">
        <ns0:f>'신청원본'!I314</ns0:f>
        <ns0:v>0</ns0:v>
      </ns0:c>
      <ns0:c r="J314" s="18" t="n">
        <ns0:f>IF(F314="승인",IF(COUNTA('신청원본'!J314)=0,ROUND(G314*H314*(1-I314),'정책'!$C$8),'신청원본'!J314),0)</ns0:f>
        <ns0:v>0</ns0:v>
      </ns0:c>
      <ns0:c r="K314" t="n">
        <ns0:f>SUMIFS('출결원본'!$D$6:$D$1445,'출결원본'!$B$6:$B$1445,B314)</ns0:f>
        <ns0:v>3</ns0:v>
      </ns0:c>
      <ns0:c r="L314" t="n">
        <ns0:f>VLOOKUP(B314,'평가원본'!$B$6:$D$485,2,FALSE)</ns0:f>
        <ns0:v>64</ns0:v>
      </ns0:c>
      <ns0:c r="M314" t="n">
        <ns0:f>VLOOKUP(B314,'평가원본'!$B$6:$D$485,3,FALSE)</ns0:f>
        <ns0:v>1</ns0:v>
      </ns0:c>
      <ns0:c r="N314" t="n">
        <ns0:f>VLOOKUP(E314,'교육기준'!$B$6:$F$17,5,FALSE)</ns0:f>
        <ns0:v>80</ns0:v>
      </ns0:c>
      <ns0:c r="O314" t="n">
        <ns0:f>IF(AND(F314="승인",K314&gt;='정책'!$C$6,M314=1,L314&gt;=N314),1,0)</ns0:f>
        <ns0:v>0</ns0:v>
      </ns0:c>
    </ns0:row>
    <ns0:row r="315">
      <ns0:c r="B315" s="17" t="str">
        <ns0:f>'신청원본'!B315</ns0:f>
        <ns0:v>APP000310</ns0:v>
      </ns0:c>
      <ns0:c r="C315" s="17" t="str">
        <ns0:f>'신청원본'!C315</ns0:f>
        <ns0:v>000150</ns0:v>
      </ns0:c>
      <ns0:c r="D315" t="str">
        <ns0:f>'신청원본'!D315</ns0:f>
        <ns0:v>지원</ns0:v>
      </ns0:c>
      <ns0:c r="E315" t="str">
        <ns0:f>'신청원본'!E315</ns0:f>
        <ns0:v>C04</ns0:v>
      </ns0:c>
      <ns0:c r="F315" t="str">
        <ns0:f>'신청원본'!H315</ns0:f>
        <ns0:v>승인</ns0:v>
      </ns0:c>
      <ns0:c r="G315" s="18" t="n">
        <ns0:f>VLOOKUP(E315,'교육기준'!$B$6:$F$17,3,FALSE)</ns0:f>
        <ns0:v>152508</ns0:v>
      </ns0:c>
      <ns0:c r="H315" s="18" t="n">
        <ns0:f>'신청원본'!G315</ns0:f>
        <ns0:v>3</ns0:v>
      </ns0:c>
      <ns0:c r="I315" s="19" t="n">
        <ns0:f>'신청원본'!I315</ns0:f>
        <ns0:v>0.05</ns0:v>
      </ns0:c>
      <ns0:c r="J315" s="18" t="n">
        <ns0:f>IF(F315="승인",IF(COUNTA('신청원본'!J315)=0,ROUND(G315*H315*(1-I315),'정책'!$C$8),'신청원본'!J315),0)</ns0:f>
        <ns0:v>434648</ns0:v>
      </ns0:c>
      <ns0:c r="K315" t="n">
        <ns0:f>SUMIFS('출결원본'!$D$6:$D$1445,'출결원본'!$B$6:$B$1445,B315)</ns0:f>
        <ns0:v>3</ns0:v>
      </ns0:c>
      <ns0:c r="L315" t="n">
        <ns0:f>VLOOKUP(B315,'평가원본'!$B$6:$D$485,2,FALSE)</ns0:f>
        <ns0:v>71</ns0:v>
      </ns0:c>
      <ns0:c r="M315" t="n">
        <ns0:f>VLOOKUP(B315,'평가원본'!$B$6:$D$485,3,FALSE)</ns0:f>
        <ns0:v>1</ns0:v>
      </ns0:c>
      <ns0:c r="N315" t="n">
        <ns0:f>VLOOKUP(E315,'교육기준'!$B$6:$F$17,5,FALSE)</ns0:f>
        <ns0:v>60</ns0:v>
      </ns0:c>
      <ns0:c r="O315" t="n">
        <ns0:f>IF(AND(F315="승인",K315&gt;='정책'!$C$6,M315=1,L315&gt;=N315),1,0)</ns0:f>
        <ns0:v>1</ns0:v>
      </ns0:c>
    </ns0:row>
    <ns0:row r="316">
      <ns0:c r="B316" s="17" t="str">
        <ns0:f>'신청원본'!B316</ns0:f>
        <ns0:v>APP000311</ns0:v>
      </ns0:c>
      <ns0:c r="C316" s="17" t="str">
        <ns0:f>'신청원본'!C316</ns0:f>
        <ns0:v>000151</ns0:v>
      </ns0:c>
      <ns0:c r="D316" t="str">
        <ns0:f>'신청원본'!D316</ns0:f>
        <ns0:v>개발</ns0:v>
      </ns0:c>
      <ns0:c r="E316" t="str">
        <ns0:f>'신청원본'!E316</ns0:f>
        <ns0:v>C11</ns0:v>
      </ns0:c>
      <ns0:c r="F316" t="str">
        <ns0:f>'신청원본'!H316</ns0:f>
        <ns0:v>승인</ns0:v>
      </ns0:c>
      <ns0:c r="G316" s="18" t="n">
        <ns0:f>VLOOKUP(E316,'교육기준'!$B$6:$F$17,3,FALSE)</ns0:f>
        <ns0:v>275015</ns0:v>
      </ns0:c>
      <ns0:c r="H316" s="18" t="n">
        <ns0:f>'신청원본'!G316</ns0:f>
        <ns0:v>4</ns0:v>
      </ns0:c>
      <ns0:c r="I316" s="19" t="n">
        <ns0:f>'신청원본'!I316</ns0:f>
        <ns0:v>0.1</ns0:v>
      </ns0:c>
      <ns0:c r="J316" s="18" t="n">
        <ns0:f>IF(F316="승인",IF(COUNTA('신청원본'!J316)=0,ROUND(G316*H316*(1-I316),'정책'!$C$8),'신청원본'!J316),0)</ns0:f>
        <ns0:v>990054</ns0:v>
      </ns0:c>
      <ns0:c r="K316" t="n">
        <ns0:f>SUMIFS('출결원본'!$D$6:$D$1445,'출결원본'!$B$6:$B$1445,B316)</ns0:f>
        <ns0:v>3</ns0:v>
      </ns0:c>
      <ns0:c r="L316" t="n">
        <ns0:f>VLOOKUP(B316,'평가원본'!$B$6:$D$485,2,FALSE)</ns0:f>
        <ns0:v>78</ns0:v>
      </ns0:c>
      <ns0:c r="M316" t="n">
        <ns0:f>VLOOKUP(B316,'평가원본'!$B$6:$D$485,3,FALSE)</ns0:f>
        <ns0:v>1</ns0:v>
      </ns0:c>
      <ns0:c r="N316" t="n">
        <ns0:f>VLOOKUP(E316,'교육기준'!$B$6:$F$17,5,FALSE)</ns0:f>
        <ns0:v>70</ns0:v>
      </ns0:c>
      <ns0:c r="O316" t="n">
        <ns0:f>IF(AND(F316="승인",K316&gt;='정책'!$C$6,M316=1,L316&gt;=N316),1,0)</ns0:f>
        <ns0:v>1</ns0:v>
      </ns0:c>
    </ns0:row>
    <ns0:row r="317">
      <ns0:c r="B317" s="17" t="str">
        <ns0:f>'신청원본'!B317</ns0:f>
        <ns0:v>APP000312</ns0:v>
      </ns0:c>
      <ns0:c r="C317" s="17" t="str">
        <ns0:f>'신청원본'!C317</ns0:f>
        <ns0:v>000152</ns0:v>
      </ns0:c>
      <ns0:c r="D317" t="str">
        <ns0:f>'신청원본'!D317</ns0:f>
        <ns0:v>생산</ns0:v>
      </ns0:c>
      <ns0:c r="E317" t="str">
        <ns0:f>'신청원본'!E317</ns0:f>
        <ns0:v>C06</ns0:v>
      </ns0:c>
      <ns0:c r="F317" t="str">
        <ns0:f>'신청원본'!H317</ns0:f>
        <ns0:v>승인</ns0:v>
      </ns0:c>
      <ns0:c r="G317" s="18" t="n">
        <ns0:f>VLOOKUP(E317,'교육기준'!$B$6:$F$17,3,FALSE)</ns0:f>
        <ns0:v>187510</ns0:v>
      </ns0:c>
      <ns0:c r="H317" s="18" t="n">
        <ns0:f>'신청원본'!G317</ns0:f>
        <ns0:v>5</ns0:v>
      </ns0:c>
      <ns0:c r="I317" s="19" t="n">
        <ns0:f>'신청원본'!I317</ns0:f>
        <ns0:v>0.125</ns0:v>
      </ns0:c>
      <ns0:c r="J317" s="18" t="n">
        <ns0:f>IF(F317="승인",IF(COUNTA('신청원본'!J317)=0,ROUND(G317*H317*(1-I317),'정책'!$C$8),'신청원본'!J317),0)</ns0:f>
        <ns0:v>820356</ns0:v>
      </ns0:c>
      <ns0:c r="K317" t="n">
        <ns0:f>SUMIFS('출결원본'!$D$6:$D$1445,'출결원본'!$B$6:$B$1445,B317)</ns0:f>
        <ns0:v>3</ns0:v>
      </ns0:c>
      <ns0:c r="L317" t="n">
        <ns0:f>VLOOKUP(B317,'평가원본'!$B$6:$D$485,2,FALSE)</ns0:f>
        <ns0:v>85</ns0:v>
      </ns0:c>
      <ns0:c r="M317" t="n">
        <ns0:f>VLOOKUP(B317,'평가원본'!$B$6:$D$485,3,FALSE)</ns0:f>
        <ns0:v>1</ns0:v>
      </ns0:c>
      <ns0:c r="N317" t="n">
        <ns0:f>VLOOKUP(E317,'교육기준'!$B$6:$F$17,5,FALSE)</ns0:f>
        <ns0:v>80</ns0:v>
      </ns0:c>
      <ns0:c r="O317" t="n">
        <ns0:f>IF(AND(F317="승인",K317&gt;='정책'!$C$6,M317=1,L317&gt;=N317),1,0)</ns0:f>
        <ns0:v>1</ns0:v>
      </ns0:c>
    </ns0:row>
    <ns0:row r="318">
      <ns0:c r="B318" s="17" t="str">
        <ns0:f>'신청원본'!B318</ns0:f>
        <ns0:v>APP000313</ns0:v>
      </ns0:c>
      <ns0:c r="C318" s="17" t="str">
        <ns0:f>'신청원본'!C318</ns0:f>
        <ns0:v>000153</ns0:v>
      </ns0:c>
      <ns0:c r="D318" t="str">
        <ns0:f>'신청원본'!D318</ns0:f>
        <ns0:v>품질</ns0:v>
      </ns0:c>
      <ns0:c r="E318" t="str">
        <ns0:f>'신청원본'!E318</ns0:f>
        <ns0:v>C01</ns0:v>
      </ns0:c>
      <ns0:c r="F318" t="str">
        <ns0:f>'신청원본'!H318</ns0:f>
        <ns0:v>승인</ns0:v>
      </ns0:c>
      <ns0:c r="G318" s="18" t="n">
        <ns0:f>VLOOKUP(E318,'교육기준'!$B$6:$F$17,3,FALSE)</ns0:f>
        <ns0:v>100005</ns0:v>
      </ns0:c>
      <ns0:c r="H318" s="18" t="n">
        <ns0:f>'신청원본'!G318</ns0:f>
        <ns0:v>0</ns0:v>
      </ns0:c>
      <ns0:c r="I318" s="19" t="n">
        <ns0:f>'신청원본'!I318</ns0:f>
        <ns0:v>0</ns0:v>
      </ns0:c>
      <ns0:c r="J318" s="18" t="n">
        <ns0:f>IF(F318="승인",IF(COUNTA('신청원본'!J318)=0,ROUND(G318*H318*(1-I318),'정책'!$C$8),'신청원본'!J318),0)</ns0:f>
        <ns0:v>0</ns0:v>
      </ns0:c>
      <ns0:c r="K318" t="n">
        <ns0:f>SUMIFS('출결원본'!$D$6:$D$1445,'출결원본'!$B$6:$B$1445,B318)</ns0:f>
        <ns0:v>2</ns0:v>
      </ns0:c>
      <ns0:c r="L318" t="n">
        <ns0:f>VLOOKUP(B318,'평가원본'!$B$6:$D$485,2,FALSE)</ns0:f>
        <ns0:v>92</ns0:v>
      </ns0:c>
      <ns0:c r="M318" t="n">
        <ns0:f>VLOOKUP(B318,'평가원본'!$B$6:$D$485,3,FALSE)</ns0:f>
        <ns0:v>1</ns0:v>
      </ns0:c>
      <ns0:c r="N318" t="n">
        <ns0:f>VLOOKUP(E318,'교육기준'!$B$6:$F$17,5,FALSE)</ns0:f>
        <ns0:v>60</ns0:v>
      </ns0:c>
      <ns0:c r="O318" t="n">
        <ns0:f>IF(AND(F318="승인",K318&gt;='정책'!$C$6,M318=1,L318&gt;=N318),1,0)</ns0:f>
        <ns0:v>0</ns0:v>
      </ns0:c>
    </ns0:row>
    <ns0:row r="319">
      <ns0:c r="B319" s="17" t="str">
        <ns0:f>'신청원본'!B319</ns0:f>
        <ns0:v>APP000314</ns0:v>
      </ns0:c>
      <ns0:c r="C319" s="17" t="str">
        <ns0:f>'신청원본'!C319</ns0:f>
        <ns0:v>000154</ns0:v>
      </ns0:c>
      <ns0:c r="D319" t="str">
        <ns0:f>'신청원본'!D319</ns0:f>
        <ns0:v>기획</ns0:v>
      </ns0:c>
      <ns0:c r="E319" t="str">
        <ns0:f>'신청원본'!E319</ns0:f>
        <ns0:v>C08</ns0:v>
      </ns0:c>
      <ns0:c r="F319" t="str">
        <ns0:f>'신청원본'!H319</ns0:f>
        <ns0:v>승인</ns0:v>
      </ns0:c>
      <ns0:c r="G319" s="18" t="n">
        <ns0:f>VLOOKUP(E319,'교육기준'!$B$6:$F$17,3,FALSE)</ns0:f>
        <ns0:v>222512</ns0:v>
      </ns0:c>
      <ns0:c r="H319" s="18" t="n">
        <ns0:f>'신청원본'!G319</ns0:f>
        <ns0:v>1</ns0:v>
      </ns0:c>
      <ns0:c r="I319" s="19" t="n">
        <ns0:f>'신청원본'!I319</ns0:f>
        <ns0:v>0.05</ns0:v>
      </ns0:c>
      <ns0:c r="J319" s="18" t="n">
        <ns0:f>IF(F319="승인",IF(COUNTA('신청원본'!J319)=0,ROUND(G319*H319*(1-I319),'정책'!$C$8),'신청원본'!J319),0)</ns0:f>
        <ns0:v>211386</ns0:v>
      </ns0:c>
      <ns0:c r="K319" t="n">
        <ns0:f>SUMIFS('출결원본'!$D$6:$D$1445,'출결원본'!$B$6:$B$1445,B319)</ns0:f>
        <ns0:v>3</ns0:v>
      </ns0:c>
      <ns0:c r="L319" t="n">
        <ns0:f>VLOOKUP(B319,'평가원본'!$B$6:$D$485,2,FALSE)</ns0:f>
        <ns0:v>99</ns0:v>
      </ns0:c>
      <ns0:c r="M319" t="n">
        <ns0:f>VLOOKUP(B319,'평가원본'!$B$6:$D$485,3,FALSE)</ns0:f>
        <ns0:v>1</ns0:v>
      </ns0:c>
      <ns0:c r="N319" t="n">
        <ns0:f>VLOOKUP(E319,'교육기준'!$B$6:$F$17,5,FALSE)</ns0:f>
        <ns0:v>70</ns0:v>
      </ns0:c>
      <ns0:c r="O319" t="n">
        <ns0:f>IF(AND(F319="승인",K319&gt;='정책'!$C$6,M319=1,L319&gt;=N319),1,0)</ns0:f>
        <ns0:v>1</ns0:v>
      </ns0:c>
    </ns0:row>
    <ns0:row r="320">
      <ns0:c r="B320" s="17" t="str">
        <ns0:f>'신청원본'!B320</ns0:f>
        <ns0:v>APP000315</ns0:v>
      </ns0:c>
      <ns0:c r="C320" s="17" t="str">
        <ns0:f>'신청원본'!C320</ns0:f>
        <ns0:v>000155</ns0:v>
      </ns0:c>
      <ns0:c r="D320" t="str">
        <ns0:f>'신청원본'!D320</ns0:f>
        <ns0:v>영업</ns0:v>
      </ns0:c>
      <ns0:c r="E320" t="str">
        <ns0:f>'신청원본'!E320</ns0:f>
        <ns0:v>C03</ns0:v>
      </ns0:c>
      <ns0:c r="F320" t="str">
        <ns0:f>'신청원본'!H320</ns0:f>
        <ns0:v>승인</ns0:v>
      </ns0:c>
      <ns0:c r="G320" s="18" t="n">
        <ns0:f>VLOOKUP(E320,'교육기준'!$B$6:$F$17,3,FALSE)</ns0:f>
        <ns0:v>135007</ns0:v>
      </ns0:c>
      <ns0:c r="H320" s="18" t="n">
        <ns0:f>'신청원본'!G320</ns0:f>
        <ns0:v>2</ns0:v>
      </ns0:c>
      <ns0:c r="I320" s="19" t="n">
        <ns0:f>'신청원본'!I320</ns0:f>
        <ns0:v>0.1</ns0:v>
      </ns0:c>
      <ns0:c r="J320" s="18" t="n">
        <ns0:f>IF(F320="승인",IF(COUNTA('신청원본'!J320)=0,ROUND(G320*H320*(1-I320),'정책'!$C$8),'신청원본'!J320),0)</ns0:f>
        <ns0:v>243013</ns0:v>
      </ns0:c>
      <ns0:c r="K320" t="n">
        <ns0:f>SUMIFS('출결원본'!$D$6:$D$1445,'출결원본'!$B$6:$B$1445,B320)</ns0:f>
        <ns0:v>3</ns0:v>
      </ns0:c>
      <ns0:c r="L320" t="n">
        <ns0:f>VLOOKUP(B320,'평가원본'!$B$6:$D$485,2,FALSE)</ns0:f>
        <ns0:v>55</ns0:v>
      </ns0:c>
      <ns0:c r="M320" t="n">
        <ns0:f>VLOOKUP(B320,'평가원본'!$B$6:$D$485,3,FALSE)</ns0:f>
        <ns0:v>1</ns0:v>
      </ns0:c>
      <ns0:c r="N320" t="n">
        <ns0:f>VLOOKUP(E320,'교육기준'!$B$6:$F$17,5,FALSE)</ns0:f>
        <ns0:v>80</ns0:v>
      </ns0:c>
      <ns0:c r="O320" t="n">
        <ns0:f>IF(AND(F320="승인",K320&gt;='정책'!$C$6,M320=1,L320&gt;=N320),1,0)</ns0:f>
        <ns0:v>0</ns0:v>
      </ns0:c>
    </ns0:row>
    <ns0:row r="321">
      <ns0:c r="B321" s="17" t="str">
        <ns0:f>'신청원본'!B321</ns0:f>
        <ns0:v>APP000316</ns0:v>
      </ns0:c>
      <ns0:c r="C321" s="17" t="str">
        <ns0:f>'신청원본'!C321</ns0:f>
        <ns0:v>000156</ns0:v>
      </ns0:c>
      <ns0:c r="D321" t="str">
        <ns0:f>'신청원본'!D321</ns0:f>
        <ns0:v>지원</ns0:v>
      </ns0:c>
      <ns0:c r="E321" t="str">
        <ns0:f>'신청원본'!E321</ns0:f>
        <ns0:v>C10</ns0:v>
      </ns0:c>
      <ns0:c r="F321" t="str">
        <ns0:f>'신청원본'!H321</ns0:f>
        <ns0:v>대기</ns0:v>
      </ns0:c>
      <ns0:c r="G321" s="18" t="n">
        <ns0:f>VLOOKUP(E321,'교육기준'!$B$6:$F$17,3,FALSE)</ns0:f>
        <ns0:v>257514</ns0:v>
      </ns0:c>
      <ns0:c r="H321" s="18" t="n">
        <ns0:f>'신청원본'!G321</ns0:f>
        <ns0:v>3</ns0:v>
      </ns0:c>
      <ns0:c r="I321" s="19" t="n">
        <ns0:f>'신청원본'!I321</ns0:f>
        <ns0:v>0.125</ns0:v>
      </ns0:c>
      <ns0:c r="J321" s="18" t="n">
        <ns0:f>IF(F321="승인",IF(COUNTA('신청원본'!J321)=0,ROUND(G321*H321*(1-I321),'정책'!$C$8),'신청원본'!J321),0)</ns0:f>
        <ns0:v>0</ns0:v>
      </ns0:c>
      <ns0:c r="K321" t="n">
        <ns0:f>SUMIFS('출결원본'!$D$6:$D$1445,'출결원본'!$B$6:$B$1445,B321)</ns0:f>
        <ns0:v>2</ns0:v>
      </ns0:c>
      <ns0:c r="L321" t="n">
        <ns0:f>VLOOKUP(B321,'평가원본'!$B$6:$D$485,2,FALSE)</ns0:f>
        <ns0:v>62</ns0:v>
      </ns0:c>
      <ns0:c r="M321" t="n">
        <ns0:f>VLOOKUP(B321,'평가원본'!$B$6:$D$485,3,FALSE)</ns0:f>
        <ns0:v>1</ns0:v>
      </ns0:c>
      <ns0:c r="N321" t="n">
        <ns0:f>VLOOKUP(E321,'교육기준'!$B$6:$F$17,5,FALSE)</ns0:f>
        <ns0:v>60</ns0:v>
      </ns0:c>
      <ns0:c r="O321" t="n">
        <ns0:f>IF(AND(F321="승인",K321&gt;='정책'!$C$6,M321=1,L321&gt;=N321),1,0)</ns0:f>
        <ns0:v>0</ns0:v>
      </ns0:c>
    </ns0:row>
    <ns0:row r="322">
      <ns0:c r="B322" s="17" t="str">
        <ns0:f>'신청원본'!B322</ns0:f>
        <ns0:v>APP000317</ns0:v>
      </ns0:c>
      <ns0:c r="C322" s="17" t="str">
        <ns0:f>'신청원본'!C322</ns0:f>
        <ns0:v>000157</ns0:v>
      </ns0:c>
      <ns0:c r="D322" t="str">
        <ns0:f>'신청원본'!D322</ns0:f>
        <ns0:v>개발</ns0:v>
      </ns0:c>
      <ns0:c r="E322" t="str">
        <ns0:f>'신청원본'!E322</ns0:f>
        <ns0:v>C05</ns0:v>
      </ns0:c>
      <ns0:c r="F322" t="str">
        <ns0:f>'신청원본'!H322</ns0:f>
        <ns0:v>승인</ns0:v>
      </ns0:c>
      <ns0:c r="G322" s="18" t="n">
        <ns0:f>VLOOKUP(E322,'교육기준'!$B$6:$F$17,3,FALSE)</ns0:f>
        <ns0:v>170009</ns0:v>
      </ns0:c>
      <ns0:c r="H322" s="18" t="n">
        <ns0:f>'신청원본'!G322</ns0:f>
        <ns0:v>4</ns0:v>
      </ns0:c>
      <ns0:c r="I322" s="19" t="n">
        <ns0:f>'신청원본'!I322</ns0:f>
        <ns0:v>0</ns0:v>
      </ns0:c>
      <ns0:c r="J322" s="18" t="n">
        <ns0:f>IF(F322="승인",IF(COUNTA('신청원본'!J322)=0,ROUND(G322*H322*(1-I322),'정책'!$C$8),'신청원본'!J322),0)</ns0:f>
        <ns0:v>12345</ns0:v>
      </ns0:c>
      <ns0:c r="K322" t="n">
        <ns0:f>SUMIFS('출결원본'!$D$6:$D$1445,'출결원본'!$B$6:$B$1445,B322)</ns0:f>
        <ns0:v>3</ns0:v>
      </ns0:c>
      <ns0:c r="L322" t="n">
        <ns0:f>VLOOKUP(B322,'평가원본'!$B$6:$D$485,2,FALSE)</ns0:f>
        <ns0:v>69</ns0:v>
      </ns0:c>
      <ns0:c r="M322" t="n">
        <ns0:f>VLOOKUP(B322,'평가원본'!$B$6:$D$485,3,FALSE)</ns0:f>
        <ns0:v>1</ns0:v>
      </ns0:c>
      <ns0:c r="N322" t="n">
        <ns0:f>VLOOKUP(E322,'교육기준'!$B$6:$F$17,5,FALSE)</ns0:f>
        <ns0:v>70</ns0:v>
      </ns0:c>
      <ns0:c r="O322" t="n">
        <ns0:f>IF(AND(F322="승인",K322&gt;='정책'!$C$6,M322=1,L322&gt;=N322),1,0)</ns0:f>
        <ns0:v>0</ns0:v>
      </ns0:c>
    </ns0:row>
    <ns0:row r="323">
      <ns0:c r="B323" s="17" t="str">
        <ns0:f>'신청원본'!B323</ns0:f>
        <ns0:v>APP000318</ns0:v>
      </ns0:c>
      <ns0:c r="C323" s="17" t="str">
        <ns0:f>'신청원본'!C323</ns0:f>
        <ns0:v>000158</ns0:v>
      </ns0:c>
      <ns0:c r="D323" t="str">
        <ns0:f>'신청원본'!D323</ns0:f>
        <ns0:v>생산</ns0:v>
      </ns0:c>
      <ns0:c r="E323" t="str">
        <ns0:f>'신청원본'!E323</ns0:f>
        <ns0:v>C12</ns0:v>
      </ns0:c>
      <ns0:c r="F323" t="str">
        <ns0:f>'신청원본'!H323</ns0:f>
        <ns0:v>승인</ns0:v>
      </ns0:c>
      <ns0:c r="G323" s="18" t="n">
        <ns0:f>VLOOKUP(E323,'교육기준'!$B$6:$F$17,3,FALSE)</ns0:f>
        <ns0:v>292516</ns0:v>
      </ns0:c>
      <ns0:c r="H323" s="18" t="n">
        <ns0:f>'신청원본'!G323</ns0:f>
        <ns0:v>5</ns0:v>
      </ns0:c>
      <ns0:c r="I323" s="19" t="n">
        <ns0:f>'신청원본'!I323</ns0:f>
        <ns0:v>0.05</ns0:v>
      </ns0:c>
      <ns0:c r="J323" s="18" t="n">
        <ns0:f>IF(F323="승인",IF(COUNTA('신청원본'!J323)=0,ROUND(G323*H323*(1-I323),'정책'!$C$8),'신청원본'!J323),0)</ns0:f>
        <ns0:v>1389451</ns0:v>
      </ns0:c>
      <ns0:c r="K323" t="n">
        <ns0:f>SUMIFS('출결원본'!$D$6:$D$1445,'출결원본'!$B$6:$B$1445,B323)</ns0:f>
        <ns0:v>3</ns0:v>
      </ns0:c>
      <ns0:c r="L323" t="n">
        <ns0:f>VLOOKUP(B323,'평가원본'!$B$6:$D$485,2,FALSE)</ns0:f>
        <ns0:v>76</ns0:v>
      </ns0:c>
      <ns0:c r="M323" t="n">
        <ns0:f>VLOOKUP(B323,'평가원본'!$B$6:$D$485,3,FALSE)</ns0:f>
        <ns0:v>1</ns0:v>
      </ns0:c>
      <ns0:c r="N323" t="n">
        <ns0:f>VLOOKUP(E323,'교육기준'!$B$6:$F$17,5,FALSE)</ns0:f>
        <ns0:v>80</ns0:v>
      </ns0:c>
      <ns0:c r="O323" t="n">
        <ns0:f>IF(AND(F323="승인",K323&gt;='정책'!$C$6,M323=1,L323&gt;=N323),1,0)</ns0:f>
        <ns0:v>0</ns0:v>
      </ns0:c>
    </ns0:row>
    <ns0:row r="324">
      <ns0:c r="B324" s="17" t="str">
        <ns0:f>'신청원본'!B324</ns0:f>
        <ns0:v>APP000319</ns0:v>
      </ns0:c>
      <ns0:c r="C324" s="17" t="str">
        <ns0:f>'신청원본'!C324</ns0:f>
        <ns0:v>000159</ns0:v>
      </ns0:c>
      <ns0:c r="D324" t="str">
        <ns0:f>'신청원본'!D324</ns0:f>
        <ns0:v>품질</ns0:v>
      </ns0:c>
      <ns0:c r="E324" t="str">
        <ns0:f>'신청원본'!E324</ns0:f>
        <ns0:v>C07</ns0:v>
      </ns0:c>
      <ns0:c r="F324" t="str">
        <ns0:f>'신청원본'!H324</ns0:f>
        <ns0:v>승인</ns0:v>
      </ns0:c>
      <ns0:c r="G324" s="18" t="n">
        <ns0:f>VLOOKUP(E324,'교육기준'!$B$6:$F$17,3,FALSE)</ns0:f>
        <ns0:v>205011</ns0:v>
      </ns0:c>
      <ns0:c r="H324" s="18" t="n">
        <ns0:f>'신청원본'!G324</ns0:f>
        <ns0:v>0</ns0:v>
      </ns0:c>
      <ns0:c r="I324" s="19" t="n">
        <ns0:f>'신청원본'!I324</ns0:f>
        <ns0:v>0.1</ns0:v>
      </ns0:c>
      <ns0:c r="J324" s="18" t="n">
        <ns0:f>IF(F324="승인",IF(COUNTA('신청원본'!J324)=0,ROUND(G324*H324*(1-I324),'정책'!$C$8),'신청원본'!J324),0)</ns0:f>
        <ns0:v>0</ns0:v>
      </ns0:c>
      <ns0:c r="K324" t="n">
        <ns0:f>SUMIFS('출결원본'!$D$6:$D$1445,'출결원본'!$B$6:$B$1445,B324)</ns0:f>
        <ns0:v>3</ns0:v>
      </ns0:c>
      <ns0:c r="L324" t="n">
        <ns0:f>VLOOKUP(B324,'평가원본'!$B$6:$D$485,2,FALSE)</ns0:f>
        <ns0:v>83</ns0:v>
      </ns0:c>
      <ns0:c r="M324" t="n">
        <ns0:f>VLOOKUP(B324,'평가원본'!$B$6:$D$485,3,FALSE)</ns0:f>
        <ns0:v>1</ns0:v>
      </ns0:c>
      <ns0:c r="N324" t="n">
        <ns0:f>VLOOKUP(E324,'교육기준'!$B$6:$F$17,5,FALSE)</ns0:f>
        <ns0:v>60</ns0:v>
      </ns0:c>
      <ns0:c r="O324" t="n">
        <ns0:f>IF(AND(F324="승인",K324&gt;='정책'!$C$6,M324=1,L324&gt;=N324),1,0)</ns0:f>
        <ns0:v>1</ns0:v>
      </ns0:c>
    </ns0:row>
    <ns0:row r="325">
      <ns0:c r="B325" s="17" t="str">
        <ns0:f>'신청원본'!B325</ns0:f>
        <ns0:v>APP000320</ns0:v>
      </ns0:c>
      <ns0:c r="C325" s="17" t="str">
        <ns0:f>'신청원본'!C325</ns0:f>
        <ns0:v>000160</ns0:v>
      </ns0:c>
      <ns0:c r="D325" t="str">
        <ns0:f>'신청원본'!D325</ns0:f>
        <ns0:v>기획</ns0:v>
      </ns0:c>
      <ns0:c r="E325" t="str">
        <ns0:f>'신청원본'!E325</ns0:f>
        <ns0:v>C02</ns0:v>
      </ns0:c>
      <ns0:c r="F325" t="str">
        <ns0:f>'신청원본'!H325</ns0:f>
        <ns0:v>취소</ns0:v>
      </ns0:c>
      <ns0:c r="G325" s="18" t="n">
        <ns0:f>VLOOKUP(E325,'교육기준'!$B$6:$F$17,3,FALSE)</ns0:f>
        <ns0:v>117506</ns0:v>
      </ns0:c>
      <ns0:c r="H325" s="18" t="n">
        <ns0:f>'신청원본'!G325</ns0:f>
        <ns0:v>1</ns0:v>
      </ns0:c>
      <ns0:c r="I325" s="19" t="n">
        <ns0:f>'신청원본'!I325</ns0:f>
        <ns0:v>0.125</ns0:v>
      </ns0:c>
      <ns0:c r="J325" s="18" t="n">
        <ns0:f>IF(F325="승인",IF(COUNTA('신청원본'!J325)=0,ROUND(G325*H325*(1-I325),'정책'!$C$8),'신청원본'!J325),0)</ns0:f>
        <ns0:v>0</ns0:v>
      </ns0:c>
      <ns0:c r="K325" t="n">
        <ns0:f>SUMIFS('출결원본'!$D$6:$D$1445,'출결원본'!$B$6:$B$1445,B325)</ns0:f>
        <ns0:v>3</ns0:v>
      </ns0:c>
      <ns0:c r="L325" t="n">
        <ns0:f>VLOOKUP(B325,'평가원본'!$B$6:$D$485,2,FALSE)</ns0:f>
        <ns0:v>90</ns0:v>
      </ns0:c>
      <ns0:c r="M325" t="n">
        <ns0:f>VLOOKUP(B325,'평가원본'!$B$6:$D$485,3,FALSE)</ns0:f>
        <ns0:v>1</ns0:v>
      </ns0:c>
      <ns0:c r="N325" t="n">
        <ns0:f>VLOOKUP(E325,'교육기준'!$B$6:$F$17,5,FALSE)</ns0:f>
        <ns0:v>70</ns0:v>
      </ns0:c>
      <ns0:c r="O325" t="n">
        <ns0:f>IF(AND(F325="승인",K325&gt;='정책'!$C$6,M325=1,L325&gt;=N325),1,0)</ns0:f>
        <ns0:v>0</ns0:v>
      </ns0:c>
    </ns0:row>
    <ns0:row r="326">
      <ns0:c r="B326" s="17" t="str">
        <ns0:f>'신청원본'!B326</ns0:f>
        <ns0:v>APP000321</ns0:v>
      </ns0:c>
      <ns0:c r="C326" s="17" t="str">
        <ns0:f>'신청원본'!C326</ns0:f>
        <ns0:v>000001</ns0:v>
      </ns0:c>
      <ns0:c r="D326" t="str">
        <ns0:f>'신청원본'!D326</ns0:f>
        <ns0:v>개발</ns0:v>
      </ns0:c>
      <ns0:c r="E326" t="str">
        <ns0:f>'신청원본'!E326</ns0:f>
        <ns0:v>C09</ns0:v>
      </ns0:c>
      <ns0:c r="F326" t="str">
        <ns0:f>'신청원본'!H326</ns0:f>
        <ns0:v>승인</ns0:v>
      </ns0:c>
      <ns0:c r="G326" s="18" t="n">
        <ns0:f>VLOOKUP(E326,'교육기준'!$B$6:$F$17,3,FALSE)</ns0:f>
        <ns0:v>240013</ns0:v>
      </ns0:c>
      <ns0:c r="H326" s="18" t="n">
        <ns0:f>'신청원본'!G326</ns0:f>
        <ns0:v>2</ns0:v>
      </ns0:c>
      <ns0:c r="I326" s="19" t="n">
        <ns0:f>'신청원본'!I326</ns0:f>
        <ns0:v>0</ns0:v>
      </ns0:c>
      <ns0:c r="J326" s="18" t="n">
        <ns0:f>IF(F326="승인",IF(COUNTA('신청원본'!J326)=0,ROUND(G326*H326*(1-I326),'정책'!$C$8),'신청원본'!J326),0)</ns0:f>
        <ns0:v>480026</ns0:v>
      </ns0:c>
      <ns0:c r="K326" t="n">
        <ns0:f>SUMIFS('출결원본'!$D$6:$D$1445,'출결원본'!$B$6:$B$1445,B326)</ns0:f>
        <ns0:v>3</ns0:v>
      </ns0:c>
      <ns0:c r="L326" t="n">
        <ns0:f>VLOOKUP(B326,'평가원본'!$B$6:$D$485,2,FALSE)</ns0:f>
        <ns0:v>97</ns0:v>
      </ns0:c>
      <ns0:c r="M326" t="n">
        <ns0:f>VLOOKUP(B326,'평가원본'!$B$6:$D$485,3,FALSE)</ns0:f>
        <ns0:v>1</ns0:v>
      </ns0:c>
      <ns0:c r="N326" t="n">
        <ns0:f>VLOOKUP(E326,'교육기준'!$B$6:$F$17,5,FALSE)</ns0:f>
        <ns0:v>80</ns0:v>
      </ns0:c>
      <ns0:c r="O326" t="n">
        <ns0:f>IF(AND(F326="승인",K326&gt;='정책'!$C$6,M326=1,L326&gt;=N326),1,0)</ns0:f>
        <ns0:v>1</ns0:v>
      </ns0:c>
    </ns0:row>
    <ns0:row r="327">
      <ns0:c r="B327" s="17" t="str">
        <ns0:f>'신청원본'!B327</ns0:f>
        <ns0:v>APP000322</ns0:v>
      </ns0:c>
      <ns0:c r="C327" s="17" t="str">
        <ns0:f>'신청원본'!C327</ns0:f>
        <ns0:v>000002</ns0:v>
      </ns0:c>
      <ns0:c r="D327" t="str">
        <ns0:f>'신청원본'!D327</ns0:f>
        <ns0:v>생산</ns0:v>
      </ns0:c>
      <ns0:c r="E327" t="str">
        <ns0:f>'신청원본'!E327</ns0:f>
        <ns0:v>C04</ns0:v>
      </ns0:c>
      <ns0:c r="F327" t="str">
        <ns0:f>'신청원본'!H327</ns0:f>
        <ns0:v>승인</ns0:v>
      </ns0:c>
      <ns0:c r="G327" s="18" t="n">
        <ns0:f>VLOOKUP(E327,'교육기준'!$B$6:$F$17,3,FALSE)</ns0:f>
        <ns0:v>152508</ns0:v>
      </ns0:c>
      <ns0:c r="H327" s="18" t="n">
        <ns0:f>'신청원본'!G327</ns0:f>
        <ns0:v>3</ns0:v>
      </ns0:c>
      <ns0:c r="I327" s="19" t="n">
        <ns0:f>'신청원본'!I327</ns0:f>
        <ns0:v>0.05</ns0:v>
      </ns0:c>
      <ns0:c r="J327" s="18" t="n">
        <ns0:f>IF(F327="승인",IF(COUNTA('신청원본'!J327)=0,ROUND(G327*H327*(1-I327),'정책'!$C$8),'신청원본'!J327),0)</ns0:f>
        <ns0:v>434648</ns0:v>
      </ns0:c>
      <ns0:c r="K327" t="n">
        <ns0:f>SUMIFS('출결원본'!$D$6:$D$1445,'출결원본'!$B$6:$B$1445,B327)</ns0:f>
        <ns0:v>3</ns0:v>
      </ns0:c>
      <ns0:c r="L327" t="n">
        <ns0:f>VLOOKUP(B327,'평가원본'!$B$6:$D$485,2,FALSE)</ns0:f>
        <ns0:v>53</ns0:v>
      </ns0:c>
      <ns0:c r="M327" t="n">
        <ns0:f>VLOOKUP(B327,'평가원본'!$B$6:$D$485,3,FALSE)</ns0:f>
        <ns0:v>1</ns0:v>
      </ns0:c>
      <ns0:c r="N327" t="n">
        <ns0:f>VLOOKUP(E327,'교육기준'!$B$6:$F$17,5,FALSE)</ns0:f>
        <ns0:v>60</ns0:v>
      </ns0:c>
      <ns0:c r="O327" t="n">
        <ns0:f>IF(AND(F327="승인",K327&gt;='정책'!$C$6,M327=1,L327&gt;=N327),1,0)</ns0:f>
        <ns0:v>0</ns0:v>
      </ns0:c>
    </ns0:row>
    <ns0:row r="328">
      <ns0:c r="B328" s="17" t="str">
        <ns0:f>'신청원본'!B328</ns0:f>
        <ns0:v>APP000323</ns0:v>
      </ns0:c>
      <ns0:c r="C328" s="17" t="str">
        <ns0:f>'신청원본'!C328</ns0:f>
        <ns0:v>000003</ns0:v>
      </ns0:c>
      <ns0:c r="D328" t="str">
        <ns0:f>'신청원본'!D328</ns0:f>
        <ns0:v>품질</ns0:v>
      </ns0:c>
      <ns0:c r="E328" t="str">
        <ns0:f>'신청원본'!E328</ns0:f>
        <ns0:v>C11</ns0:v>
      </ns0:c>
      <ns0:c r="F328" t="str">
        <ns0:f>'신청원본'!H328</ns0:f>
        <ns0:v>대기</ns0:v>
      </ns0:c>
      <ns0:c r="G328" s="18" t="n">
        <ns0:f>VLOOKUP(E328,'교육기준'!$B$6:$F$17,3,FALSE)</ns0:f>
        <ns0:v>275015</ns0:v>
      </ns0:c>
      <ns0:c r="H328" s="18" t="n">
        <ns0:f>'신청원본'!G328</ns0:f>
        <ns0:v>4</ns0:v>
      </ns0:c>
      <ns0:c r="I328" s="19" t="n">
        <ns0:f>'신청원본'!I328</ns0:f>
        <ns0:v>0.1</ns0:v>
      </ns0:c>
      <ns0:c r="J328" s="18" t="n">
        <ns0:f>IF(F328="승인",IF(COUNTA('신청원본'!J328)=0,ROUND(G328*H328*(1-I328),'정책'!$C$8),'신청원본'!J328),0)</ns0:f>
        <ns0:v>0</ns0:v>
      </ns0:c>
      <ns0:c r="K328" t="n">
        <ns0:f>SUMIFS('출결원본'!$D$6:$D$1445,'출결원본'!$B$6:$B$1445,B328)</ns0:f>
        <ns0:v>3</ns0:v>
      </ns0:c>
      <ns0:c r="L328" t="n">
        <ns0:f>VLOOKUP(B328,'평가원본'!$B$6:$D$485,2,FALSE)</ns0:f>
        <ns0:v>60</ns0:v>
      </ns0:c>
      <ns0:c r="M328" t="n">
        <ns0:f>VLOOKUP(B328,'평가원본'!$B$6:$D$485,3,FALSE)</ns0:f>
        <ns0:v>1</ns0:v>
      </ns0:c>
      <ns0:c r="N328" t="n">
        <ns0:f>VLOOKUP(E328,'교육기준'!$B$6:$F$17,5,FALSE)</ns0:f>
        <ns0:v>70</ns0:v>
      </ns0:c>
      <ns0:c r="O328" t="n">
        <ns0:f>IF(AND(F328="승인",K328&gt;='정책'!$C$6,M328=1,L328&gt;=N328),1,0)</ns0:f>
        <ns0:v>0</ns0:v>
      </ns0:c>
    </ns0:row>
    <ns0:row r="329">
      <ns0:c r="B329" s="17" t="str">
        <ns0:f>'신청원본'!B329</ns0:f>
        <ns0:v>APP000324</ns0:v>
      </ns0:c>
      <ns0:c r="C329" s="17" t="str">
        <ns0:f>'신청원본'!C329</ns0:f>
        <ns0:v>000004</ns0:v>
      </ns0:c>
      <ns0:c r="D329" t="str">
        <ns0:f>'신청원본'!D329</ns0:f>
        <ns0:v>기획</ns0:v>
      </ns0:c>
      <ns0:c r="E329" t="str">
        <ns0:f>'신청원본'!E329</ns0:f>
        <ns0:v>C06</ns0:v>
      </ns0:c>
      <ns0:c r="F329" t="str">
        <ns0:f>'신청원본'!H329</ns0:f>
        <ns0:v>승인</ns0:v>
      </ns0:c>
      <ns0:c r="G329" s="18" t="n">
        <ns0:f>VLOOKUP(E329,'교육기준'!$B$6:$F$17,3,FALSE)</ns0:f>
        <ns0:v>187510</ns0:v>
      </ns0:c>
      <ns0:c r="H329" s="18" t="n">
        <ns0:f>'신청원본'!G329</ns0:f>
        <ns0:v>5</ns0:v>
      </ns0:c>
      <ns0:c r="I329" s="19" t="n">
        <ns0:f>'신청원본'!I329</ns0:f>
        <ns0:v>0.125</ns0:v>
      </ns0:c>
      <ns0:c r="J329" s="18" t="n">
        <ns0:f>IF(F329="승인",IF(COUNTA('신청원본'!J329)=0,ROUND(G329*H329*(1-I329),'정책'!$C$8),'신청원본'!J329),0)</ns0:f>
        <ns0:v>820356</ns0:v>
      </ns0:c>
      <ns0:c r="K329" t="n">
        <ns0:f>SUMIFS('출결원본'!$D$6:$D$1445,'출결원본'!$B$6:$B$1445,B329)</ns0:f>
        <ns0:v>3</ns0:v>
      </ns0:c>
      <ns0:c r="L329" t="n">
        <ns0:f>VLOOKUP(B329,'평가원본'!$B$6:$D$485,2,FALSE)</ns0:f>
        <ns0:v>67</ns0:v>
      </ns0:c>
      <ns0:c r="M329" t="n">
        <ns0:f>VLOOKUP(B329,'평가원본'!$B$6:$D$485,3,FALSE)</ns0:f>
        <ns0:v>0</ns0:v>
      </ns0:c>
      <ns0:c r="N329" t="n">
        <ns0:f>VLOOKUP(E329,'교육기준'!$B$6:$F$17,5,FALSE)</ns0:f>
        <ns0:v>80</ns0:v>
      </ns0:c>
      <ns0:c r="O329" t="n">
        <ns0:f>IF(AND(F329="승인",K329&gt;='정책'!$C$6,M329=1,L329&gt;=N329),1,0)</ns0:f>
        <ns0:v>0</ns0:v>
      </ns0:c>
    </ns0:row>
    <ns0:row r="330">
      <ns0:c r="B330" s="17" t="str">
        <ns0:f>'신청원본'!B330</ns0:f>
        <ns0:v>APP000325</ns0:v>
      </ns0:c>
      <ns0:c r="C330" s="17" t="str">
        <ns0:f>'신청원본'!C330</ns0:f>
        <ns0:v>000005</ns0:v>
      </ns0:c>
      <ns0:c r="D330" t="str">
        <ns0:f>'신청원본'!D330</ns0:f>
        <ns0:v>영업</ns0:v>
      </ns0:c>
      <ns0:c r="E330" t="str">
        <ns0:f>'신청원본'!E330</ns0:f>
        <ns0:v>C01</ns0:v>
      </ns0:c>
      <ns0:c r="F330" t="str">
        <ns0:f>'신청원본'!H330</ns0:f>
        <ns0:v>승인</ns0:v>
      </ns0:c>
      <ns0:c r="G330" s="18" t="n">
        <ns0:f>VLOOKUP(E330,'교육기준'!$B$6:$F$17,3,FALSE)</ns0:f>
        <ns0:v>100005</ns0:v>
      </ns0:c>
      <ns0:c r="H330" s="18" t="n">
        <ns0:f>'신청원본'!G330</ns0:f>
        <ns0:v>0</ns0:v>
      </ns0:c>
      <ns0:c r="I330" s="19" t="n">
        <ns0:f>'신청원본'!I330</ns0:f>
        <ns0:v>0</ns0:v>
      </ns0:c>
      <ns0:c r="J330" s="18" t="n">
        <ns0:f>IF(F330="승인",IF(COUNTA('신청원본'!J330)=0,ROUND(G330*H330*(1-I330),'정책'!$C$8),'신청원본'!J330),0)</ns0:f>
        <ns0:v>0</ns0:v>
      </ns0:c>
      <ns0:c r="K330" t="n">
        <ns0:f>SUMIFS('출결원본'!$D$6:$D$1445,'출결원본'!$B$6:$B$1445,B330)</ns0:f>
        <ns0:v>2</ns0:v>
      </ns0:c>
      <ns0:c r="L330" t="n">
        <ns0:f>VLOOKUP(B330,'평가원본'!$B$6:$D$485,2,FALSE)</ns0:f>
        <ns0:v>74</ns0:v>
      </ns0:c>
      <ns0:c r="M330" t="n">
        <ns0:f>VLOOKUP(B330,'평가원본'!$B$6:$D$485,3,FALSE)</ns0:f>
        <ns0:v>1</ns0:v>
      </ns0:c>
      <ns0:c r="N330" t="n">
        <ns0:f>VLOOKUP(E330,'교육기준'!$B$6:$F$17,5,FALSE)</ns0:f>
        <ns0:v>60</ns0:v>
      </ns0:c>
      <ns0:c r="O330" t="n">
        <ns0:f>IF(AND(F330="승인",K330&gt;='정책'!$C$6,M330=1,L330&gt;=N330),1,0)</ns0:f>
        <ns0:v>0</ns0:v>
      </ns0:c>
    </ns0:row>
    <ns0:row r="331">
      <ns0:c r="B331" s="17" t="str">
        <ns0:f>'신청원본'!B331</ns0:f>
        <ns0:v>APP000326</ns0:v>
      </ns0:c>
      <ns0:c r="C331" s="17" t="str">
        <ns0:f>'신청원본'!C331</ns0:f>
        <ns0:v>000006</ns0:v>
      </ns0:c>
      <ns0:c r="D331" t="str">
        <ns0:f>'신청원본'!D331</ns0:f>
        <ns0:v>지원</ns0:v>
      </ns0:c>
      <ns0:c r="E331" t="str">
        <ns0:f>'신청원본'!E331</ns0:f>
        <ns0:v>C08</ns0:v>
      </ns0:c>
      <ns0:c r="F331" t="str">
        <ns0:f>'신청원본'!H331</ns0:f>
        <ns0:v>승인</ns0:v>
      </ns0:c>
      <ns0:c r="G331" s="18" t="n">
        <ns0:f>VLOOKUP(E331,'교육기준'!$B$6:$F$17,3,FALSE)</ns0:f>
        <ns0:v>222512</ns0:v>
      </ns0:c>
      <ns0:c r="H331" s="18" t="n">
        <ns0:f>'신청원본'!G331</ns0:f>
        <ns0:v>1</ns0:v>
      </ns0:c>
      <ns0:c r="I331" s="19" t="n">
        <ns0:f>'신청원본'!I331</ns0:f>
        <ns0:v>0.05</ns0:v>
      </ns0:c>
      <ns0:c r="J331" s="18" t="n">
        <ns0:f>IF(F331="승인",IF(COUNTA('신청원본'!J331)=0,ROUND(G331*H331*(1-I331),'정책'!$C$8),'신청원본'!J331),0)</ns0:f>
        <ns0:v>211386</ns0:v>
      </ns0:c>
      <ns0:c r="K331" t="n">
        <ns0:f>SUMIFS('출결원본'!$D$6:$D$1445,'출결원본'!$B$6:$B$1445,B331)</ns0:f>
        <ns0:v>2</ns0:v>
      </ns0:c>
      <ns0:c r="L331" t="n">
        <ns0:f>VLOOKUP(B331,'평가원본'!$B$6:$D$485,2,FALSE)</ns0:f>
        <ns0:v>81</ns0:v>
      </ns0:c>
      <ns0:c r="M331" t="n">
        <ns0:f>VLOOKUP(B331,'평가원본'!$B$6:$D$485,3,FALSE)</ns0:f>
        <ns0:v>1</ns0:v>
      </ns0:c>
      <ns0:c r="N331" t="n">
        <ns0:f>VLOOKUP(E331,'교육기준'!$B$6:$F$17,5,FALSE)</ns0:f>
        <ns0:v>70</ns0:v>
      </ns0:c>
      <ns0:c r="O331" t="n">
        <ns0:f>IF(AND(F331="승인",K331&gt;='정책'!$C$6,M331=1,L331&gt;=N331),1,0)</ns0:f>
        <ns0:v>0</ns0:v>
      </ns0:c>
    </ns0:row>
    <ns0:row r="332">
      <ns0:c r="B332" s="17" t="str">
        <ns0:f>'신청원본'!B332</ns0:f>
        <ns0:v>APP000327</ns0:v>
      </ns0:c>
      <ns0:c r="C332" s="17" t="str">
        <ns0:f>'신청원본'!C332</ns0:f>
        <ns0:v>000007</ns0:v>
      </ns0:c>
      <ns0:c r="D332" t="str">
        <ns0:f>'신청원본'!D332</ns0:f>
        <ns0:v>개발</ns0:v>
      </ns0:c>
      <ns0:c r="E332" t="str">
        <ns0:f>'신청원본'!E332</ns0:f>
        <ns0:v>C03</ns0:v>
      </ns0:c>
      <ns0:c r="F332" t="str">
        <ns0:f>'신청원본'!H332</ns0:f>
        <ns0:v>승인</ns0:v>
      </ns0:c>
      <ns0:c r="G332" s="18" t="n">
        <ns0:f>VLOOKUP(E332,'교육기준'!$B$6:$F$17,3,FALSE)</ns0:f>
        <ns0:v>135007</ns0:v>
      </ns0:c>
      <ns0:c r="H332" s="18" t="n">
        <ns0:f>'신청원본'!G332</ns0:f>
        <ns0:v>2</ns0:v>
      </ns0:c>
      <ns0:c r="I332" s="19" t="n">
        <ns0:f>'신청원본'!I332</ns0:f>
        <ns0:v>0.1</ns0:v>
      </ns0:c>
      <ns0:c r="J332" s="18" t="n">
        <ns0:f>IF(F332="승인",IF(COUNTA('신청원본'!J332)=0,ROUND(G332*H332*(1-I332),'정책'!$C$8),'신청원본'!J332),0)</ns0:f>
        <ns0:v>243013</ns0:v>
      </ns0:c>
      <ns0:c r="K332" t="n">
        <ns0:f>SUMIFS('출결원본'!$D$6:$D$1445,'출결원본'!$B$6:$B$1445,B332)</ns0:f>
        <ns0:v>3</ns0:v>
      </ns0:c>
      <ns0:c r="L332" t="n">
        <ns0:f>VLOOKUP(B332,'평가원본'!$B$6:$D$485,2,FALSE)</ns0:f>
        <ns0:v>88</ns0:v>
      </ns0:c>
      <ns0:c r="M332" t="n">
        <ns0:f>VLOOKUP(B332,'평가원본'!$B$6:$D$485,3,FALSE)</ns0:f>
        <ns0:v>1</ns0:v>
      </ns0:c>
      <ns0:c r="N332" t="n">
        <ns0:f>VLOOKUP(E332,'교육기준'!$B$6:$F$17,5,FALSE)</ns0:f>
        <ns0:v>80</ns0:v>
      </ns0:c>
      <ns0:c r="O332" t="n">
        <ns0:f>IF(AND(F332="승인",K332&gt;='정책'!$C$6,M332=1,L332&gt;=N332),1,0)</ns0:f>
        <ns0:v>1</ns0:v>
      </ns0:c>
    </ns0:row>
    <ns0:row r="333">
      <ns0:c r="B333" s="17" t="str">
        <ns0:f>'신청원본'!B333</ns0:f>
        <ns0:v>APP000328</ns0:v>
      </ns0:c>
      <ns0:c r="C333" s="17" t="str">
        <ns0:f>'신청원본'!C333</ns0:f>
        <ns0:v>000008</ns0:v>
      </ns0:c>
      <ns0:c r="D333" t="str">
        <ns0:f>'신청원본'!D333</ns0:f>
        <ns0:v>생산</ns0:v>
      </ns0:c>
      <ns0:c r="E333" t="str">
        <ns0:f>'신청원본'!E333</ns0:f>
        <ns0:v>C10</ns0:v>
      </ns0:c>
      <ns0:c r="F333" t="str">
        <ns0:f>'신청원본'!H333</ns0:f>
        <ns0:v>승인</ns0:v>
      </ns0:c>
      <ns0:c r="G333" s="18" t="n">
        <ns0:f>VLOOKUP(E333,'교육기준'!$B$6:$F$17,3,FALSE)</ns0:f>
        <ns0:v>257514</ns0:v>
      </ns0:c>
      <ns0:c r="H333" s="18" t="n">
        <ns0:f>'신청원본'!G333</ns0:f>
        <ns0:v>3</ns0:v>
      </ns0:c>
      <ns0:c r="I333" s="19" t="n">
        <ns0:f>'신청원본'!I333</ns0:f>
        <ns0:v>0.125</ns0:v>
      </ns0:c>
      <ns0:c r="J333" s="18" t="n">
        <ns0:f>IF(F333="승인",IF(COUNTA('신청원본'!J333)=0,ROUND(G333*H333*(1-I333),'정책'!$C$8),'신청원본'!J333),0)</ns0:f>
        <ns0:v>675974</ns0:v>
      </ns0:c>
      <ns0:c r="K333" t="n">
        <ns0:f>SUMIFS('출결원본'!$D$6:$D$1445,'출결원본'!$B$6:$B$1445,B333)</ns0:f>
        <ns0:v>3</ns0:v>
      </ns0:c>
      <ns0:c r="L333" t="n">
        <ns0:f>VLOOKUP(B333,'평가원본'!$B$6:$D$485,2,FALSE)</ns0:f>
        <ns0:v>95</ns0:v>
      </ns0:c>
      <ns0:c r="M333" t="n">
        <ns0:f>VLOOKUP(B333,'평가원본'!$B$6:$D$485,3,FALSE)</ns0:f>
        <ns0:v>1</ns0:v>
      </ns0:c>
      <ns0:c r="N333" t="n">
        <ns0:f>VLOOKUP(E333,'교육기준'!$B$6:$F$17,5,FALSE)</ns0:f>
        <ns0:v>60</ns0:v>
      </ns0:c>
      <ns0:c r="O333" t="n">
        <ns0:f>IF(AND(F333="승인",K333&gt;='정책'!$C$6,M333=1,L333&gt;=N333),1,0)</ns0:f>
        <ns0:v>1</ns0:v>
      </ns0:c>
    </ns0:row>
    <ns0:row r="334">
      <ns0:c r="B334" s="17" t="str">
        <ns0:f>'신청원본'!B334</ns0:f>
        <ns0:v>APP000329</ns0:v>
      </ns0:c>
      <ns0:c r="C334" s="17" t="str">
        <ns0:f>'신청원본'!C334</ns0:f>
        <ns0:v>000009</ns0:v>
      </ns0:c>
      <ns0:c r="D334" t="str">
        <ns0:f>'신청원본'!D334</ns0:f>
        <ns0:v>품질</ns0:v>
      </ns0:c>
      <ns0:c r="E334" t="str">
        <ns0:f>'신청원본'!E334</ns0:f>
        <ns0:v>C05</ns0:v>
      </ns0:c>
      <ns0:c r="F334" t="str">
        <ns0:f>'신청원본'!H334</ns0:f>
        <ns0:v>승인</ns0:v>
      </ns0:c>
      <ns0:c r="G334" s="18" t="n">
        <ns0:f>VLOOKUP(E334,'교육기준'!$B$6:$F$17,3,FALSE)</ns0:f>
        <ns0:v>170009</ns0:v>
      </ns0:c>
      <ns0:c r="H334" s="18" t="n">
        <ns0:f>'신청원본'!G334</ns0:f>
        <ns0:v>4</ns0:v>
      </ns0:c>
      <ns0:c r="I334" s="19" t="n">
        <ns0:f>'신청원본'!I334</ns0:f>
        <ns0:v>0</ns0:v>
      </ns0:c>
      <ns0:c r="J334" s="18" t="n">
        <ns0:f>IF(F334="승인",IF(COUNTA('신청원본'!J334)=0,ROUND(G334*H334*(1-I334),'정책'!$C$8),'신청원본'!J334),0)</ns0:f>
        <ns0:v>680036</ns0:v>
      </ns0:c>
      <ns0:c r="K334" t="n">
        <ns0:f>SUMIFS('출결원본'!$D$6:$D$1445,'출결원본'!$B$6:$B$1445,B334)</ns0:f>
        <ns0:v>3</ns0:v>
      </ns0:c>
      <ns0:c r="L334" t="n">
        <ns0:f>VLOOKUP(B334,'평가원본'!$B$6:$D$485,2,FALSE)</ns0:f>
        <ns0:v>51</ns0:v>
      </ns0:c>
      <ns0:c r="M334" t="n">
        <ns0:f>VLOOKUP(B334,'평가원본'!$B$6:$D$485,3,FALSE)</ns0:f>
        <ns0:v>1</ns0:v>
      </ns0:c>
      <ns0:c r="N334" t="n">
        <ns0:f>VLOOKUP(E334,'교육기준'!$B$6:$F$17,5,FALSE)</ns0:f>
        <ns0:v>70</ns0:v>
      </ns0:c>
      <ns0:c r="O334" t="n">
        <ns0:f>IF(AND(F334="승인",K334&gt;='정책'!$C$6,M334=1,L334&gt;=N334),1,0)</ns0:f>
        <ns0:v>0</ns0:v>
      </ns0:c>
    </ns0:row>
    <ns0:row r="335">
      <ns0:c r="B335" s="17" t="str">
        <ns0:f>'신청원본'!B335</ns0:f>
        <ns0:v>APP000330</ns0:v>
      </ns0:c>
      <ns0:c r="C335" s="17" t="str">
        <ns0:f>'신청원본'!C335</ns0:f>
        <ns0:v>000010</ns0:v>
      </ns0:c>
      <ns0:c r="D335" t="str">
        <ns0:f>'신청원본'!D335</ns0:f>
        <ns0:v>기획</ns0:v>
      </ns0:c>
      <ns0:c r="E335" t="str">
        <ns0:f>'신청원본'!E335</ns0:f>
        <ns0:v>C12</ns0:v>
      </ns0:c>
      <ns0:c r="F335" t="str">
        <ns0:f>'신청원본'!H335</ns0:f>
        <ns0:v>대기</ns0:v>
      </ns0:c>
      <ns0:c r="G335" s="18" t="n">
        <ns0:f>VLOOKUP(E335,'교육기준'!$B$6:$F$17,3,FALSE)</ns0:f>
        <ns0:v>292516</ns0:v>
      </ns0:c>
      <ns0:c r="H335" s="18" t="n">
        <ns0:f>'신청원본'!G335</ns0:f>
        <ns0:v>5</ns0:v>
      </ns0:c>
      <ns0:c r="I335" s="19" t="n">
        <ns0:f>'신청원본'!I335</ns0:f>
        <ns0:v>0.05</ns0:v>
      </ns0:c>
      <ns0:c r="J335" s="18" t="n">
        <ns0:f>IF(F335="승인",IF(COUNTA('신청원본'!J335)=0,ROUND(G335*H335*(1-I335),'정책'!$C$8),'신청원본'!J335),0)</ns0:f>
        <ns0:v>0</ns0:v>
      </ns0:c>
      <ns0:c r="K335" t="n">
        <ns0:f>SUMIFS('출결원본'!$D$6:$D$1445,'출결원본'!$B$6:$B$1445,B335)</ns0:f>
        <ns0:v>3</ns0:v>
      </ns0:c>
      <ns0:c r="L335" t="n">
        <ns0:f>VLOOKUP(B335,'평가원본'!$B$6:$D$485,2,FALSE)</ns0:f>
        <ns0:v>58</ns0:v>
      </ns0:c>
      <ns0:c r="M335" t="n">
        <ns0:f>VLOOKUP(B335,'평가원본'!$B$6:$D$485,3,FALSE)</ns0:f>
        <ns0:v>1</ns0:v>
      </ns0:c>
      <ns0:c r="N335" t="n">
        <ns0:f>VLOOKUP(E335,'교육기준'!$B$6:$F$17,5,FALSE)</ns0:f>
        <ns0:v>80</ns0:v>
      </ns0:c>
      <ns0:c r="O335" t="n">
        <ns0:f>IF(AND(F335="승인",K335&gt;='정책'!$C$6,M335=1,L335&gt;=N335),1,0)</ns0:f>
        <ns0:v>0</ns0:v>
      </ns0:c>
    </ns0:row>
    <ns0:row r="336">
      <ns0:c r="B336" s="17" t="str">
        <ns0:f>'신청원본'!B336</ns0:f>
        <ns0:v>APP000331</ns0:v>
      </ns0:c>
      <ns0:c r="C336" s="17" t="str">
        <ns0:f>'신청원본'!C336</ns0:f>
        <ns0:v>000011</ns0:v>
      </ns0:c>
      <ns0:c r="D336" t="str">
        <ns0:f>'신청원본'!D336</ns0:f>
        <ns0:v>영업</ns0:v>
      </ns0:c>
      <ns0:c r="E336" t="str">
        <ns0:f>'신청원본'!E336</ns0:f>
        <ns0:v>C07</ns0:v>
      </ns0:c>
      <ns0:c r="F336" t="str">
        <ns0:f>'신청원본'!H336</ns0:f>
        <ns0:v>취소</ns0:v>
      </ns0:c>
      <ns0:c r="G336" s="18" t="n">
        <ns0:f>VLOOKUP(E336,'교육기준'!$B$6:$F$17,3,FALSE)</ns0:f>
        <ns0:v>205011</ns0:v>
      </ns0:c>
      <ns0:c r="H336" s="18" t="n">
        <ns0:f>'신청원본'!G336</ns0:f>
        <ns0:v>0</ns0:v>
      </ns0:c>
      <ns0:c r="I336" s="19" t="n">
        <ns0:f>'신청원본'!I336</ns0:f>
        <ns0:v>0.1</ns0:v>
      </ns0:c>
      <ns0:c r="J336" s="18" t="n">
        <ns0:f>IF(F336="승인",IF(COUNTA('신청원본'!J336)=0,ROUND(G336*H336*(1-I336),'정책'!$C$8),'신청원본'!J336),0)</ns0:f>
        <ns0:v>0</ns0:v>
      </ns0:c>
      <ns0:c r="K336" t="n">
        <ns0:f>SUMIFS('출결원본'!$D$6:$D$1445,'출결원본'!$B$6:$B$1445,B336)</ns0:f>
        <ns0:v>3</ns0:v>
      </ns0:c>
      <ns0:c r="L336" t="n">
        <ns0:f>VLOOKUP(B336,'평가원본'!$B$6:$D$485,2,FALSE)</ns0:f>
        <ns0:v>65</ns0:v>
      </ns0:c>
      <ns0:c r="M336" t="n">
        <ns0:f>VLOOKUP(B336,'평가원본'!$B$6:$D$485,3,FALSE)</ns0:f>
        <ns0:v>1</ns0:v>
      </ns0:c>
      <ns0:c r="N336" t="n">
        <ns0:f>VLOOKUP(E336,'교육기준'!$B$6:$F$17,5,FALSE)</ns0:f>
        <ns0:v>60</ns0:v>
      </ns0:c>
      <ns0:c r="O336" t="n">
        <ns0:f>IF(AND(F336="승인",K336&gt;='정책'!$C$6,M336=1,L336&gt;=N336),1,0)</ns0:f>
        <ns0:v>0</ns0:v>
      </ns0:c>
    </ns0:row>
    <ns0:row r="337">
      <ns0:c r="B337" s="17" t="str">
        <ns0:f>'신청원본'!B337</ns0:f>
        <ns0:v>APP000332</ns0:v>
      </ns0:c>
      <ns0:c r="C337" s="17" t="str">
        <ns0:f>'신청원본'!C337</ns0:f>
        <ns0:v>000012</ns0:v>
      </ns0:c>
      <ns0:c r="D337" t="str">
        <ns0:f>'신청원본'!D337</ns0:f>
        <ns0:v>지원</ns0:v>
      </ns0:c>
      <ns0:c r="E337" t="str">
        <ns0:f>'신청원본'!E337</ns0:f>
        <ns0:v>C02</ns0:v>
      </ns0:c>
      <ns0:c r="F337" t="str">
        <ns0:f>'신청원본'!H337</ns0:f>
        <ns0:v>승인</ns0:v>
      </ns0:c>
      <ns0:c r="G337" s="18" t="n">
        <ns0:f>VLOOKUP(E337,'교육기준'!$B$6:$F$17,3,FALSE)</ns0:f>
        <ns0:v>117506</ns0:v>
      </ns0:c>
      <ns0:c r="H337" s="18" t="n">
        <ns0:f>'신청원본'!G337</ns0:f>
        <ns0:v>1</ns0:v>
      </ns0:c>
      <ns0:c r="I337" s="19" t="n">
        <ns0:f>'신청원본'!I337</ns0:f>
        <ns0:v>0.125</ns0:v>
      </ns0:c>
      <ns0:c r="J337" s="18" t="n">
        <ns0:f>IF(F337="승인",IF(COUNTA('신청원본'!J337)=0,ROUND(G337*H337*(1-I337),'정책'!$C$8),'신청원본'!J337),0)</ns0:f>
        <ns0:v>102818</ns0:v>
      </ns0:c>
      <ns0:c r="K337" t="n">
        <ns0:f>SUMIFS('출결원본'!$D$6:$D$1445,'출결원본'!$B$6:$B$1445,B337)</ns0:f>
        <ns0:v>3</ns0:v>
      </ns0:c>
      <ns0:c r="L337" t="n">
        <ns0:f>VLOOKUP(B337,'평가원본'!$B$6:$D$485,2,FALSE)</ns0:f>
        <ns0:v>72</ns0:v>
      </ns0:c>
      <ns0:c r="M337" t="n">
        <ns0:f>VLOOKUP(B337,'평가원본'!$B$6:$D$485,3,FALSE)</ns0:f>
        <ns0:v>1</ns0:v>
      </ns0:c>
      <ns0:c r="N337" t="n">
        <ns0:f>VLOOKUP(E337,'교육기준'!$B$6:$F$17,5,FALSE)</ns0:f>
        <ns0:v>70</ns0:v>
      </ns0:c>
      <ns0:c r="O337" t="n">
        <ns0:f>IF(AND(F337="승인",K337&gt;='정책'!$C$6,M337=1,L337&gt;=N337),1,0)</ns0:f>
        <ns0:v>1</ns0:v>
      </ns0:c>
    </ns0:row>
    <ns0:row r="338">
      <ns0:c r="B338" s="17" t="str">
        <ns0:f>'신청원본'!B338</ns0:f>
        <ns0:v>APP000333</ns0:v>
      </ns0:c>
      <ns0:c r="C338" s="17" t="str">
        <ns0:f>'신청원본'!C338</ns0:f>
        <ns0:v>000013</ns0:v>
      </ns0:c>
      <ns0:c r="D338" t="str">
        <ns0:f>'신청원본'!D338</ns0:f>
        <ns0:v>개발</ns0:v>
      </ns0:c>
      <ns0:c r="E338" t="str">
        <ns0:f>'신청원본'!E338</ns0:f>
        <ns0:v>C09</ns0:v>
      </ns0:c>
      <ns0:c r="F338" t="str">
        <ns0:f>'신청원본'!H338</ns0:f>
        <ns0:v>승인</ns0:v>
      </ns0:c>
      <ns0:c r="G338" s="18" t="n">
        <ns0:f>VLOOKUP(E338,'교육기준'!$B$6:$F$17,3,FALSE)</ns0:f>
        <ns0:v>240013</ns0:v>
      </ns0:c>
      <ns0:c r="H338" s="18" t="n">
        <ns0:f>'신청원본'!G338</ns0:f>
        <ns0:v>2</ns0:v>
      </ns0:c>
      <ns0:c r="I338" s="19" t="n">
        <ns0:f>'신청원본'!I338</ns0:f>
        <ns0:v>0</ns0:v>
      </ns0:c>
      <ns0:c r="J338" s="18" t="n">
        <ns0:f>IF(F338="승인",IF(COUNTA('신청원본'!J338)=0,ROUND(G338*H338*(1-I338),'정책'!$C$8),'신청원본'!J338),0)</ns0:f>
        <ns0:v>480026</ns0:v>
      </ns0:c>
      <ns0:c r="K338" t="n">
        <ns0:f>SUMIFS('출결원본'!$D$6:$D$1445,'출결원본'!$B$6:$B$1445,B338)</ns0:f>
        <ns0:v>3</ns0:v>
      </ns0:c>
      <ns0:c r="L338" t="n">
        <ns0:f>VLOOKUP(B338,'평가원본'!$B$6:$D$485,2,FALSE)</ns0:f>
        <ns0:v>79</ns0:v>
      </ns0:c>
      <ns0:c r="M338" t="n">
        <ns0:f>VLOOKUP(B338,'평가원본'!$B$6:$D$485,3,FALSE)</ns0:f>
        <ns0:v>1</ns0:v>
      </ns0:c>
      <ns0:c r="N338" t="n">
        <ns0:f>VLOOKUP(E338,'교육기준'!$B$6:$F$17,5,FALSE)</ns0:f>
        <ns0:v>80</ns0:v>
      </ns0:c>
      <ns0:c r="O338" t="n">
        <ns0:f>IF(AND(F338="승인",K338&gt;='정책'!$C$6,M338=1,L338&gt;=N338),1,0)</ns0:f>
        <ns0:v>0</ns0:v>
      </ns0:c>
    </ns0:row>
    <ns0:row r="339">
      <ns0:c r="B339" s="17" t="str">
        <ns0:f>'신청원본'!B339</ns0:f>
        <ns0:v>APP000334</ns0:v>
      </ns0:c>
      <ns0:c r="C339" s="17" t="str">
        <ns0:f>'신청원본'!C339</ns0:f>
        <ns0:v>000014</ns0:v>
      </ns0:c>
      <ns0:c r="D339" t="str">
        <ns0:f>'신청원본'!D339</ns0:f>
        <ns0:v>생산</ns0:v>
      </ns0:c>
      <ns0:c r="E339" t="str">
        <ns0:f>'신청원본'!E339</ns0:f>
        <ns0:v>C04</ns0:v>
      </ns0:c>
      <ns0:c r="F339" t="str">
        <ns0:f>'신청원본'!H339</ns0:f>
        <ns0:v>승인</ns0:v>
      </ns0:c>
      <ns0:c r="G339" s="18" t="n">
        <ns0:f>VLOOKUP(E339,'교육기준'!$B$6:$F$17,3,FALSE)</ns0:f>
        <ns0:v>152508</ns0:v>
      </ns0:c>
      <ns0:c r="H339" s="18" t="n">
        <ns0:f>'신청원본'!G339</ns0:f>
        <ns0:v>3</ns0:v>
      </ns0:c>
      <ns0:c r="I339" s="19" t="n">
        <ns0:f>'신청원본'!I339</ns0:f>
        <ns0:v>0.05</ns0:v>
      </ns0:c>
      <ns0:c r="J339" s="18" t="n">
        <ns0:f>IF(F339="승인",IF(COUNTA('신청원본'!J339)=0,ROUND(G339*H339*(1-I339),'정책'!$C$8),'신청원본'!J339),0)</ns0:f>
        <ns0:v>434648</ns0:v>
      </ns0:c>
      <ns0:c r="K339" t="n">
        <ns0:f>SUMIFS('출결원본'!$D$6:$D$1445,'출결원본'!$B$6:$B$1445,B339)</ns0:f>
        <ns0:v>2</ns0:v>
      </ns0:c>
      <ns0:c r="L339" t="n">
        <ns0:f>VLOOKUP(B339,'평가원본'!$B$6:$D$485,2,FALSE)</ns0:f>
        <ns0:v>86</ns0:v>
      </ns0:c>
      <ns0:c r="M339" t="n">
        <ns0:f>VLOOKUP(B339,'평가원본'!$B$6:$D$485,3,FALSE)</ns0:f>
        <ns0:v>1</ns0:v>
      </ns0:c>
      <ns0:c r="N339" t="n">
        <ns0:f>VLOOKUP(E339,'교육기준'!$B$6:$F$17,5,FALSE)</ns0:f>
        <ns0:v>60</ns0:v>
      </ns0:c>
      <ns0:c r="O339" t="n">
        <ns0:f>IF(AND(F339="승인",K339&gt;='정책'!$C$6,M339=1,L339&gt;=N339),1,0)</ns0:f>
        <ns0:v>0</ns0:v>
      </ns0:c>
    </ns0:row>
    <ns0:row r="340">
      <ns0:c r="B340" s="17" t="str">
        <ns0:f>'신청원본'!B340</ns0:f>
        <ns0:v>APP000335</ns0:v>
      </ns0:c>
      <ns0:c r="C340" s="17" t="str">
        <ns0:f>'신청원본'!C340</ns0:f>
        <ns0:v>000015</ns0:v>
      </ns0:c>
      <ns0:c r="D340" t="str">
        <ns0:f>'신청원본'!D340</ns0:f>
        <ns0:v>품질</ns0:v>
      </ns0:c>
      <ns0:c r="E340" t="str">
        <ns0:f>'신청원본'!E340</ns0:f>
        <ns0:v>C11</ns0:v>
      </ns0:c>
      <ns0:c r="F340" t="str">
        <ns0:f>'신청원본'!H340</ns0:f>
        <ns0:v>승인</ns0:v>
      </ns0:c>
      <ns0:c r="G340" s="18" t="n">
        <ns0:f>VLOOKUP(E340,'교육기준'!$B$6:$F$17,3,FALSE)</ns0:f>
        <ns0:v>275015</ns0:v>
      </ns0:c>
      <ns0:c r="H340" s="18" t="n">
        <ns0:f>'신청원본'!G340</ns0:f>
        <ns0:v>4</ns0:v>
      </ns0:c>
      <ns0:c r="I340" s="19" t="n">
        <ns0:f>'신청원본'!I340</ns0:f>
        <ns0:v>0.1</ns0:v>
      </ns0:c>
      <ns0:c r="J340" s="18" t="n">
        <ns0:f>IF(F340="승인",IF(COUNTA('신청원본'!J340)=0,ROUND(G340*H340*(1-I340),'정책'!$C$8),'신청원본'!J340),0)</ns0:f>
        <ns0:v>990054</ns0:v>
      </ns0:c>
      <ns0:c r="K340" t="n">
        <ns0:f>SUMIFS('출결원본'!$D$6:$D$1445,'출결원본'!$B$6:$B$1445,B340)</ns0:f>
        <ns0:v>3</ns0:v>
      </ns0:c>
      <ns0:c r="L340" t="n">
        <ns0:f>VLOOKUP(B340,'평가원본'!$B$6:$D$485,2,FALSE)</ns0:f>
        <ns0:v>93</ns0:v>
      </ns0:c>
      <ns0:c r="M340" t="n">
        <ns0:f>VLOOKUP(B340,'평가원본'!$B$6:$D$485,3,FALSE)</ns0:f>
        <ns0:v>1</ns0:v>
      </ns0:c>
      <ns0:c r="N340" t="n">
        <ns0:f>VLOOKUP(E340,'교육기준'!$B$6:$F$17,5,FALSE)</ns0:f>
        <ns0:v>70</ns0:v>
      </ns0:c>
      <ns0:c r="O340" t="n">
        <ns0:f>IF(AND(F340="승인",K340&gt;='정책'!$C$6,M340=1,L340&gt;=N340),1,0)</ns0:f>
        <ns0:v>1</ns0:v>
      </ns0:c>
    </ns0:row>
    <ns0:row r="341">
      <ns0:c r="B341" s="17" t="str">
        <ns0:f>'신청원본'!B341</ns0:f>
        <ns0:v>APP000336</ns0:v>
      </ns0:c>
      <ns0:c r="C341" s="17" t="str">
        <ns0:f>'신청원본'!C341</ns0:f>
        <ns0:v>000016</ns0:v>
      </ns0:c>
      <ns0:c r="D341" t="str">
        <ns0:f>'신청원본'!D341</ns0:f>
        <ns0:v>기획</ns0:v>
      </ns0:c>
      <ns0:c r="E341" t="str">
        <ns0:f>'신청원본'!E341</ns0:f>
        <ns0:v>C06</ns0:v>
      </ns0:c>
      <ns0:c r="F341" t="str">
        <ns0:f>'신청원본'!H341</ns0:f>
        <ns0:v>승인</ns0:v>
      </ns0:c>
      <ns0:c r="G341" s="18" t="n">
        <ns0:f>VLOOKUP(E341,'교육기준'!$B$6:$F$17,3,FALSE)</ns0:f>
        <ns0:v>187510</ns0:v>
      </ns0:c>
      <ns0:c r="H341" s="18" t="n">
        <ns0:f>'신청원본'!G341</ns0:f>
        <ns0:v>5</ns0:v>
      </ns0:c>
      <ns0:c r="I341" s="19" t="n">
        <ns0:f>'신청원본'!I341</ns0:f>
        <ns0:v>0.125</ns0:v>
      </ns0:c>
      <ns0:c r="J341" s="18" t="n">
        <ns0:f>IF(F341="승인",IF(COUNTA('신청원본'!J341)=0,ROUND(G341*H341*(1-I341),'정책'!$C$8),'신청원본'!J341),0)</ns0:f>
        <ns0:v>820356</ns0:v>
      </ns0:c>
      <ns0:c r="K341" t="n">
        <ns0:f>SUMIFS('출결원본'!$D$6:$D$1445,'출결원본'!$B$6:$B$1445,B341)</ns0:f>
        <ns0:v>3</ns0:v>
      </ns0:c>
      <ns0:c r="L341" t="n">
        <ns0:f>VLOOKUP(B341,'평가원본'!$B$6:$D$485,2,FALSE)</ns0:f>
        <ns0:v>100</ns0:v>
      </ns0:c>
      <ns0:c r="M341" t="n">
        <ns0:f>VLOOKUP(B341,'평가원본'!$B$6:$D$485,3,FALSE)</ns0:f>
        <ns0:v>1</ns0:v>
      </ns0:c>
      <ns0:c r="N341" t="n">
        <ns0:f>VLOOKUP(E341,'교육기준'!$B$6:$F$17,5,FALSE)</ns0:f>
        <ns0:v>80</ns0:v>
      </ns0:c>
      <ns0:c r="O341" t="n">
        <ns0:f>IF(AND(F341="승인",K341&gt;='정책'!$C$6,M341=1,L341&gt;=N341),1,0)</ns0:f>
        <ns0:v>1</ns0:v>
      </ns0:c>
    </ns0:row>
    <ns0:row r="342">
      <ns0:c r="B342" s="17" t="str">
        <ns0:f>'신청원본'!B342</ns0:f>
        <ns0:v>APP000337</ns0:v>
      </ns0:c>
      <ns0:c r="C342" s="17" t="str">
        <ns0:f>'신청원본'!C342</ns0:f>
        <ns0:v>000017</ns0:v>
      </ns0:c>
      <ns0:c r="D342" t="str">
        <ns0:f>'신청원본'!D342</ns0:f>
        <ns0:v>영업</ns0:v>
      </ns0:c>
      <ns0:c r="E342" t="str">
        <ns0:f>'신청원본'!E342</ns0:f>
        <ns0:v>C01</ns0:v>
      </ns0:c>
      <ns0:c r="F342" t="str">
        <ns0:f>'신청원본'!H342</ns0:f>
        <ns0:v>대기</ns0:v>
      </ns0:c>
      <ns0:c r="G342" s="18" t="n">
        <ns0:f>VLOOKUP(E342,'교육기준'!$B$6:$F$17,3,FALSE)</ns0:f>
        <ns0:v>100005</ns0:v>
      </ns0:c>
      <ns0:c r="H342" s="18" t="n">
        <ns0:f>'신청원본'!G342</ns0:f>
        <ns0:v>0</ns0:v>
      </ns0:c>
      <ns0:c r="I342" s="19" t="n">
        <ns0:f>'신청원본'!I342</ns0:f>
        <ns0:v>0</ns0:v>
      </ns0:c>
      <ns0:c r="J342" s="18" t="n">
        <ns0:f>IF(F342="승인",IF(COUNTA('신청원본'!J342)=0,ROUND(G342*H342*(1-I342),'정책'!$C$8),'신청원본'!J342),0)</ns0:f>
        <ns0:v>0</ns0:v>
      </ns0:c>
      <ns0:c r="K342" t="n">
        <ns0:f>SUMIFS('출결원본'!$D$6:$D$1445,'출결원본'!$B$6:$B$1445,B342)</ns0:f>
        <ns0:v>3</ns0:v>
      </ns0:c>
      <ns0:c r="L342" t="n">
        <ns0:f>VLOOKUP(B342,'평가원본'!$B$6:$D$485,2,FALSE)</ns0:f>
        <ns0:v>56</ns0:v>
      </ns0:c>
      <ns0:c r="M342" t="n">
        <ns0:f>VLOOKUP(B342,'평가원본'!$B$6:$D$485,3,FALSE)</ns0:f>
        <ns0:v>1</ns0:v>
      </ns0:c>
      <ns0:c r="N342" t="n">
        <ns0:f>VLOOKUP(E342,'교육기준'!$B$6:$F$17,5,FALSE)</ns0:f>
        <ns0:v>60</ns0:v>
      </ns0:c>
      <ns0:c r="O342" t="n">
        <ns0:f>IF(AND(F342="승인",K342&gt;='정책'!$C$6,M342=1,L342&gt;=N342),1,0)</ns0:f>
        <ns0:v>0</ns0:v>
      </ns0:c>
    </ns0:row>
    <ns0:row r="343">
      <ns0:c r="B343" s="17" t="str">
        <ns0:f>'신청원본'!B343</ns0:f>
        <ns0:v>APP000338</ns0:v>
      </ns0:c>
      <ns0:c r="C343" s="17" t="str">
        <ns0:f>'신청원본'!C343</ns0:f>
        <ns0:v>000018</ns0:v>
      </ns0:c>
      <ns0:c r="D343" t="str">
        <ns0:f>'신청원본'!D343</ns0:f>
        <ns0:v>지원</ns0:v>
      </ns0:c>
      <ns0:c r="E343" t="str">
        <ns0:f>'신청원본'!E343</ns0:f>
        <ns0:v>C08</ns0:v>
      </ns0:c>
      <ns0:c r="F343" t="str">
        <ns0:f>'신청원본'!H343</ns0:f>
        <ns0:v>승인</ns0:v>
      </ns0:c>
      <ns0:c r="G343" s="18" t="n">
        <ns0:f>VLOOKUP(E343,'교육기준'!$B$6:$F$17,3,FALSE)</ns0:f>
        <ns0:v>222512</ns0:v>
      </ns0:c>
      <ns0:c r="H343" s="18" t="n">
        <ns0:f>'신청원본'!G343</ns0:f>
        <ns0:v>1</ns0:v>
      </ns0:c>
      <ns0:c r="I343" s="19" t="n">
        <ns0:f>'신청원본'!I343</ns0:f>
        <ns0:v>0.05</ns0:v>
      </ns0:c>
      <ns0:c r="J343" s="18" t="n">
        <ns0:f>IF(F343="승인",IF(COUNTA('신청원본'!J343)=0,ROUND(G343*H343*(1-I343),'정책'!$C$8),'신청원본'!J343),0)</ns0:f>
        <ns0:v>211386</ns0:v>
      </ns0:c>
      <ns0:c r="K343" t="n">
        <ns0:f>SUMIFS('출결원본'!$D$6:$D$1445,'출결원본'!$B$6:$B$1445,B343)</ns0:f>
        <ns0:v>3</ns0:v>
      </ns0:c>
      <ns0:c r="L343" t="n">
        <ns0:f>VLOOKUP(B343,'평가원본'!$B$6:$D$485,2,FALSE)</ns0:f>
        <ns0:v>63</ns0:v>
      </ns0:c>
      <ns0:c r="M343" t="n">
        <ns0:f>VLOOKUP(B343,'평가원본'!$B$6:$D$485,3,FALSE)</ns0:f>
        <ns0:v>1</ns0:v>
      </ns0:c>
      <ns0:c r="N343" t="n">
        <ns0:f>VLOOKUP(E343,'교육기준'!$B$6:$F$17,5,FALSE)</ns0:f>
        <ns0:v>70</ns0:v>
      </ns0:c>
      <ns0:c r="O343" t="n">
        <ns0:f>IF(AND(F343="승인",K343&gt;='정책'!$C$6,M343=1,L343&gt;=N343),1,0)</ns0:f>
        <ns0:v>0</ns0:v>
      </ns0:c>
    </ns0:row>
    <ns0:row r="344">
      <ns0:c r="B344" s="17" t="str">
        <ns0:f>'신청원본'!B344</ns0:f>
        <ns0:v>APP000339</ns0:v>
      </ns0:c>
      <ns0:c r="C344" s="17" t="str">
        <ns0:f>'신청원본'!C344</ns0:f>
        <ns0:v>000019</ns0:v>
      </ns0:c>
      <ns0:c r="D344" t="str">
        <ns0:f>'신청원본'!D344</ns0:f>
        <ns0:v>개발</ns0:v>
      </ns0:c>
      <ns0:c r="E344" t="str">
        <ns0:f>'신청원본'!E344</ns0:f>
        <ns0:v>C03</ns0:v>
      </ns0:c>
      <ns0:c r="F344" t="str">
        <ns0:f>'신청원본'!H344</ns0:f>
        <ns0:v>승인</ns0:v>
      </ns0:c>
      <ns0:c r="G344" s="18" t="n">
        <ns0:f>VLOOKUP(E344,'교육기준'!$B$6:$F$17,3,FALSE)</ns0:f>
        <ns0:v>135007</ns0:v>
      </ns0:c>
      <ns0:c r="H344" s="18" t="n">
        <ns0:f>'신청원본'!G344</ns0:f>
        <ns0:v>2</ns0:v>
      </ns0:c>
      <ns0:c r="I344" s="19" t="n">
        <ns0:f>'신청원본'!I344</ns0:f>
        <ns0:v>0.1</ns0:v>
      </ns0:c>
      <ns0:c r="J344" s="18" t="n">
        <ns0:f>IF(F344="승인",IF(COUNTA('신청원본'!J344)=0,ROUND(G344*H344*(1-I344),'정책'!$C$8),'신청원본'!J344),0)</ns0:f>
        <ns0:v>243013</ns0:v>
      </ns0:c>
      <ns0:c r="K344" t="n">
        <ns0:f>SUMIFS('출결원본'!$D$6:$D$1445,'출결원본'!$B$6:$B$1445,B344)</ns0:f>
        <ns0:v>2</ns0:v>
      </ns0:c>
      <ns0:c r="L344" t="n">
        <ns0:f>VLOOKUP(B344,'평가원본'!$B$6:$D$485,2,FALSE)</ns0:f>
        <ns0:v>70</ns0:v>
      </ns0:c>
      <ns0:c r="M344" t="n">
        <ns0:f>VLOOKUP(B344,'평가원본'!$B$6:$D$485,3,FALSE)</ns0:f>
        <ns0:v>1</ns0:v>
      </ns0:c>
      <ns0:c r="N344" t="n">
        <ns0:f>VLOOKUP(E344,'교육기준'!$B$6:$F$17,5,FALSE)</ns0:f>
        <ns0:v>80</ns0:v>
      </ns0:c>
      <ns0:c r="O344" t="n">
        <ns0:f>IF(AND(F344="승인",K344&gt;='정책'!$C$6,M344=1,L344&gt;=N344),1,0)</ns0:f>
        <ns0:v>0</ns0:v>
      </ns0:c>
    </ns0:row>
    <ns0:row r="345">
      <ns0:c r="B345" s="17" t="str">
        <ns0:f>'신청원본'!B345</ns0:f>
        <ns0:v>APP000340</ns0:v>
      </ns0:c>
      <ns0:c r="C345" s="17" t="str">
        <ns0:f>'신청원본'!C345</ns0:f>
        <ns0:v>000020</ns0:v>
      </ns0:c>
      <ns0:c r="D345" t="str">
        <ns0:f>'신청원본'!D345</ns0:f>
        <ns0:v>생산</ns0:v>
      </ns0:c>
      <ns0:c r="E345" t="str">
        <ns0:f>'신청원본'!E345</ns0:f>
        <ns0:v>C10</ns0:v>
      </ns0:c>
      <ns0:c r="F345" t="str">
        <ns0:f>'신청원본'!H345</ns0:f>
        <ns0:v>승인</ns0:v>
      </ns0:c>
      <ns0:c r="G345" s="18" t="n">
        <ns0:f>VLOOKUP(E345,'교육기준'!$B$6:$F$17,3,FALSE)</ns0:f>
        <ns0:v>257514</ns0:v>
      </ns0:c>
      <ns0:c r="H345" s="18" t="n">
        <ns0:f>'신청원본'!G345</ns0:f>
        <ns0:v>3</ns0:v>
      </ns0:c>
      <ns0:c r="I345" s="19" t="n">
        <ns0:f>'신청원본'!I345</ns0:f>
        <ns0:v>0.125</ns0:v>
      </ns0:c>
      <ns0:c r="J345" s="18" t="n">
        <ns0:f>IF(F345="승인",IF(COUNTA('신청원본'!J345)=0,ROUND(G345*H345*(1-I345),'정책'!$C$8),'신청원본'!J345),0)</ns0:f>
        <ns0:v>675974</ns0:v>
      </ns0:c>
      <ns0:c r="K345" t="n">
        <ns0:f>SUMIFS('출결원본'!$D$6:$D$1445,'출결원본'!$B$6:$B$1445,B345)</ns0:f>
        <ns0:v>3</ns0:v>
      </ns0:c>
      <ns0:c r="L345" t="n">
        <ns0:f>VLOOKUP(B345,'평가원본'!$B$6:$D$485,2,FALSE)</ns0:f>
        <ns0:v>77</ns0:v>
      </ns0:c>
      <ns0:c r="M345" t="n">
        <ns0:f>VLOOKUP(B345,'평가원본'!$B$6:$D$485,3,FALSE)</ns0:f>
        <ns0:v>1</ns0:v>
      </ns0:c>
      <ns0:c r="N345" t="n">
        <ns0:f>VLOOKUP(E345,'교육기준'!$B$6:$F$17,5,FALSE)</ns0:f>
        <ns0:v>60</ns0:v>
      </ns0:c>
      <ns0:c r="O345" t="n">
        <ns0:f>IF(AND(F345="승인",K345&gt;='정책'!$C$6,M345=1,L345&gt;=N345),1,0)</ns0:f>
        <ns0:v>1</ns0:v>
      </ns0:c>
    </ns0:row>
    <ns0:row r="346">
      <ns0:c r="B346" s="17" t="str">
        <ns0:f>'신청원본'!B346</ns0:f>
        <ns0:v>APP000341</ns0:v>
      </ns0:c>
      <ns0:c r="C346" s="17" t="str">
        <ns0:f>'신청원본'!C346</ns0:f>
        <ns0:v>000021</ns0:v>
      </ns0:c>
      <ns0:c r="D346" t="str">
        <ns0:f>'신청원본'!D346</ns0:f>
        <ns0:v>품질</ns0:v>
      </ns0:c>
      <ns0:c r="E346" t="str">
        <ns0:f>'신청원본'!E346</ns0:f>
        <ns0:v>C05</ns0:v>
      </ns0:c>
      <ns0:c r="F346" t="str">
        <ns0:f>'신청원본'!H346</ns0:f>
        <ns0:v>승인</ns0:v>
      </ns0:c>
      <ns0:c r="G346" s="18" t="n">
        <ns0:f>VLOOKUP(E346,'교육기준'!$B$6:$F$17,3,FALSE)</ns0:f>
        <ns0:v>170009</ns0:v>
      </ns0:c>
      <ns0:c r="H346" s="18" t="n">
        <ns0:f>'신청원본'!G346</ns0:f>
        <ns0:v>4</ns0:v>
      </ns0:c>
      <ns0:c r="I346" s="19" t="n">
        <ns0:f>'신청원본'!I346</ns0:f>
        <ns0:v>0</ns0:v>
      </ns0:c>
      <ns0:c r="J346" s="18" t="n">
        <ns0:f>IF(F346="승인",IF(COUNTA('신청원본'!J346)=0,ROUND(G346*H346*(1-I346),'정책'!$C$8),'신청원본'!J346),0)</ns0:f>
        <ns0:v>680036</ns0:v>
      </ns0:c>
      <ns0:c r="K346" t="n">
        <ns0:f>SUMIFS('출결원본'!$D$6:$D$1445,'출결원본'!$B$6:$B$1445,B346)</ns0:f>
        <ns0:v>3</ns0:v>
      </ns0:c>
      <ns0:c r="L346" t="n">
        <ns0:f>VLOOKUP(B346,'평가원본'!$B$6:$D$485,2,FALSE)</ns0:f>
        <ns0:v>84</ns0:v>
      </ns0:c>
      <ns0:c r="M346" t="n">
        <ns0:f>VLOOKUP(B346,'평가원본'!$B$6:$D$485,3,FALSE)</ns0:f>
        <ns0:v>1</ns0:v>
      </ns0:c>
      <ns0:c r="N346" t="n">
        <ns0:f>VLOOKUP(E346,'교육기준'!$B$6:$F$17,5,FALSE)</ns0:f>
        <ns0:v>70</ns0:v>
      </ns0:c>
      <ns0:c r="O346" t="n">
        <ns0:f>IF(AND(F346="승인",K346&gt;='정책'!$C$6,M346=1,L346&gt;=N346),1,0)</ns0:f>
        <ns0:v>1</ns0:v>
      </ns0:c>
    </ns0:row>
    <ns0:row r="347">
      <ns0:c r="B347" s="17" t="str">
        <ns0:f>'신청원본'!B347</ns0:f>
        <ns0:v>APP000342</ns0:v>
      </ns0:c>
      <ns0:c r="C347" s="17" t="str">
        <ns0:f>'신청원본'!C347</ns0:f>
        <ns0:v>000022</ns0:v>
      </ns0:c>
      <ns0:c r="D347" t="str">
        <ns0:f>'신청원본'!D347</ns0:f>
        <ns0:v>기획</ns0:v>
      </ns0:c>
      <ns0:c r="E347" t="str">
        <ns0:f>'신청원본'!E347</ns0:f>
        <ns0:v>C12</ns0:v>
      </ns0:c>
      <ns0:c r="F347" t="str">
        <ns0:f>'신청원본'!H347</ns0:f>
        <ns0:v>취소</ns0:v>
      </ns0:c>
      <ns0:c r="G347" s="18" t="n">
        <ns0:f>VLOOKUP(E347,'교육기준'!$B$6:$F$17,3,FALSE)</ns0:f>
        <ns0:v>292516</ns0:v>
      </ns0:c>
      <ns0:c r="H347" s="18" t="n">
        <ns0:f>'신청원본'!G347</ns0:f>
        <ns0:v>5</ns0:v>
      </ns0:c>
      <ns0:c r="I347" s="19" t="n">
        <ns0:f>'신청원본'!I347</ns0:f>
        <ns0:v>0.05</ns0:v>
      </ns0:c>
      <ns0:c r="J347" s="18" t="n">
        <ns0:f>IF(F347="승인",IF(COUNTA('신청원본'!J347)=0,ROUND(G347*H347*(1-I347),'정책'!$C$8),'신청원본'!J347),0)</ns0:f>
        <ns0:v>0</ns0:v>
      </ns0:c>
      <ns0:c r="K347" t="n">
        <ns0:f>SUMIFS('출결원본'!$D$6:$D$1445,'출결원본'!$B$6:$B$1445,B347)</ns0:f>
        <ns0:v>3</ns0:v>
      </ns0:c>
      <ns0:c r="L347" t="n">
        <ns0:f>VLOOKUP(B347,'평가원본'!$B$6:$D$485,2,FALSE)</ns0:f>
        <ns0:v>91</ns0:v>
      </ns0:c>
      <ns0:c r="M347" t="n">
        <ns0:f>VLOOKUP(B347,'평가원본'!$B$6:$D$485,3,FALSE)</ns0:f>
        <ns0:v>1</ns0:v>
      </ns0:c>
      <ns0:c r="N347" t="n">
        <ns0:f>VLOOKUP(E347,'교육기준'!$B$6:$F$17,5,FALSE)</ns0:f>
        <ns0:v>80</ns0:v>
      </ns0:c>
      <ns0:c r="O347" t="n">
        <ns0:f>IF(AND(F347="승인",K347&gt;='정책'!$C$6,M347=1,L347&gt;=N347),1,0)</ns0:f>
        <ns0:v>0</ns0:v>
      </ns0:c>
    </ns0:row>
    <ns0:row r="348">
      <ns0:c r="B348" s="17" t="str">
        <ns0:f>'신청원본'!B348</ns0:f>
        <ns0:v>APP000343</ns0:v>
      </ns0:c>
      <ns0:c r="C348" s="17" t="str">
        <ns0:f>'신청원본'!C348</ns0:f>
        <ns0:v>000023</ns0:v>
      </ns0:c>
      <ns0:c r="D348" t="str">
        <ns0:f>'신청원본'!D348</ns0:f>
        <ns0:v>영업</ns0:v>
      </ns0:c>
      <ns0:c r="E348" t="str">
        <ns0:f>'신청원본'!E348</ns0:f>
        <ns0:v>C07</ns0:v>
      </ns0:c>
      <ns0:c r="F348" t="str">
        <ns0:f>'신청원본'!H348</ns0:f>
        <ns0:v>승인</ns0:v>
      </ns0:c>
      <ns0:c r="G348" s="18" t="n">
        <ns0:f>VLOOKUP(E348,'교육기준'!$B$6:$F$17,3,FALSE)</ns0:f>
        <ns0:v>205011</ns0:v>
      </ns0:c>
      <ns0:c r="H348" s="18" t="n">
        <ns0:f>'신청원본'!G348</ns0:f>
        <ns0:v>0</ns0:v>
      </ns0:c>
      <ns0:c r="I348" s="19" t="n">
        <ns0:f>'신청원본'!I348</ns0:f>
        <ns0:v>0.1</ns0:v>
      </ns0:c>
      <ns0:c r="J348" s="18" t="n">
        <ns0:f>IF(F348="승인",IF(COUNTA('신청원본'!J348)=0,ROUND(G348*H348*(1-I348),'정책'!$C$8),'신청원본'!J348),0)</ns0:f>
        <ns0:v>0</ns0:v>
      </ns0:c>
      <ns0:c r="K348" t="n">
        <ns0:f>SUMIFS('출결원본'!$D$6:$D$1445,'출결원본'!$B$6:$B$1445,B348)</ns0:f>
        <ns0:v>2</ns0:v>
      </ns0:c>
      <ns0:c r="L348" t="n">
        <ns0:f>VLOOKUP(B348,'평가원본'!$B$6:$D$485,2,FALSE)</ns0:f>
        <ns0:v>98</ns0:v>
      </ns0:c>
      <ns0:c r="M348" t="n">
        <ns0:f>VLOOKUP(B348,'평가원본'!$B$6:$D$485,3,FALSE)</ns0:f>
        <ns0:v>0</ns0:v>
      </ns0:c>
      <ns0:c r="N348" t="n">
        <ns0:f>VLOOKUP(E348,'교육기준'!$B$6:$F$17,5,FALSE)</ns0:f>
        <ns0:v>60</ns0:v>
      </ns0:c>
      <ns0:c r="O348" t="n">
        <ns0:f>IF(AND(F348="승인",K348&gt;='정책'!$C$6,M348=1,L348&gt;=N348),1,0)</ns0:f>
        <ns0:v>0</ns0:v>
      </ns0:c>
    </ns0:row>
    <ns0:row r="349">
      <ns0:c r="B349" s="17" t="str">
        <ns0:f>'신청원본'!B349</ns0:f>
        <ns0:v>APP000344</ns0:v>
      </ns0:c>
      <ns0:c r="C349" s="17" t="str">
        <ns0:f>'신청원본'!C349</ns0:f>
        <ns0:v>000024</ns0:v>
      </ns0:c>
      <ns0:c r="D349" t="str">
        <ns0:f>'신청원본'!D349</ns0:f>
        <ns0:v>지원</ns0:v>
      </ns0:c>
      <ns0:c r="E349" t="str">
        <ns0:f>'신청원본'!E349</ns0:f>
        <ns0:v>C02</ns0:v>
      </ns0:c>
      <ns0:c r="F349" t="str">
        <ns0:f>'신청원본'!H349</ns0:f>
        <ns0:v>대기</ns0:v>
      </ns0:c>
      <ns0:c r="G349" s="18" t="n">
        <ns0:f>VLOOKUP(E349,'교육기준'!$B$6:$F$17,3,FALSE)</ns0:f>
        <ns0:v>117506</ns0:v>
      </ns0:c>
      <ns0:c r="H349" s="18" t="n">
        <ns0:f>'신청원본'!G349</ns0:f>
        <ns0:v>1</ns0:v>
      </ns0:c>
      <ns0:c r="I349" s="19" t="n">
        <ns0:f>'신청원본'!I349</ns0:f>
        <ns0:v>0.125</ns0:v>
      </ns0:c>
      <ns0:c r="J349" s="18" t="n">
        <ns0:f>IF(F349="승인",IF(COUNTA('신청원본'!J349)=0,ROUND(G349*H349*(1-I349),'정책'!$C$8),'신청원본'!J349),0)</ns0:f>
        <ns0:v>0</ns0:v>
      </ns0:c>
      <ns0:c r="K349" t="n">
        <ns0:f>SUMIFS('출결원본'!$D$6:$D$1445,'출결원본'!$B$6:$B$1445,B349)</ns0:f>
        <ns0:v>3</ns0:v>
      </ns0:c>
      <ns0:c r="L349" t="n">
        <ns0:f>VLOOKUP(B349,'평가원본'!$B$6:$D$485,2,FALSE)</ns0:f>
        <ns0:v>54</ns0:v>
      </ns0:c>
      <ns0:c r="M349" t="n">
        <ns0:f>VLOOKUP(B349,'평가원본'!$B$6:$D$485,3,FALSE)</ns0:f>
        <ns0:v>1</ns0:v>
      </ns0:c>
      <ns0:c r="N349" t="n">
        <ns0:f>VLOOKUP(E349,'교육기준'!$B$6:$F$17,5,FALSE)</ns0:f>
        <ns0:v>70</ns0:v>
      </ns0:c>
      <ns0:c r="O349" t="n">
        <ns0:f>IF(AND(F349="승인",K349&gt;='정책'!$C$6,M349=1,L349&gt;=N349),1,0)</ns0:f>
        <ns0:v>0</ns0:v>
      </ns0:c>
    </ns0:row>
    <ns0:row r="350">
      <ns0:c r="B350" s="17" t="str">
        <ns0:f>'신청원본'!B350</ns0:f>
        <ns0:v>APP000345</ns0:v>
      </ns0:c>
      <ns0:c r="C350" s="17" t="str">
        <ns0:f>'신청원본'!C350</ns0:f>
        <ns0:v>000025</ns0:v>
      </ns0:c>
      <ns0:c r="D350" t="str">
        <ns0:f>'신청원본'!D350</ns0:f>
        <ns0:v>개발</ns0:v>
      </ns0:c>
      <ns0:c r="E350" t="str">
        <ns0:f>'신청원본'!E350</ns0:f>
        <ns0:v>C09</ns0:v>
      </ns0:c>
      <ns0:c r="F350" t="str">
        <ns0:f>'신청원본'!H350</ns0:f>
        <ns0:v>승인</ns0:v>
      </ns0:c>
      <ns0:c r="G350" s="18" t="n">
        <ns0:f>VLOOKUP(E350,'교육기준'!$B$6:$F$17,3,FALSE)</ns0:f>
        <ns0:v>240013</ns0:v>
      </ns0:c>
      <ns0:c r="H350" s="18" t="n">
        <ns0:f>'신청원본'!G350</ns0:f>
        <ns0:v>2</ns0:v>
      </ns0:c>
      <ns0:c r="I350" s="19" t="n">
        <ns0:f>'신청원본'!I350</ns0:f>
        <ns0:v>0</ns0:v>
      </ns0:c>
      <ns0:c r="J350" s="18" t="n">
        <ns0:f>IF(F350="승인",IF(COUNTA('신청원본'!J350)=0,ROUND(G350*H350*(1-I350),'정책'!$C$8),'신청원본'!J350),0)</ns0:f>
        <ns0:v>480026</ns0:v>
      </ns0:c>
      <ns0:c r="K350" t="n">
        <ns0:f>SUMIFS('출결원본'!$D$6:$D$1445,'출결원본'!$B$6:$B$1445,B350)</ns0:f>
        <ns0:v>3</ns0:v>
      </ns0:c>
      <ns0:c r="L350" t="n">
        <ns0:f>VLOOKUP(B350,'평가원본'!$B$6:$D$485,2,FALSE)</ns0:f>
        <ns0:v>61</ns0:v>
      </ns0:c>
      <ns0:c r="M350" t="n">
        <ns0:f>VLOOKUP(B350,'평가원본'!$B$6:$D$485,3,FALSE)</ns0:f>
        <ns0:v>1</ns0:v>
      </ns0:c>
      <ns0:c r="N350" t="n">
        <ns0:f>VLOOKUP(E350,'교육기준'!$B$6:$F$17,5,FALSE)</ns0:f>
        <ns0:v>80</ns0:v>
      </ns0:c>
      <ns0:c r="O350" t="n">
        <ns0:f>IF(AND(F350="승인",K350&gt;='정책'!$C$6,M350=1,L350&gt;=N350),1,0)</ns0:f>
        <ns0:v>0</ns0:v>
      </ns0:c>
    </ns0:row>
    <ns0:row r="351">
      <ns0:c r="B351" s="17" t="str">
        <ns0:f>'신청원본'!B351</ns0:f>
        <ns0:v>APP000346</ns0:v>
      </ns0:c>
      <ns0:c r="C351" s="17" t="str">
        <ns0:f>'신청원본'!C351</ns0:f>
        <ns0:v>000026</ns0:v>
      </ns0:c>
      <ns0:c r="D351" t="str">
        <ns0:f>'신청원본'!D351</ns0:f>
        <ns0:v>생산</ns0:v>
      </ns0:c>
      <ns0:c r="E351" t="str">
        <ns0:f>'신청원본'!E351</ns0:f>
        <ns0:v>C04</ns0:v>
      </ns0:c>
      <ns0:c r="F351" t="str">
        <ns0:f>'신청원본'!H351</ns0:f>
        <ns0:v>승인</ns0:v>
      </ns0:c>
      <ns0:c r="G351" s="18" t="n">
        <ns0:f>VLOOKUP(E351,'교육기준'!$B$6:$F$17,3,FALSE)</ns0:f>
        <ns0:v>152508</ns0:v>
      </ns0:c>
      <ns0:c r="H351" s="18" t="n">
        <ns0:f>'신청원본'!G351</ns0:f>
        <ns0:v>3</ns0:v>
      </ns0:c>
      <ns0:c r="I351" s="19" t="n">
        <ns0:f>'신청원본'!I351</ns0:f>
        <ns0:v>0.05</ns0:v>
      </ns0:c>
      <ns0:c r="J351" s="18" t="n">
        <ns0:f>IF(F351="승인",IF(COUNTA('신청원본'!J351)=0,ROUND(G351*H351*(1-I351),'정책'!$C$8),'신청원본'!J351),0)</ns0:f>
        <ns0:v>434648</ns0:v>
      </ns0:c>
      <ns0:c r="K351" t="n">
        <ns0:f>SUMIFS('출결원본'!$D$6:$D$1445,'출결원본'!$B$6:$B$1445,B351)</ns0:f>
        <ns0:v>3</ns0:v>
      </ns0:c>
      <ns0:c r="L351" t="n">
        <ns0:f>VLOOKUP(B351,'평가원본'!$B$6:$D$485,2,FALSE)</ns0:f>
        <ns0:v>68</ns0:v>
      </ns0:c>
      <ns0:c r="M351" t="n">
        <ns0:f>VLOOKUP(B351,'평가원본'!$B$6:$D$485,3,FALSE)</ns0:f>
        <ns0:v>1</ns0:v>
      </ns0:c>
      <ns0:c r="N351" t="n">
        <ns0:f>VLOOKUP(E351,'교육기준'!$B$6:$F$17,5,FALSE)</ns0:f>
        <ns0:v>60</ns0:v>
      </ns0:c>
      <ns0:c r="O351" t="n">
        <ns0:f>IF(AND(F351="승인",K351&gt;='정책'!$C$6,M351=1,L351&gt;=N351),1,0)</ns0:f>
        <ns0:v>1</ns0:v>
      </ns0:c>
    </ns0:row>
    <ns0:row r="352">
      <ns0:c r="B352" s="17" t="str">
        <ns0:f>'신청원본'!B352</ns0:f>
        <ns0:v>APP000347</ns0:v>
      </ns0:c>
      <ns0:c r="C352" s="17" t="str">
        <ns0:f>'신청원본'!C352</ns0:f>
        <ns0:v>000027</ns0:v>
      </ns0:c>
      <ns0:c r="D352" t="str">
        <ns0:f>'신청원본'!D352</ns0:f>
        <ns0:v>품질</ns0:v>
      </ns0:c>
      <ns0:c r="E352" t="str">
        <ns0:f>'신청원본'!E352</ns0:f>
        <ns0:v>C11</ns0:v>
      </ns0:c>
      <ns0:c r="F352" t="str">
        <ns0:f>'신청원본'!H352</ns0:f>
        <ns0:v>승인</ns0:v>
      </ns0:c>
      <ns0:c r="G352" s="18" t="n">
        <ns0:f>VLOOKUP(E352,'교육기준'!$B$6:$F$17,3,FALSE)</ns0:f>
        <ns0:v>275015</ns0:v>
      </ns0:c>
      <ns0:c r="H352" s="18" t="n">
        <ns0:f>'신청원본'!G352</ns0:f>
        <ns0:v>4</ns0:v>
      </ns0:c>
      <ns0:c r="I352" s="19" t="n">
        <ns0:f>'신청원본'!I352</ns0:f>
        <ns0:v>0.1</ns0:v>
      </ns0:c>
      <ns0:c r="J352" s="18" t="n">
        <ns0:f>IF(F352="승인",IF(COUNTA('신청원본'!J352)=0,ROUND(G352*H352*(1-I352),'정책'!$C$8),'신청원본'!J352),0)</ns0:f>
        <ns0:v>990054</ns0:v>
      </ns0:c>
      <ns0:c r="K352" t="n">
        <ns0:f>SUMIFS('출결원본'!$D$6:$D$1445,'출결원본'!$B$6:$B$1445,B352)</ns0:f>
        <ns0:v>3</ns0:v>
      </ns0:c>
      <ns0:c r="L352" t="n">
        <ns0:f>VLOOKUP(B352,'평가원본'!$B$6:$D$485,2,FALSE)</ns0:f>
        <ns0:v>75</ns0:v>
      </ns0:c>
      <ns0:c r="M352" t="n">
        <ns0:f>VLOOKUP(B352,'평가원본'!$B$6:$D$485,3,FALSE)</ns0:f>
        <ns0:v>1</ns0:v>
      </ns0:c>
      <ns0:c r="N352" t="n">
        <ns0:f>VLOOKUP(E352,'교육기준'!$B$6:$F$17,5,FALSE)</ns0:f>
        <ns0:v>70</ns0:v>
      </ns0:c>
      <ns0:c r="O352" t="n">
        <ns0:f>IF(AND(F352="승인",K352&gt;='정책'!$C$6,M352=1,L352&gt;=N352),1,0)</ns0:f>
        <ns0:v>1</ns0:v>
      </ns0:c>
    </ns0:row>
    <ns0:row r="353">
      <ns0:c r="B353" s="17" t="str">
        <ns0:f>'신청원본'!B353</ns0:f>
        <ns0:v>APP000348</ns0:v>
      </ns0:c>
      <ns0:c r="C353" s="17" t="str">
        <ns0:f>'신청원본'!C353</ns0:f>
        <ns0:v>000028</ns0:v>
      </ns0:c>
      <ns0:c r="D353" t="str">
        <ns0:f>'신청원본'!D353</ns0:f>
        <ns0:v>기획</ns0:v>
      </ns0:c>
      <ns0:c r="E353" t="str">
        <ns0:f>'신청원본'!E353</ns0:f>
        <ns0:v>C06</ns0:v>
      </ns0:c>
      <ns0:c r="F353" t="str">
        <ns0:f>'신청원본'!H353</ns0:f>
        <ns0:v>승인</ns0:v>
      </ns0:c>
      <ns0:c r="G353" s="18" t="n">
        <ns0:f>VLOOKUP(E353,'교육기준'!$B$6:$F$17,3,FALSE)</ns0:f>
        <ns0:v>187510</ns0:v>
      </ns0:c>
      <ns0:c r="H353" s="18" t="n">
        <ns0:f>'신청원본'!G353</ns0:f>
        <ns0:v>5</ns0:v>
      </ns0:c>
      <ns0:c r="I353" s="19" t="n">
        <ns0:f>'신청원본'!I353</ns0:f>
        <ns0:v>0.125</ns0:v>
      </ns0:c>
      <ns0:c r="J353" s="18" t="n">
        <ns0:f>IF(F353="승인",IF(COUNTA('신청원본'!J353)=0,ROUND(G353*H353*(1-I353),'정책'!$C$8),'신청원본'!J353),0)</ns0:f>
        <ns0:v>820356</ns0:v>
      </ns0:c>
      <ns0:c r="K353" t="n">
        <ns0:f>SUMIFS('출결원본'!$D$6:$D$1445,'출결원본'!$B$6:$B$1445,B353)</ns0:f>
        <ns0:v>3</ns0:v>
      </ns0:c>
      <ns0:c r="L353" t="n">
        <ns0:f>VLOOKUP(B353,'평가원본'!$B$6:$D$485,2,FALSE)</ns0:f>
        <ns0:v>82</ns0:v>
      </ns0:c>
      <ns0:c r="M353" t="n">
        <ns0:f>VLOOKUP(B353,'평가원본'!$B$6:$D$485,3,FALSE)</ns0:f>
        <ns0:v>1</ns0:v>
      </ns0:c>
      <ns0:c r="N353" t="n">
        <ns0:f>VLOOKUP(E353,'교육기준'!$B$6:$F$17,5,FALSE)</ns0:f>
        <ns0:v>80</ns0:v>
      </ns0:c>
      <ns0:c r="O353" t="n">
        <ns0:f>IF(AND(F353="승인",K353&gt;='정책'!$C$6,M353=1,L353&gt;=N353),1,0)</ns0:f>
        <ns0:v>1</ns0:v>
      </ns0:c>
    </ns0:row>
    <ns0:row r="354">
      <ns0:c r="B354" s="17" t="str">
        <ns0:f>'신청원본'!B354</ns0:f>
        <ns0:v>APP000349</ns0:v>
      </ns0:c>
      <ns0:c r="C354" s="17" t="str">
        <ns0:f>'신청원본'!C354</ns0:f>
        <ns0:v>000029</ns0:v>
      </ns0:c>
      <ns0:c r="D354" t="str">
        <ns0:f>'신청원본'!D354</ns0:f>
        <ns0:v>영업</ns0:v>
      </ns0:c>
      <ns0:c r="E354" t="str">
        <ns0:f>'신청원본'!E354</ns0:f>
        <ns0:v>C01</ns0:v>
      </ns0:c>
      <ns0:c r="F354" t="str">
        <ns0:f>'신청원본'!H354</ns0:f>
        <ns0:v>승인</ns0:v>
      </ns0:c>
      <ns0:c r="G354" s="18" t="n">
        <ns0:f>VLOOKUP(E354,'교육기준'!$B$6:$F$17,3,FALSE)</ns0:f>
        <ns0:v>100005</ns0:v>
      </ns0:c>
      <ns0:c r="H354" s="18" t="n">
        <ns0:f>'신청원본'!G354</ns0:f>
        <ns0:v>0</ns0:v>
      </ns0:c>
      <ns0:c r="I354" s="19" t="n">
        <ns0:f>'신청원본'!I354</ns0:f>
        <ns0:v>0</ns0:v>
      </ns0:c>
      <ns0:c r="J354" s="18" t="n">
        <ns0:f>IF(F354="승인",IF(COUNTA('신청원본'!J354)=0,ROUND(G354*H354*(1-I354),'정책'!$C$8),'신청원본'!J354),0)</ns0:f>
        <ns0:v>0</ns0:v>
      </ns0:c>
      <ns0:c r="K354" t="n">
        <ns0:f>SUMIFS('출결원본'!$D$6:$D$1445,'출결원본'!$B$6:$B$1445,B354)</ns0:f>
        <ns0:v>3</ns0:v>
      </ns0:c>
      <ns0:c r="L354" t="n">
        <ns0:f>VLOOKUP(B354,'평가원본'!$B$6:$D$485,2,FALSE)</ns0:f>
        <ns0:v>89</ns0:v>
      </ns0:c>
      <ns0:c r="M354" t="n">
        <ns0:f>VLOOKUP(B354,'평가원본'!$B$6:$D$485,3,FALSE)</ns0:f>
        <ns0:v>1</ns0:v>
      </ns0:c>
      <ns0:c r="N354" t="n">
        <ns0:f>VLOOKUP(E354,'교육기준'!$B$6:$F$17,5,FALSE)</ns0:f>
        <ns0:v>60</ns0:v>
      </ns0:c>
      <ns0:c r="O354" t="n">
        <ns0:f>IF(AND(F354="승인",K354&gt;='정책'!$C$6,M354=1,L354&gt;=N354),1,0)</ns0:f>
        <ns0:v>1</ns0:v>
      </ns0:c>
    </ns0:row>
    <ns0:row r="355">
      <ns0:c r="B355" s="17" t="str">
        <ns0:f>'신청원본'!B355</ns0:f>
        <ns0:v>APP000350</ns0:v>
      </ns0:c>
      <ns0:c r="C355" s="17" t="str">
        <ns0:f>'신청원본'!C355</ns0:f>
        <ns0:v>000030</ns0:v>
      </ns0:c>
      <ns0:c r="D355" t="str">
        <ns0:f>'신청원본'!D355</ns0:f>
        <ns0:v>지원</ns0:v>
      </ns0:c>
      <ns0:c r="E355" t="str">
        <ns0:f>'신청원본'!E355</ns0:f>
        <ns0:v>C08</ns0:v>
      </ns0:c>
      <ns0:c r="F355" t="str">
        <ns0:f>'신청원본'!H355</ns0:f>
        <ns0:v>승인</ns0:v>
      </ns0:c>
      <ns0:c r="G355" s="18" t="n">
        <ns0:f>VLOOKUP(E355,'교육기준'!$B$6:$F$17,3,FALSE)</ns0:f>
        <ns0:v>222512</ns0:v>
      </ns0:c>
      <ns0:c r="H355" s="18" t="n">
        <ns0:f>'신청원본'!G355</ns0:f>
        <ns0:v>1</ns0:v>
      </ns0:c>
      <ns0:c r="I355" s="19" t="n">
        <ns0:f>'신청원본'!I355</ns0:f>
        <ns0:v>0.05</ns0:v>
      </ns0:c>
      <ns0:c r="J355" s="18" t="n">
        <ns0:f>IF(F355="승인",IF(COUNTA('신청원본'!J355)=0,ROUND(G355*H355*(1-I355),'정책'!$C$8),'신청원본'!J355),0)</ns0:f>
        <ns0:v>211386</ns0:v>
      </ns0:c>
      <ns0:c r="K355" t="n">
        <ns0:f>SUMIFS('출결원본'!$D$6:$D$1445,'출결원본'!$B$6:$B$1445,B355)</ns0:f>
        <ns0:v>3</ns0:v>
      </ns0:c>
      <ns0:c r="L355" t="n">
        <ns0:f>VLOOKUP(B355,'평가원본'!$B$6:$D$485,2,FALSE)</ns0:f>
        <ns0:v>96</ns0:v>
      </ns0:c>
      <ns0:c r="M355" t="n">
        <ns0:f>VLOOKUP(B355,'평가원본'!$B$6:$D$485,3,FALSE)</ns0:f>
        <ns0:v>1</ns0:v>
      </ns0:c>
      <ns0:c r="N355" t="n">
        <ns0:f>VLOOKUP(E355,'교육기준'!$B$6:$F$17,5,FALSE)</ns0:f>
        <ns0:v>70</ns0:v>
      </ns0:c>
      <ns0:c r="O355" t="n">
        <ns0:f>IF(AND(F355="승인",K355&gt;='정책'!$C$6,M355=1,L355&gt;=N355),1,0)</ns0:f>
        <ns0:v>1</ns0:v>
      </ns0:c>
    </ns0:row>
    <ns0:row r="356">
      <ns0:c r="B356" s="17" t="str">
        <ns0:f>'신청원본'!B356</ns0:f>
        <ns0:v>APP000351</ns0:v>
      </ns0:c>
      <ns0:c r="C356" s="17" t="str">
        <ns0:f>'신청원본'!C356</ns0:f>
        <ns0:v>000031</ns0:v>
      </ns0:c>
      <ns0:c r="D356" t="str">
        <ns0:f>'신청원본'!D356</ns0:f>
        <ns0:v>개발</ns0:v>
      </ns0:c>
      <ns0:c r="E356" t="str">
        <ns0:f>'신청원본'!E356</ns0:f>
        <ns0:v>C03</ns0:v>
      </ns0:c>
      <ns0:c r="F356" t="str">
        <ns0:f>'신청원본'!H356</ns0:f>
        <ns0:v>대기</ns0:v>
      </ns0:c>
      <ns0:c r="G356" s="18" t="n">
        <ns0:f>VLOOKUP(E356,'교육기준'!$B$6:$F$17,3,FALSE)</ns0:f>
        <ns0:v>135007</ns0:v>
      </ns0:c>
      <ns0:c r="H356" s="18" t="n">
        <ns0:f>'신청원본'!G356</ns0:f>
        <ns0:v>2</ns0:v>
      </ns0:c>
      <ns0:c r="I356" s="19" t="n">
        <ns0:f>'신청원본'!I356</ns0:f>
        <ns0:v>0.1</ns0:v>
      </ns0:c>
      <ns0:c r="J356" s="18" t="n">
        <ns0:f>IF(F356="승인",IF(COUNTA('신청원본'!J356)=0,ROUND(G356*H356*(1-I356),'정책'!$C$8),'신청원본'!J356),0)</ns0:f>
        <ns0:v>0</ns0:v>
      </ns0:c>
      <ns0:c r="K356" t="n">
        <ns0:f>SUMIFS('출결원본'!$D$6:$D$1445,'출결원본'!$B$6:$B$1445,B356)</ns0:f>
        <ns0:v>3</ns0:v>
      </ns0:c>
      <ns0:c r="L356" t="n">
        <ns0:f>VLOOKUP(B356,'평가원본'!$B$6:$D$485,2,FALSE)</ns0:f>
        <ns0:v>52</ns0:v>
      </ns0:c>
      <ns0:c r="M356" t="n">
        <ns0:f>VLOOKUP(B356,'평가원본'!$B$6:$D$485,3,FALSE)</ns0:f>
        <ns0:v>1</ns0:v>
      </ns0:c>
      <ns0:c r="N356" t="n">
        <ns0:f>VLOOKUP(E356,'교육기준'!$B$6:$F$17,5,FALSE)</ns0:f>
        <ns0:v>80</ns0:v>
      </ns0:c>
      <ns0:c r="O356" t="n">
        <ns0:f>IF(AND(F356="승인",K356&gt;='정책'!$C$6,M356=1,L356&gt;=N356),1,0)</ns0:f>
        <ns0:v>0</ns0:v>
      </ns0:c>
    </ns0:row>
    <ns0:row r="357">
      <ns0:c r="B357" s="17" t="str">
        <ns0:f>'신청원본'!B357</ns0:f>
        <ns0:v>APP000352</ns0:v>
      </ns0:c>
      <ns0:c r="C357" s="17" t="str">
        <ns0:f>'신청원본'!C357</ns0:f>
        <ns0:v>000032</ns0:v>
      </ns0:c>
      <ns0:c r="D357" t="str">
        <ns0:f>'신청원본'!D357</ns0:f>
        <ns0:v>생산</ns0:v>
      </ns0:c>
      <ns0:c r="E357" t="str">
        <ns0:f>'신청원본'!E357</ns0:f>
        <ns0:v>C10</ns0:v>
      </ns0:c>
      <ns0:c r="F357" t="str">
        <ns0:f>'신청원본'!H357</ns0:f>
        <ns0:v>승인</ns0:v>
      </ns0:c>
      <ns0:c r="G357" s="18" t="n">
        <ns0:f>VLOOKUP(E357,'교육기준'!$B$6:$F$17,3,FALSE)</ns0:f>
        <ns0:v>257514</ns0:v>
      </ns0:c>
      <ns0:c r="H357" s="18" t="n">
        <ns0:f>'신청원본'!G357</ns0:f>
        <ns0:v>3</ns0:v>
      </ns0:c>
      <ns0:c r="I357" s="19" t="n">
        <ns0:f>'신청원본'!I357</ns0:f>
        <ns0:v>0.125</ns0:v>
      </ns0:c>
      <ns0:c r="J357" s="18" t="n">
        <ns0:f>IF(F357="승인",IF(COUNTA('신청원본'!J357)=0,ROUND(G357*H357*(1-I357),'정책'!$C$8),'신청원본'!J357),0)</ns0:f>
        <ns0:v>675974</ns0:v>
      </ns0:c>
      <ns0:c r="K357" t="n">
        <ns0:f>SUMIFS('출결원본'!$D$6:$D$1445,'출결원본'!$B$6:$B$1445,B357)</ns0:f>
        <ns0:v>1</ns0:v>
      </ns0:c>
      <ns0:c r="L357" t="n">
        <ns0:f>VLOOKUP(B357,'평가원본'!$B$6:$D$485,2,FALSE)</ns0:f>
        <ns0:v>59</ns0:v>
      </ns0:c>
      <ns0:c r="M357" t="n">
        <ns0:f>VLOOKUP(B357,'평가원본'!$B$6:$D$485,3,FALSE)</ns0:f>
        <ns0:v>1</ns0:v>
      </ns0:c>
      <ns0:c r="N357" t="n">
        <ns0:f>VLOOKUP(E357,'교육기준'!$B$6:$F$17,5,FALSE)</ns0:f>
        <ns0:v>60</ns0:v>
      </ns0:c>
      <ns0:c r="O357" t="n">
        <ns0:f>IF(AND(F357="승인",K357&gt;='정책'!$C$6,M357=1,L357&gt;=N357),1,0)</ns0:f>
        <ns0:v>0</ns0:v>
      </ns0:c>
    </ns0:row>
    <ns0:row r="358">
      <ns0:c r="B358" s="17" t="str">
        <ns0:f>'신청원본'!B358</ns0:f>
        <ns0:v>APP000353</ns0:v>
      </ns0:c>
      <ns0:c r="C358" s="17" t="str">
        <ns0:f>'신청원본'!C358</ns0:f>
        <ns0:v>000033</ns0:v>
      </ns0:c>
      <ns0:c r="D358" t="str">
        <ns0:f>'신청원본'!D358</ns0:f>
        <ns0:v>품질</ns0:v>
      </ns0:c>
      <ns0:c r="E358" t="str">
        <ns0:f>'신청원본'!E358</ns0:f>
        <ns0:v>C05</ns0:v>
      </ns0:c>
      <ns0:c r="F358" t="str">
        <ns0:f>'신청원본'!H358</ns0:f>
        <ns0:v>취소</ns0:v>
      </ns0:c>
      <ns0:c r="G358" s="18" t="n">
        <ns0:f>VLOOKUP(E358,'교육기준'!$B$6:$F$17,3,FALSE)</ns0:f>
        <ns0:v>170009</ns0:v>
      </ns0:c>
      <ns0:c r="H358" s="18" t="n">
        <ns0:f>'신청원본'!G358</ns0:f>
        <ns0:v>4</ns0:v>
      </ns0:c>
      <ns0:c r="I358" s="19" t="n">
        <ns0:f>'신청원본'!I358</ns0:f>
        <ns0:v>0</ns0:v>
      </ns0:c>
      <ns0:c r="J358" s="18" t="n">
        <ns0:f>IF(F358="승인",IF(COUNTA('신청원본'!J358)=0,ROUND(G358*H358*(1-I358),'정책'!$C$8),'신청원본'!J358),0)</ns0:f>
        <ns0:v>0</ns0:v>
      </ns0:c>
      <ns0:c r="K358" t="n">
        <ns0:f>SUMIFS('출결원본'!$D$6:$D$1445,'출결원본'!$B$6:$B$1445,B358)</ns0:f>
        <ns0:v>3</ns0:v>
      </ns0:c>
      <ns0:c r="L358" t="n">
        <ns0:f>VLOOKUP(B358,'평가원본'!$B$6:$D$485,2,FALSE)</ns0:f>
        <ns0:v>66</ns0:v>
      </ns0:c>
      <ns0:c r="M358" t="n">
        <ns0:f>VLOOKUP(B358,'평가원본'!$B$6:$D$485,3,FALSE)</ns0:f>
        <ns0:v>1</ns0:v>
      </ns0:c>
      <ns0:c r="N358" t="n">
        <ns0:f>VLOOKUP(E358,'교육기준'!$B$6:$F$17,5,FALSE)</ns0:f>
        <ns0:v>70</ns0:v>
      </ns0:c>
      <ns0:c r="O358" t="n">
        <ns0:f>IF(AND(F358="승인",K358&gt;='정책'!$C$6,M358=1,L358&gt;=N358),1,0)</ns0:f>
        <ns0:v>0</ns0:v>
      </ns0:c>
    </ns0:row>
    <ns0:row r="359">
      <ns0:c r="B359" s="17" t="str">
        <ns0:f>'신청원본'!B359</ns0:f>
        <ns0:v>APP000354</ns0:v>
      </ns0:c>
      <ns0:c r="C359" s="17" t="str">
        <ns0:f>'신청원본'!C359</ns0:f>
        <ns0:v>000034</ns0:v>
      </ns0:c>
      <ns0:c r="D359" t="str">
        <ns0:f>'신청원본'!D359</ns0:f>
        <ns0:v>기획</ns0:v>
      </ns0:c>
      <ns0:c r="E359" t="str">
        <ns0:f>'신청원본'!E359</ns0:f>
        <ns0:v>C12</ns0:v>
      </ns0:c>
      <ns0:c r="F359" t="str">
        <ns0:f>'신청원본'!H359</ns0:f>
        <ns0:v>승인</ns0:v>
      </ns0:c>
      <ns0:c r="G359" s="18" t="n">
        <ns0:f>VLOOKUP(E359,'교육기준'!$B$6:$F$17,3,FALSE)</ns0:f>
        <ns0:v>292516</ns0:v>
      </ns0:c>
      <ns0:c r="H359" s="18" t="n">
        <ns0:f>'신청원본'!G359</ns0:f>
        <ns0:v>5</ns0:v>
      </ns0:c>
      <ns0:c r="I359" s="19" t="n">
        <ns0:f>'신청원본'!I359</ns0:f>
        <ns0:v>0.05</ns0:v>
      </ns0:c>
      <ns0:c r="J359" s="18" t="n">
        <ns0:f>IF(F359="승인",IF(COUNTA('신청원본'!J359)=0,ROUND(G359*H359*(1-I359),'정책'!$C$8),'신청원본'!J359),0)</ns0:f>
        <ns0:v>1389451</ns0:v>
      </ns0:c>
      <ns0:c r="K359" t="n">
        <ns0:f>SUMIFS('출결원본'!$D$6:$D$1445,'출결원본'!$B$6:$B$1445,B359)</ns0:f>
        <ns0:v>3</ns0:v>
      </ns0:c>
      <ns0:c r="L359" t="n">
        <ns0:f>VLOOKUP(B359,'평가원본'!$B$6:$D$485,2,FALSE)</ns0:f>
        <ns0:v>73</ns0:v>
      </ns0:c>
      <ns0:c r="M359" t="n">
        <ns0:f>VLOOKUP(B359,'평가원본'!$B$6:$D$485,3,FALSE)</ns0:f>
        <ns0:v>1</ns0:v>
      </ns0:c>
      <ns0:c r="N359" t="n">
        <ns0:f>VLOOKUP(E359,'교육기준'!$B$6:$F$17,5,FALSE)</ns0:f>
        <ns0:v>80</ns0:v>
      </ns0:c>
      <ns0:c r="O359" t="n">
        <ns0:f>IF(AND(F359="승인",K359&gt;='정책'!$C$6,M359=1,L359&gt;=N359),1,0)</ns0:f>
        <ns0:v>0</ns0:v>
      </ns0:c>
    </ns0:row>
    <ns0:row r="360">
      <ns0:c r="B360" s="17" t="str">
        <ns0:f>'신청원본'!B360</ns0:f>
        <ns0:v>APP000355</ns0:v>
      </ns0:c>
      <ns0:c r="C360" s="17" t="str">
        <ns0:f>'신청원본'!C360</ns0:f>
        <ns0:v>000035</ns0:v>
      </ns0:c>
      <ns0:c r="D360" t="str">
        <ns0:f>'신청원본'!D360</ns0:f>
        <ns0:v>영업</ns0:v>
      </ns0:c>
      <ns0:c r="E360" t="str">
        <ns0:f>'신청원본'!E360</ns0:f>
        <ns0:v>C07</ns0:v>
      </ns0:c>
      <ns0:c r="F360" t="str">
        <ns0:f>'신청원본'!H360</ns0:f>
        <ns0:v>승인</ns0:v>
      </ns0:c>
      <ns0:c r="G360" s="18" t="n">
        <ns0:f>VLOOKUP(E360,'교육기준'!$B$6:$F$17,3,FALSE)</ns0:f>
        <ns0:v>205011</ns0:v>
      </ns0:c>
      <ns0:c r="H360" s="18" t="n">
        <ns0:f>'신청원본'!G360</ns0:f>
        <ns0:v>0</ns0:v>
      </ns0:c>
      <ns0:c r="I360" s="19" t="n">
        <ns0:f>'신청원본'!I360</ns0:f>
        <ns0:v>0.1</ns0:v>
      </ns0:c>
      <ns0:c r="J360" s="18" t="n">
        <ns0:f>IF(F360="승인",IF(COUNTA('신청원본'!J360)=0,ROUND(G360*H360*(1-I360),'정책'!$C$8),'신청원본'!J360),0)</ns0:f>
        <ns0:v>0</ns0:v>
      </ns0:c>
      <ns0:c r="K360" t="n">
        <ns0:f>SUMIFS('출결원본'!$D$6:$D$1445,'출결원본'!$B$6:$B$1445,B360)</ns0:f>
        <ns0:v>3</ns0:v>
      </ns0:c>
      <ns0:c r="L360" t="n">
        <ns0:f>VLOOKUP(B360,'평가원본'!$B$6:$D$485,2,FALSE)</ns0:f>
        <ns0:v>80</ns0:v>
      </ns0:c>
      <ns0:c r="M360" t="n">
        <ns0:f>VLOOKUP(B360,'평가원본'!$B$6:$D$485,3,FALSE)</ns0:f>
        <ns0:v>1</ns0:v>
      </ns0:c>
      <ns0:c r="N360" t="n">
        <ns0:f>VLOOKUP(E360,'교육기준'!$B$6:$F$17,5,FALSE)</ns0:f>
        <ns0:v>60</ns0:v>
      </ns0:c>
      <ns0:c r="O360" t="n">
        <ns0:f>IF(AND(F360="승인",K360&gt;='정책'!$C$6,M360=1,L360&gt;=N360),1,0)</ns0:f>
        <ns0:v>1</ns0:v>
      </ns0:c>
    </ns0:row>
    <ns0:row r="361">
      <ns0:c r="B361" s="17" t="str">
        <ns0:f>'신청원본'!B361</ns0:f>
        <ns0:v>APP000356</ns0:v>
      </ns0:c>
      <ns0:c r="C361" s="17" t="str">
        <ns0:f>'신청원본'!C361</ns0:f>
        <ns0:v>000036</ns0:v>
      </ns0:c>
      <ns0:c r="D361" t="str">
        <ns0:f>'신청원본'!D361</ns0:f>
        <ns0:v>지원</ns0:v>
      </ns0:c>
      <ns0:c r="E361" t="str">
        <ns0:f>'신청원본'!E361</ns0:f>
        <ns0:v>C02</ns0:v>
      </ns0:c>
      <ns0:c r="F361" t="str">
        <ns0:f>'신청원본'!H361</ns0:f>
        <ns0:v>승인</ns0:v>
      </ns0:c>
      <ns0:c r="G361" s="18" t="n">
        <ns0:f>VLOOKUP(E361,'교육기준'!$B$6:$F$17,3,FALSE)</ns0:f>
        <ns0:v>117506</ns0:v>
      </ns0:c>
      <ns0:c r="H361" s="18" t="n">
        <ns0:f>'신청원본'!G361</ns0:f>
        <ns0:v>1</ns0:v>
      </ns0:c>
      <ns0:c r="I361" s="19" t="n">
        <ns0:f>'신청원본'!I361</ns0:f>
        <ns0:v>0.125</ns0:v>
      </ns0:c>
      <ns0:c r="J361" s="18" t="n">
        <ns0:f>IF(F361="승인",IF(COUNTA('신청원본'!J361)=0,ROUND(G361*H361*(1-I361),'정책'!$C$8),'신청원본'!J361),0)</ns0:f>
        <ns0:v>102818</ns0:v>
      </ns0:c>
      <ns0:c r="K361" t="n">
        <ns0:f>SUMIFS('출결원본'!$D$6:$D$1445,'출결원본'!$B$6:$B$1445,B361)</ns0:f>
        <ns0:v>3</ns0:v>
      </ns0:c>
      <ns0:c r="L361" t="n">
        <ns0:f>VLOOKUP(B361,'평가원본'!$B$6:$D$485,2,FALSE)</ns0:f>
        <ns0:v>87</ns0:v>
      </ns0:c>
      <ns0:c r="M361" t="n">
        <ns0:f>VLOOKUP(B361,'평가원본'!$B$6:$D$485,3,FALSE)</ns0:f>
        <ns0:v>1</ns0:v>
      </ns0:c>
      <ns0:c r="N361" t="n">
        <ns0:f>VLOOKUP(E361,'교육기준'!$B$6:$F$17,5,FALSE)</ns0:f>
        <ns0:v>70</ns0:v>
      </ns0:c>
      <ns0:c r="O361" t="n">
        <ns0:f>IF(AND(F361="승인",K361&gt;='정책'!$C$6,M361=1,L361&gt;=N361),1,0)</ns0:f>
        <ns0:v>1</ns0:v>
      </ns0:c>
    </ns0:row>
    <ns0:row r="362">
      <ns0:c r="B362" s="17" t="str">
        <ns0:f>'신청원본'!B362</ns0:f>
        <ns0:v>APP000357</ns0:v>
      </ns0:c>
      <ns0:c r="C362" s="17" t="str">
        <ns0:f>'신청원본'!C362</ns0:f>
        <ns0:v>000037</ns0:v>
      </ns0:c>
      <ns0:c r="D362" t="str">
        <ns0:f>'신청원본'!D362</ns0:f>
        <ns0:v>개발</ns0:v>
      </ns0:c>
      <ns0:c r="E362" t="str">
        <ns0:f>'신청원본'!E362</ns0:f>
        <ns0:v>C09</ns0:v>
      </ns0:c>
      <ns0:c r="F362" t="str">
        <ns0:f>'신청원본'!H362</ns0:f>
        <ns0:v>승인</ns0:v>
      </ns0:c>
      <ns0:c r="G362" s="18" t="n">
        <ns0:f>VLOOKUP(E362,'교육기준'!$B$6:$F$17,3,FALSE)</ns0:f>
        <ns0:v>240013</ns0:v>
      </ns0:c>
      <ns0:c r="H362" s="18" t="n">
        <ns0:f>'신청원본'!G362</ns0:f>
        <ns0:v>2</ns0:v>
      </ns0:c>
      <ns0:c r="I362" s="19" t="n">
        <ns0:f>'신청원본'!I362</ns0:f>
        <ns0:v>0</ns0:v>
      </ns0:c>
      <ns0:c r="J362" s="18" t="n">
        <ns0:f>IF(F362="승인",IF(COUNTA('신청원본'!J362)=0,ROUND(G362*H362*(1-I362),'정책'!$C$8),'신청원본'!J362),0)</ns0:f>
        <ns0:v>480026</ns0:v>
      </ns0:c>
      <ns0:c r="K362" t="n">
        <ns0:f>SUMIFS('출결원본'!$D$6:$D$1445,'출결원본'!$B$6:$B$1445,B362)</ns0:f>
        <ns0:v>3</ns0:v>
      </ns0:c>
      <ns0:c r="L362" t="n">
        <ns0:f>VLOOKUP(B362,'평가원본'!$B$6:$D$485,2,FALSE)</ns0:f>
        <ns0:v>94</ns0:v>
      </ns0:c>
      <ns0:c r="M362" t="n">
        <ns0:f>VLOOKUP(B362,'평가원본'!$B$6:$D$485,3,FALSE)</ns0:f>
        <ns0:v>1</ns0:v>
      </ns0:c>
      <ns0:c r="N362" t="n">
        <ns0:f>VLOOKUP(E362,'교육기준'!$B$6:$F$17,5,FALSE)</ns0:f>
        <ns0:v>80</ns0:v>
      </ns0:c>
      <ns0:c r="O362" t="n">
        <ns0:f>IF(AND(F362="승인",K362&gt;='정책'!$C$6,M362=1,L362&gt;=N362),1,0)</ns0:f>
        <ns0:v>1</ns0:v>
      </ns0:c>
    </ns0:row>
    <ns0:row r="363">
      <ns0:c r="B363" s="17" t="str">
        <ns0:f>'신청원본'!B363</ns0:f>
        <ns0:v>APP000358</ns0:v>
      </ns0:c>
      <ns0:c r="C363" s="17" t="str">
        <ns0:f>'신청원본'!C363</ns0:f>
        <ns0:v>000038</ns0:v>
      </ns0:c>
      <ns0:c r="D363" t="str">
        <ns0:f>'신청원본'!D363</ns0:f>
        <ns0:v>생산</ns0:v>
      </ns0:c>
      <ns0:c r="E363" t="str">
        <ns0:f>'신청원본'!E363</ns0:f>
        <ns0:v>C04</ns0:v>
      </ns0:c>
      <ns0:c r="F363" t="str">
        <ns0:f>'신청원본'!H363</ns0:f>
        <ns0:v>대기</ns0:v>
      </ns0:c>
      <ns0:c r="G363" s="18" t="n">
        <ns0:f>VLOOKUP(E363,'교육기준'!$B$6:$F$17,3,FALSE)</ns0:f>
        <ns0:v>152508</ns0:v>
      </ns0:c>
      <ns0:c r="H363" s="18" t="n">
        <ns0:f>'신청원본'!G363</ns0:f>
        <ns0:v>3</ns0:v>
      </ns0:c>
      <ns0:c r="I363" s="19" t="n">
        <ns0:f>'신청원본'!I363</ns0:f>
        <ns0:v>0.05</ns0:v>
      </ns0:c>
      <ns0:c r="J363" s="18" t="n">
        <ns0:f>IF(F363="승인",IF(COUNTA('신청원본'!J363)=0,ROUND(G363*H363*(1-I363),'정책'!$C$8),'신청원본'!J363),0)</ns0:f>
        <ns0:v>0</ns0:v>
      </ns0:c>
      <ns0:c r="K363" t="n">
        <ns0:f>SUMIFS('출결원본'!$D$6:$D$1445,'출결원본'!$B$6:$B$1445,B363)</ns0:f>
        <ns0:v>3</ns0:v>
      </ns0:c>
      <ns0:c r="L363" t="n">
        <ns0:f>VLOOKUP(B363,'평가원본'!$B$6:$D$485,2,FALSE)</ns0:f>
        <ns0:v>50</ns0:v>
      </ns0:c>
      <ns0:c r="M363" t="n">
        <ns0:f>VLOOKUP(B363,'평가원본'!$B$6:$D$485,3,FALSE)</ns0:f>
        <ns0:v>1</ns0:v>
      </ns0:c>
      <ns0:c r="N363" t="n">
        <ns0:f>VLOOKUP(E363,'교육기준'!$B$6:$F$17,5,FALSE)</ns0:f>
        <ns0:v>60</ns0:v>
      </ns0:c>
      <ns0:c r="O363" t="n">
        <ns0:f>IF(AND(F363="승인",K363&gt;='정책'!$C$6,M363=1,L363&gt;=N363),1,0)</ns0:f>
        <ns0:v>0</ns0:v>
      </ns0:c>
    </ns0:row>
    <ns0:row r="364">
      <ns0:c r="B364" s="17" t="str">
        <ns0:f>'신청원본'!B364</ns0:f>
        <ns0:v>APP000359</ns0:v>
      </ns0:c>
      <ns0:c r="C364" s="17" t="str">
        <ns0:f>'신청원본'!C364</ns0:f>
        <ns0:v>000039</ns0:v>
      </ns0:c>
      <ns0:c r="D364" t="str">
        <ns0:f>'신청원본'!D364</ns0:f>
        <ns0:v>품질</ns0:v>
      </ns0:c>
      <ns0:c r="E364" t="str">
        <ns0:f>'신청원본'!E364</ns0:f>
        <ns0:v>C11</ns0:v>
      </ns0:c>
      <ns0:c r="F364" t="str">
        <ns0:f>'신청원본'!H364</ns0:f>
        <ns0:v>승인</ns0:v>
      </ns0:c>
      <ns0:c r="G364" s="18" t="n">
        <ns0:f>VLOOKUP(E364,'교육기준'!$B$6:$F$17,3,FALSE)</ns0:f>
        <ns0:v>275015</ns0:v>
      </ns0:c>
      <ns0:c r="H364" s="18" t="n">
        <ns0:f>'신청원본'!G364</ns0:f>
        <ns0:v>4</ns0:v>
      </ns0:c>
      <ns0:c r="I364" s="19" t="n">
        <ns0:f>'신청원본'!I364</ns0:f>
        <ns0:v>0.1</ns0:v>
      </ns0:c>
      <ns0:c r="J364" s="18" t="n">
        <ns0:f>IF(F364="승인",IF(COUNTA('신청원본'!J364)=0,ROUND(G364*H364*(1-I364),'정책'!$C$8),'신청원본'!J364),0)</ns0:f>
        <ns0:v>990054</ns0:v>
      </ns0:c>
      <ns0:c r="K364" t="n">
        <ns0:f>SUMIFS('출결원본'!$D$6:$D$1445,'출결원본'!$B$6:$B$1445,B364)</ns0:f>
        <ns0:v>3</ns0:v>
      </ns0:c>
      <ns0:c r="L364" t="n">
        <ns0:f>VLOOKUP(B364,'평가원본'!$B$6:$D$485,2,FALSE)</ns0:f>
        <ns0:v>57</ns0:v>
      </ns0:c>
      <ns0:c r="M364" t="n">
        <ns0:f>VLOOKUP(B364,'평가원본'!$B$6:$D$485,3,FALSE)</ns0:f>
        <ns0:v>1</ns0:v>
      </ns0:c>
      <ns0:c r="N364" t="n">
        <ns0:f>VLOOKUP(E364,'교육기준'!$B$6:$F$17,5,FALSE)</ns0:f>
        <ns0:v>70</ns0:v>
      </ns0:c>
      <ns0:c r="O364" t="n">
        <ns0:f>IF(AND(F364="승인",K364&gt;='정책'!$C$6,M364=1,L364&gt;=N364),1,0)</ns0:f>
        <ns0:v>0</ns0:v>
      </ns0:c>
    </ns0:row>
    <ns0:row r="365">
      <ns0:c r="B365" s="17" t="str">
        <ns0:f>'신청원본'!B365</ns0:f>
        <ns0:v>APP000360</ns0:v>
      </ns0:c>
      <ns0:c r="C365" s="17" t="str">
        <ns0:f>'신청원본'!C365</ns0:f>
        <ns0:v>000040</ns0:v>
      </ns0:c>
      <ns0:c r="D365" t="str">
        <ns0:f>'신청원본'!D365</ns0:f>
        <ns0:v>기획</ns0:v>
      </ns0:c>
      <ns0:c r="E365" t="str">
        <ns0:f>'신청원본'!E365</ns0:f>
        <ns0:v>C06</ns0:v>
      </ns0:c>
      <ns0:c r="F365" t="str">
        <ns0:f>'신청원본'!H365</ns0:f>
        <ns0:v>승인</ns0:v>
      </ns0:c>
      <ns0:c r="G365" s="18" t="n">
        <ns0:f>VLOOKUP(E365,'교육기준'!$B$6:$F$17,3,FALSE)</ns0:f>
        <ns0:v>187510</ns0:v>
      </ns0:c>
      <ns0:c r="H365" s="18" t="n">
        <ns0:f>'신청원본'!G365</ns0:f>
        <ns0:v>5</ns0:v>
      </ns0:c>
      <ns0:c r="I365" s="19" t="n">
        <ns0:f>'신청원본'!I365</ns0:f>
        <ns0:v>0.125</ns0:v>
      </ns0:c>
      <ns0:c r="J365" s="18" t="n">
        <ns0:f>IF(F365="승인",IF(COUNTA('신청원본'!J365)=0,ROUND(G365*H365*(1-I365),'정책'!$C$8),'신청원본'!J365),0)</ns0:f>
        <ns0:v>820356</ns0:v>
      </ns0:c>
      <ns0:c r="K365" t="n">
        <ns0:f>SUMIFS('출결원본'!$D$6:$D$1445,'출결원본'!$B$6:$B$1445,B365)</ns0:f>
        <ns0:v>3</ns0:v>
      </ns0:c>
      <ns0:c r="L365" t="n">
        <ns0:f>VLOOKUP(B365,'평가원본'!$B$6:$D$485,2,FALSE)</ns0:f>
        <ns0:v>64</ns0:v>
      </ns0:c>
      <ns0:c r="M365" t="n">
        <ns0:f>VLOOKUP(B365,'평가원본'!$B$6:$D$485,3,FALSE)</ns0:f>
        <ns0:v>1</ns0:v>
      </ns0:c>
      <ns0:c r="N365" t="n">
        <ns0:f>VLOOKUP(E365,'교육기준'!$B$6:$F$17,5,FALSE)</ns0:f>
        <ns0:v>80</ns0:v>
      </ns0:c>
      <ns0:c r="O365" t="n">
        <ns0:f>IF(AND(F365="승인",K365&gt;='정책'!$C$6,M365=1,L365&gt;=N365),1,0)</ns0:f>
        <ns0:v>0</ns0:v>
      </ns0:c>
    </ns0:row>
    <ns0:row r="366">
      <ns0:c r="B366" s="17" t="str">
        <ns0:f>'신청원본'!B366</ns0:f>
        <ns0:v>APP000361</ns0:v>
      </ns0:c>
      <ns0:c r="C366" s="17" t="str">
        <ns0:f>'신청원본'!C366</ns0:f>
        <ns0:v>000041</ns0:v>
      </ns0:c>
      <ns0:c r="D366" t="str">
        <ns0:f>'신청원본'!D366</ns0:f>
        <ns0:v>영업</ns0:v>
      </ns0:c>
      <ns0:c r="E366" t="str">
        <ns0:f>'신청원본'!E366</ns0:f>
        <ns0:v>C01</ns0:v>
      </ns0:c>
      <ns0:c r="F366" t="str">
        <ns0:f>'신청원본'!H366</ns0:f>
        <ns0:v>승인</ns0:v>
      </ns0:c>
      <ns0:c r="G366" s="18" t="n">
        <ns0:f>VLOOKUP(E366,'교육기준'!$B$6:$F$17,3,FALSE)</ns0:f>
        <ns0:v>100005</ns0:v>
      </ns0:c>
      <ns0:c r="H366" s="18" t="n">
        <ns0:f>'신청원본'!G366</ns0:f>
        <ns0:v>0</ns0:v>
      </ns0:c>
      <ns0:c r="I366" s="19" t="n">
        <ns0:f>'신청원본'!I366</ns0:f>
        <ns0:v>0</ns0:v>
      </ns0:c>
      <ns0:c r="J366" s="18" t="n">
        <ns0:f>IF(F366="승인",IF(COUNTA('신청원본'!J366)=0,ROUND(G366*H366*(1-I366),'정책'!$C$8),'신청원본'!J366),0)</ns0:f>
        <ns0:v>0</ns0:v>
      </ns0:c>
      <ns0:c r="K366" t="n">
        <ns0:f>SUMIFS('출결원본'!$D$6:$D$1445,'출결원본'!$B$6:$B$1445,B366)</ns0:f>
        <ns0:v>2</ns0:v>
      </ns0:c>
      <ns0:c r="L366" t="n">
        <ns0:f>VLOOKUP(B366,'평가원본'!$B$6:$D$485,2,FALSE)</ns0:f>
        <ns0:v>71</ns0:v>
      </ns0:c>
      <ns0:c r="M366" t="n">
        <ns0:f>VLOOKUP(B366,'평가원본'!$B$6:$D$485,3,FALSE)</ns0:f>
        <ns0:v>1</ns0:v>
      </ns0:c>
      <ns0:c r="N366" t="n">
        <ns0:f>VLOOKUP(E366,'교육기준'!$B$6:$F$17,5,FALSE)</ns0:f>
        <ns0:v>60</ns0:v>
      </ns0:c>
      <ns0:c r="O366" t="n">
        <ns0:f>IF(AND(F366="승인",K366&gt;='정책'!$C$6,M366=1,L366&gt;=N366),1,0)</ns0:f>
        <ns0:v>0</ns0:v>
      </ns0:c>
    </ns0:row>
    <ns0:row r="367">
      <ns0:c r="B367" s="17" t="str">
        <ns0:f>'신청원본'!B367</ns0:f>
        <ns0:v>APP000362</ns0:v>
      </ns0:c>
      <ns0:c r="C367" s="17" t="str">
        <ns0:f>'신청원본'!C367</ns0:f>
        <ns0:v>000042</ns0:v>
      </ns0:c>
      <ns0:c r="D367" t="str">
        <ns0:f>'신청원본'!D367</ns0:f>
        <ns0:v>지원</ns0:v>
      </ns0:c>
      <ns0:c r="E367" t="str">
        <ns0:f>'신청원본'!E367</ns0:f>
        <ns0:v>C08</ns0:v>
      </ns0:c>
      <ns0:c r="F367" t="str">
        <ns0:f>'신청원본'!H367</ns0:f>
        <ns0:v>승인</ns0:v>
      </ns0:c>
      <ns0:c r="G367" s="18" t="n">
        <ns0:f>VLOOKUP(E367,'교육기준'!$B$6:$F$17,3,FALSE)</ns0:f>
        <ns0:v>222512</ns0:v>
      </ns0:c>
      <ns0:c r="H367" s="18" t="n">
        <ns0:f>'신청원본'!G367</ns0:f>
        <ns0:v>1</ns0:v>
      </ns0:c>
      <ns0:c r="I367" s="19" t="n">
        <ns0:f>'신청원본'!I367</ns0:f>
        <ns0:v>0.05</ns0:v>
      </ns0:c>
      <ns0:c r="J367" s="18" t="n">
        <ns0:f>IF(F367="승인",IF(COUNTA('신청원본'!J367)=0,ROUND(G367*H367*(1-I367),'정책'!$C$8),'신청원본'!J367),0)</ns0:f>
        <ns0:v>211386</ns0:v>
      </ns0:c>
      <ns0:c r="K367" t="n">
        <ns0:f>SUMIFS('출결원본'!$D$6:$D$1445,'출결원본'!$B$6:$B$1445,B367)</ns0:f>
        <ns0:v>3</ns0:v>
      </ns0:c>
      <ns0:c r="L367" t="n">
        <ns0:f>VLOOKUP(B367,'평가원본'!$B$6:$D$485,2,FALSE)</ns0:f>
        <ns0:v>78</ns0:v>
      </ns0:c>
      <ns0:c r="M367" t="n">
        <ns0:f>VLOOKUP(B367,'평가원본'!$B$6:$D$485,3,FALSE)</ns0:f>
        <ns0:v>0</ns0:v>
      </ns0:c>
      <ns0:c r="N367" t="n">
        <ns0:f>VLOOKUP(E367,'교육기준'!$B$6:$F$17,5,FALSE)</ns0:f>
        <ns0:v>70</ns0:v>
      </ns0:c>
      <ns0:c r="O367" t="n">
        <ns0:f>IF(AND(F367="승인",K367&gt;='정책'!$C$6,M367=1,L367&gt;=N367),1,0)</ns0:f>
        <ns0:v>0</ns0:v>
      </ns0:c>
    </ns0:row>
    <ns0:row r="368">
      <ns0:c r="B368" s="17" t="str">
        <ns0:f>'신청원본'!B368</ns0:f>
        <ns0:v>APP000363</ns0:v>
      </ns0:c>
      <ns0:c r="C368" s="17" t="str">
        <ns0:f>'신청원본'!C368</ns0:f>
        <ns0:v>000043</ns0:v>
      </ns0:c>
      <ns0:c r="D368" t="str">
        <ns0:f>'신청원본'!D368</ns0:f>
        <ns0:v>개발</ns0:v>
      </ns0:c>
      <ns0:c r="E368" t="str">
        <ns0:f>'신청원본'!E368</ns0:f>
        <ns0:v>C03</ns0:v>
      </ns0:c>
      <ns0:c r="F368" t="str">
        <ns0:f>'신청원본'!H368</ns0:f>
        <ns0:v>승인</ns0:v>
      </ns0:c>
      <ns0:c r="G368" s="18" t="n">
        <ns0:f>VLOOKUP(E368,'교육기준'!$B$6:$F$17,3,FALSE)</ns0:f>
        <ns0:v>135007</ns0:v>
      </ns0:c>
      <ns0:c r="H368" s="18" t="n">
        <ns0:f>'신청원본'!G368</ns0:f>
        <ns0:v>2</ns0:v>
      </ns0:c>
      <ns0:c r="I368" s="19" t="n">
        <ns0:f>'신청원본'!I368</ns0:f>
        <ns0:v>0.1</ns0:v>
      </ns0:c>
      <ns0:c r="J368" s="18" t="n">
        <ns0:f>IF(F368="승인",IF(COUNTA('신청원본'!J368)=0,ROUND(G368*H368*(1-I368),'정책'!$C$8),'신청원본'!J368),0)</ns0:f>
        <ns0:v>243013</ns0:v>
      </ns0:c>
      <ns0:c r="K368" t="n">
        <ns0:f>SUMIFS('출결원본'!$D$6:$D$1445,'출결원본'!$B$6:$B$1445,B368)</ns0:f>
        <ns0:v>3</ns0:v>
      </ns0:c>
      <ns0:c r="L368" t="n">
        <ns0:f>VLOOKUP(B368,'평가원본'!$B$6:$D$485,2,FALSE)</ns0:f>
        <ns0:v>85</ns0:v>
      </ns0:c>
      <ns0:c r="M368" t="n">
        <ns0:f>VLOOKUP(B368,'평가원본'!$B$6:$D$485,3,FALSE)</ns0:f>
        <ns0:v>1</ns0:v>
      </ns0:c>
      <ns0:c r="N368" t="n">
        <ns0:f>VLOOKUP(E368,'교육기준'!$B$6:$F$17,5,FALSE)</ns0:f>
        <ns0:v>80</ns0:v>
      </ns0:c>
      <ns0:c r="O368" t="n">
        <ns0:f>IF(AND(F368="승인",K368&gt;='정책'!$C$6,M368=1,L368&gt;=N368),1,0)</ns0:f>
        <ns0:v>1</ns0:v>
      </ns0:c>
    </ns0:row>
    <ns0:row r="369">
      <ns0:c r="B369" s="17" t="str">
        <ns0:f>'신청원본'!B369</ns0:f>
        <ns0:v>APP000364</ns0:v>
      </ns0:c>
      <ns0:c r="C369" s="17" t="str">
        <ns0:f>'신청원본'!C369</ns0:f>
        <ns0:v>000044</ns0:v>
      </ns0:c>
      <ns0:c r="D369" t="str">
        <ns0:f>'신청원본'!D369</ns0:f>
        <ns0:v>생산</ns0:v>
      </ns0:c>
      <ns0:c r="E369" t="str">
        <ns0:f>'신청원본'!E369</ns0:f>
        <ns0:v>C10</ns0:v>
      </ns0:c>
      <ns0:c r="F369" t="str">
        <ns0:f>'신청원본'!H369</ns0:f>
        <ns0:v>취소</ns0:v>
      </ns0:c>
      <ns0:c r="G369" s="18" t="n">
        <ns0:f>VLOOKUP(E369,'교육기준'!$B$6:$F$17,3,FALSE)</ns0:f>
        <ns0:v>257514</ns0:v>
      </ns0:c>
      <ns0:c r="H369" s="18" t="n">
        <ns0:f>'신청원본'!G369</ns0:f>
        <ns0:v>3</ns0:v>
      </ns0:c>
      <ns0:c r="I369" s="19" t="n">
        <ns0:f>'신청원본'!I369</ns0:f>
        <ns0:v>0.125</ns0:v>
      </ns0:c>
      <ns0:c r="J369" s="18" t="n">
        <ns0:f>IF(F369="승인",IF(COUNTA('신청원본'!J369)=0,ROUND(G369*H369*(1-I369),'정책'!$C$8),'신청원본'!J369),0)</ns0:f>
        <ns0:v>0</ns0:v>
      </ns0:c>
      <ns0:c r="K369" t="n">
        <ns0:f>SUMIFS('출결원본'!$D$6:$D$1445,'출결원본'!$B$6:$B$1445,B369)</ns0:f>
        <ns0:v>3</ns0:v>
      </ns0:c>
      <ns0:c r="L369" t="n">
        <ns0:f>VLOOKUP(B369,'평가원본'!$B$6:$D$485,2,FALSE)</ns0:f>
        <ns0:v>92</ns0:v>
      </ns0:c>
      <ns0:c r="M369" t="n">
        <ns0:f>VLOOKUP(B369,'평가원본'!$B$6:$D$485,3,FALSE)</ns0:f>
        <ns0:v>1</ns0:v>
      </ns0:c>
      <ns0:c r="N369" t="n">
        <ns0:f>VLOOKUP(E369,'교육기준'!$B$6:$F$17,5,FALSE)</ns0:f>
        <ns0:v>60</ns0:v>
      </ns0:c>
      <ns0:c r="O369" t="n">
        <ns0:f>IF(AND(F369="승인",K369&gt;='정책'!$C$6,M369=1,L369&gt;=N369),1,0)</ns0:f>
        <ns0:v>0</ns0:v>
      </ns0:c>
    </ns0:row>
    <ns0:row r="370">
      <ns0:c r="B370" s="17" t="str">
        <ns0:f>'신청원본'!B370</ns0:f>
        <ns0:v>APP000365</ns0:v>
      </ns0:c>
      <ns0:c r="C370" s="17" t="str">
        <ns0:f>'신청원본'!C370</ns0:f>
        <ns0:v>000045</ns0:v>
      </ns0:c>
      <ns0:c r="D370" t="str">
        <ns0:f>'신청원본'!D370</ns0:f>
        <ns0:v>품질</ns0:v>
      </ns0:c>
      <ns0:c r="E370" t="str">
        <ns0:f>'신청원본'!E370</ns0:f>
        <ns0:v>C05</ns0:v>
      </ns0:c>
      <ns0:c r="F370" t="str">
        <ns0:f>'신청원본'!H370</ns0:f>
        <ns0:v>대기</ns0:v>
      </ns0:c>
      <ns0:c r="G370" s="18" t="n">
        <ns0:f>VLOOKUP(E370,'교육기준'!$B$6:$F$17,3,FALSE)</ns0:f>
        <ns0:v>170009</ns0:v>
      </ns0:c>
      <ns0:c r="H370" s="18" t="n">
        <ns0:f>'신청원본'!G370</ns0:f>
        <ns0:v>4</ns0:v>
      </ns0:c>
      <ns0:c r="I370" s="19" t="n">
        <ns0:f>'신청원본'!I370</ns0:f>
        <ns0:v>0</ns0:v>
      </ns0:c>
      <ns0:c r="J370" s="18" t="n">
        <ns0:f>IF(F370="승인",IF(COUNTA('신청원본'!J370)=0,ROUND(G370*H370*(1-I370),'정책'!$C$8),'신청원본'!J370),0)</ns0:f>
        <ns0:v>0</ns0:v>
      </ns0:c>
      <ns0:c r="K370" t="n">
        <ns0:f>SUMIFS('출결원본'!$D$6:$D$1445,'출결원본'!$B$6:$B$1445,B370)</ns0:f>
        <ns0:v>2</ns0:v>
      </ns0:c>
      <ns0:c r="L370" t="n">
        <ns0:f>VLOOKUP(B370,'평가원본'!$B$6:$D$485,2,FALSE)</ns0:f>
        <ns0:v>99</ns0:v>
      </ns0:c>
      <ns0:c r="M370" t="n">
        <ns0:f>VLOOKUP(B370,'평가원본'!$B$6:$D$485,3,FALSE)</ns0:f>
        <ns0:v>1</ns0:v>
      </ns0:c>
      <ns0:c r="N370" t="n">
        <ns0:f>VLOOKUP(E370,'교육기준'!$B$6:$F$17,5,FALSE)</ns0:f>
        <ns0:v>70</ns0:v>
      </ns0:c>
      <ns0:c r="O370" t="n">
        <ns0:f>IF(AND(F370="승인",K370&gt;='정책'!$C$6,M370=1,L370&gt;=N370),1,0)</ns0:f>
        <ns0:v>0</ns0:v>
      </ns0:c>
    </ns0:row>
    <ns0:row r="371">
      <ns0:c r="B371" s="17" t="str">
        <ns0:f>'신청원본'!B371</ns0:f>
        <ns0:v>APP000366</ns0:v>
      </ns0:c>
      <ns0:c r="C371" s="17" t="str">
        <ns0:f>'신청원본'!C371</ns0:f>
        <ns0:v>000046</ns0:v>
      </ns0:c>
      <ns0:c r="D371" t="str">
        <ns0:f>'신청원본'!D371</ns0:f>
        <ns0:v>기획</ns0:v>
      </ns0:c>
      <ns0:c r="E371" t="str">
        <ns0:f>'신청원본'!E371</ns0:f>
        <ns0:v>C12</ns0:v>
      </ns0:c>
      <ns0:c r="F371" t="str">
        <ns0:f>'신청원본'!H371</ns0:f>
        <ns0:v>승인</ns0:v>
      </ns0:c>
      <ns0:c r="G371" s="18" t="n">
        <ns0:f>VLOOKUP(E371,'교육기준'!$B$6:$F$17,3,FALSE)</ns0:f>
        <ns0:v>292516</ns0:v>
      </ns0:c>
      <ns0:c r="H371" s="18" t="n">
        <ns0:f>'신청원본'!G371</ns0:f>
        <ns0:v>5</ns0:v>
      </ns0:c>
      <ns0:c r="I371" s="19" t="n">
        <ns0:f>'신청원본'!I371</ns0:f>
        <ns0:v>0.05</ns0:v>
      </ns0:c>
      <ns0:c r="J371" s="18" t="n">
        <ns0:f>IF(F371="승인",IF(COUNTA('신청원본'!J371)=0,ROUND(G371*H371*(1-I371),'정책'!$C$8),'신청원본'!J371),0)</ns0:f>
        <ns0:v>1389451</ns0:v>
      </ns0:c>
      <ns0:c r="K371" t="n">
        <ns0:f>SUMIFS('출결원본'!$D$6:$D$1445,'출결원본'!$B$6:$B$1445,B371)</ns0:f>
        <ns0:v>3</ns0:v>
      </ns0:c>
      <ns0:c r="L371" t="n">
        <ns0:f>VLOOKUP(B371,'평가원본'!$B$6:$D$485,2,FALSE)</ns0:f>
        <ns0:v>55</ns0:v>
      </ns0:c>
      <ns0:c r="M371" t="n">
        <ns0:f>VLOOKUP(B371,'평가원본'!$B$6:$D$485,3,FALSE)</ns0:f>
        <ns0:v>1</ns0:v>
      </ns0:c>
      <ns0:c r="N371" t="n">
        <ns0:f>VLOOKUP(E371,'교육기준'!$B$6:$F$17,5,FALSE)</ns0:f>
        <ns0:v>80</ns0:v>
      </ns0:c>
      <ns0:c r="O371" t="n">
        <ns0:f>IF(AND(F371="승인",K371&gt;='정책'!$C$6,M371=1,L371&gt;=N371),1,0)</ns0:f>
        <ns0:v>0</ns0:v>
      </ns0:c>
    </ns0:row>
    <ns0:row r="372">
      <ns0:c r="B372" s="17" t="str">
        <ns0:f>'신청원본'!B372</ns0:f>
        <ns0:v>APP000367</ns0:v>
      </ns0:c>
      <ns0:c r="C372" s="17" t="str">
        <ns0:f>'신청원본'!C372</ns0:f>
        <ns0:v>000047</ns0:v>
      </ns0:c>
      <ns0:c r="D372" t="str">
        <ns0:f>'신청원본'!D372</ns0:f>
        <ns0:v>영업</ns0:v>
      </ns0:c>
      <ns0:c r="E372" t="str">
        <ns0:f>'신청원본'!E372</ns0:f>
        <ns0:v>C07</ns0:v>
      </ns0:c>
      <ns0:c r="F372" t="str">
        <ns0:f>'신청원본'!H372</ns0:f>
        <ns0:v>승인</ns0:v>
      </ns0:c>
      <ns0:c r="G372" s="18" t="n">
        <ns0:f>VLOOKUP(E372,'교육기준'!$B$6:$F$17,3,FALSE)</ns0:f>
        <ns0:v>205011</ns0:v>
      </ns0:c>
      <ns0:c r="H372" s="18" t="n">
        <ns0:f>'신청원본'!G372</ns0:f>
        <ns0:v>0</ns0:v>
      </ns0:c>
      <ns0:c r="I372" s="19" t="n">
        <ns0:f>'신청원본'!I372</ns0:f>
        <ns0:v>0.1</ns0:v>
      </ns0:c>
      <ns0:c r="J372" s="18" t="n">
        <ns0:f>IF(F372="승인",IF(COUNTA('신청원본'!J372)=0,ROUND(G372*H372*(1-I372),'정책'!$C$8),'신청원본'!J372),0)</ns0:f>
        <ns0:v>0</ns0:v>
      </ns0:c>
      <ns0:c r="K372" t="n">
        <ns0:f>SUMIFS('출결원본'!$D$6:$D$1445,'출결원본'!$B$6:$B$1445,B372)</ns0:f>
        <ns0:v>3</ns0:v>
      </ns0:c>
      <ns0:c r="L372" t="n">
        <ns0:f>VLOOKUP(B372,'평가원본'!$B$6:$D$485,2,FALSE)</ns0:f>
        <ns0:v>62</ns0:v>
      </ns0:c>
      <ns0:c r="M372" t="n">
        <ns0:f>VLOOKUP(B372,'평가원본'!$B$6:$D$485,3,FALSE)</ns0:f>
        <ns0:v>1</ns0:v>
      </ns0:c>
      <ns0:c r="N372" t="n">
        <ns0:f>VLOOKUP(E372,'교육기준'!$B$6:$F$17,5,FALSE)</ns0:f>
        <ns0:v>60</ns0:v>
      </ns0:c>
      <ns0:c r="O372" t="n">
        <ns0:f>IF(AND(F372="승인",K372&gt;='정책'!$C$6,M372=1,L372&gt;=N372),1,0)</ns0:f>
        <ns0:v>1</ns0:v>
      </ns0:c>
    </ns0:row>
    <ns0:row r="373">
      <ns0:c r="B373" s="17" t="str">
        <ns0:f>'신청원본'!B373</ns0:f>
        <ns0:v>APP000368</ns0:v>
      </ns0:c>
      <ns0:c r="C373" s="17" t="str">
        <ns0:f>'신청원본'!C373</ns0:f>
        <ns0:v>000048</ns0:v>
      </ns0:c>
      <ns0:c r="D373" t="str">
        <ns0:f>'신청원본'!D373</ns0:f>
        <ns0:v>지원</ns0:v>
      </ns0:c>
      <ns0:c r="E373" t="str">
        <ns0:f>'신청원본'!E373</ns0:f>
        <ns0:v>C02</ns0:v>
      </ns0:c>
      <ns0:c r="F373" t="str">
        <ns0:f>'신청원본'!H373</ns0:f>
        <ns0:v>승인</ns0:v>
      </ns0:c>
      <ns0:c r="G373" s="18" t="n">
        <ns0:f>VLOOKUP(E373,'교육기준'!$B$6:$F$17,3,FALSE)</ns0:f>
        <ns0:v>117506</ns0:v>
      </ns0:c>
      <ns0:c r="H373" s="18" t="n">
        <ns0:f>'신청원본'!G373</ns0:f>
        <ns0:v>1</ns0:v>
      </ns0:c>
      <ns0:c r="I373" s="19" t="n">
        <ns0:f>'신청원본'!I373</ns0:f>
        <ns0:v>0.125</ns0:v>
      </ns0:c>
      <ns0:c r="J373" s="18" t="n">
        <ns0:f>IF(F373="승인",IF(COUNTA('신청원본'!J373)=0,ROUND(G373*H373*(1-I373),'정책'!$C$8),'신청원본'!J373),0)</ns0:f>
        <ns0:v>102818</ns0:v>
      </ns0:c>
      <ns0:c r="K373" t="n">
        <ns0:f>SUMIFS('출결원본'!$D$6:$D$1445,'출결원본'!$B$6:$B$1445,B373)</ns0:f>
        <ns0:v>3</ns0:v>
      </ns0:c>
      <ns0:c r="L373" t="n">
        <ns0:f>VLOOKUP(B373,'평가원본'!$B$6:$D$485,2,FALSE)</ns0:f>
        <ns0:v>69</ns0:v>
      </ns0:c>
      <ns0:c r="M373" t="n">
        <ns0:f>VLOOKUP(B373,'평가원본'!$B$6:$D$485,3,FALSE)</ns0:f>
        <ns0:v>1</ns0:v>
      </ns0:c>
      <ns0:c r="N373" t="n">
        <ns0:f>VLOOKUP(E373,'교육기준'!$B$6:$F$17,5,FALSE)</ns0:f>
        <ns0:v>70</ns0:v>
      </ns0:c>
      <ns0:c r="O373" t="n">
        <ns0:f>IF(AND(F373="승인",K373&gt;='정책'!$C$6,M373=1,L373&gt;=N373),1,0)</ns0:f>
        <ns0:v>0</ns0:v>
      </ns0:c>
    </ns0:row>
    <ns0:row r="374">
      <ns0:c r="B374" s="17" t="str">
        <ns0:f>'신청원본'!B374</ns0:f>
        <ns0:v>APP000369</ns0:v>
      </ns0:c>
      <ns0:c r="C374" s="17" t="str">
        <ns0:f>'신청원본'!C374</ns0:f>
        <ns0:v>000049</ns0:v>
      </ns0:c>
      <ns0:c r="D374" t="str">
        <ns0:f>'신청원본'!D374</ns0:f>
        <ns0:v>개발</ns0:v>
      </ns0:c>
      <ns0:c r="E374" t="str">
        <ns0:f>'신청원본'!E374</ns0:f>
        <ns0:v>C09</ns0:v>
      </ns0:c>
      <ns0:c r="F374" t="str">
        <ns0:f>'신청원본'!H374</ns0:f>
        <ns0:v>승인</ns0:v>
      </ns0:c>
      <ns0:c r="G374" s="18" t="n">
        <ns0:f>VLOOKUP(E374,'교육기준'!$B$6:$F$17,3,FALSE)</ns0:f>
        <ns0:v>240013</ns0:v>
      </ns0:c>
      <ns0:c r="H374" s="18" t="n">
        <ns0:f>'신청원본'!G374</ns0:f>
        <ns0:v>2</ns0:v>
      </ns0:c>
      <ns0:c r="I374" s="19" t="n">
        <ns0:f>'신청원본'!I374</ns0:f>
        <ns0:v>0</ns0:v>
      </ns0:c>
      <ns0:c r="J374" s="18" t="n">
        <ns0:f>IF(F374="승인",IF(COUNTA('신청원본'!J374)=0,ROUND(G374*H374*(1-I374),'정책'!$C$8),'신청원본'!J374),0)</ns0:f>
        <ns0:v>480026</ns0:v>
      </ns0:c>
      <ns0:c r="K374" t="n">
        <ns0:f>SUMIFS('출결원본'!$D$6:$D$1445,'출결원본'!$B$6:$B$1445,B374)</ns0:f>
        <ns0:v>3</ns0:v>
      </ns0:c>
      <ns0:c r="L374" t="n">
        <ns0:f>VLOOKUP(B374,'평가원본'!$B$6:$D$485,2,FALSE)</ns0:f>
        <ns0:v>76</ns0:v>
      </ns0:c>
      <ns0:c r="M374" t="n">
        <ns0:f>VLOOKUP(B374,'평가원본'!$B$6:$D$485,3,FALSE)</ns0:f>
        <ns0:v>1</ns0:v>
      </ns0:c>
      <ns0:c r="N374" t="n">
        <ns0:f>VLOOKUP(E374,'교육기준'!$B$6:$F$17,5,FALSE)</ns0:f>
        <ns0:v>80</ns0:v>
      </ns0:c>
      <ns0:c r="O374" t="n">
        <ns0:f>IF(AND(F374="승인",K374&gt;='정책'!$C$6,M374=1,L374&gt;=N374),1,0)</ns0:f>
        <ns0:v>0</ns0:v>
      </ns0:c>
    </ns0:row>
    <ns0:row r="375">
      <ns0:c r="B375" s="17" t="str">
        <ns0:f>'신청원본'!B375</ns0:f>
        <ns0:v>APP000370</ns0:v>
      </ns0:c>
      <ns0:c r="C375" s="17" t="str">
        <ns0:f>'신청원본'!C375</ns0:f>
        <ns0:v>000050</ns0:v>
      </ns0:c>
      <ns0:c r="D375" t="str">
        <ns0:f>'신청원본'!D375</ns0:f>
        <ns0:v>생산</ns0:v>
      </ns0:c>
      <ns0:c r="E375" t="str">
        <ns0:f>'신청원본'!E375</ns0:f>
        <ns0:v>C04</ns0:v>
      </ns0:c>
      <ns0:c r="F375" t="str">
        <ns0:f>'신청원본'!H375</ns0:f>
        <ns0:v>승인</ns0:v>
      </ns0:c>
      <ns0:c r="G375" s="18" t="n">
        <ns0:f>VLOOKUP(E375,'교육기준'!$B$6:$F$17,3,FALSE)</ns0:f>
        <ns0:v>152508</ns0:v>
      </ns0:c>
      <ns0:c r="H375" s="18" t="n">
        <ns0:f>'신청원본'!G375</ns0:f>
        <ns0:v>3</ns0:v>
      </ns0:c>
      <ns0:c r="I375" s="19" t="n">
        <ns0:f>'신청원본'!I375</ns0:f>
        <ns0:v>0.05</ns0:v>
      </ns0:c>
      <ns0:c r="J375" s="18" t="n">
        <ns0:f>IF(F375="승인",IF(COUNTA('신청원본'!J375)=0,ROUND(G375*H375*(1-I375),'정책'!$C$8),'신청원본'!J375),0)</ns0:f>
        <ns0:v>434648</ns0:v>
      </ns0:c>
      <ns0:c r="K375" t="n">
        <ns0:f>SUMIFS('출결원본'!$D$6:$D$1445,'출결원본'!$B$6:$B$1445,B375)</ns0:f>
        <ns0:v>2</ns0:v>
      </ns0:c>
      <ns0:c r="L375" t="n">
        <ns0:f>VLOOKUP(B375,'평가원본'!$B$6:$D$485,2,FALSE)</ns0:f>
        <ns0:v>83</ns0:v>
      </ns0:c>
      <ns0:c r="M375" t="n">
        <ns0:f>VLOOKUP(B375,'평가원본'!$B$6:$D$485,3,FALSE)</ns0:f>
        <ns0:v>1</ns0:v>
      </ns0:c>
      <ns0:c r="N375" t="n">
        <ns0:f>VLOOKUP(E375,'교육기준'!$B$6:$F$17,5,FALSE)</ns0:f>
        <ns0:v>60</ns0:v>
      </ns0:c>
      <ns0:c r="O375" t="n">
        <ns0:f>IF(AND(F375="승인",K375&gt;='정책'!$C$6,M375=1,L375&gt;=N375),1,0)</ns0:f>
        <ns0:v>0</ns0:v>
      </ns0:c>
    </ns0:row>
    <ns0:row r="376">
      <ns0:c r="B376" s="17" t="str">
        <ns0:f>'신청원본'!B376</ns0:f>
        <ns0:v>APP000371</ns0:v>
      </ns0:c>
      <ns0:c r="C376" s="17" t="str">
        <ns0:f>'신청원본'!C376</ns0:f>
        <ns0:v>000051</ns0:v>
      </ns0:c>
      <ns0:c r="D376" t="str">
        <ns0:f>'신청원본'!D376</ns0:f>
        <ns0:v>품질</ns0:v>
      </ns0:c>
      <ns0:c r="E376" t="str">
        <ns0:f>'신청원본'!E376</ns0:f>
        <ns0:v>C11</ns0:v>
      </ns0:c>
      <ns0:c r="F376" t="str">
        <ns0:f>'신청원본'!H376</ns0:f>
        <ns0:v>승인</ns0:v>
      </ns0:c>
      <ns0:c r="G376" s="18" t="n">
        <ns0:f>VLOOKUP(E376,'교육기준'!$B$6:$F$17,3,FALSE)</ns0:f>
        <ns0:v>275015</ns0:v>
      </ns0:c>
      <ns0:c r="H376" s="18" t="n">
        <ns0:f>'신청원본'!G376</ns0:f>
        <ns0:v>4</ns0:v>
      </ns0:c>
      <ns0:c r="I376" s="19" t="n">
        <ns0:f>'신청원본'!I376</ns0:f>
        <ns0:v>0.1</ns0:v>
      </ns0:c>
      <ns0:c r="J376" s="18" t="n">
        <ns0:f>IF(F376="승인",IF(COUNTA('신청원본'!J376)=0,ROUND(G376*H376*(1-I376),'정책'!$C$8),'신청원본'!J376),0)</ns0:f>
        <ns0:v>990054</ns0:v>
      </ns0:c>
      <ns0:c r="K376" t="n">
        <ns0:f>SUMIFS('출결원본'!$D$6:$D$1445,'출결원본'!$B$6:$B$1445,B376)</ns0:f>
        <ns0:v>3</ns0:v>
      </ns0:c>
      <ns0:c r="L376" t="n">
        <ns0:f>VLOOKUP(B376,'평가원본'!$B$6:$D$485,2,FALSE)</ns0:f>
        <ns0:v>90</ns0:v>
      </ns0:c>
      <ns0:c r="M376" t="n">
        <ns0:f>VLOOKUP(B376,'평가원본'!$B$6:$D$485,3,FALSE)</ns0:f>
        <ns0:v>1</ns0:v>
      </ns0:c>
      <ns0:c r="N376" t="n">
        <ns0:f>VLOOKUP(E376,'교육기준'!$B$6:$F$17,5,FALSE)</ns0:f>
        <ns0:v>70</ns0:v>
      </ns0:c>
      <ns0:c r="O376" t="n">
        <ns0:f>IF(AND(F376="승인",K376&gt;='정책'!$C$6,M376=1,L376&gt;=N376),1,0)</ns0:f>
        <ns0:v>1</ns0:v>
      </ns0:c>
    </ns0:row>
    <ns0:row r="377">
      <ns0:c r="B377" s="17" t="str">
        <ns0:f>'신청원본'!B377</ns0:f>
        <ns0:v>APP000372</ns0:v>
      </ns0:c>
      <ns0:c r="C377" s="17" t="str">
        <ns0:f>'신청원본'!C377</ns0:f>
        <ns0:v>000052</ns0:v>
      </ns0:c>
      <ns0:c r="D377" t="str">
        <ns0:f>'신청원본'!D377</ns0:f>
        <ns0:v>기획</ns0:v>
      </ns0:c>
      <ns0:c r="E377" t="str">
        <ns0:f>'신청원본'!E377</ns0:f>
        <ns0:v>C06</ns0:v>
      </ns0:c>
      <ns0:c r="F377" t="str">
        <ns0:f>'신청원본'!H377</ns0:f>
        <ns0:v>대기</ns0:v>
      </ns0:c>
      <ns0:c r="G377" s="18" t="n">
        <ns0:f>VLOOKUP(E377,'교육기준'!$B$6:$F$17,3,FALSE)</ns0:f>
        <ns0:v>187510</ns0:v>
      </ns0:c>
      <ns0:c r="H377" s="18" t="n">
        <ns0:f>'신청원본'!G377</ns0:f>
        <ns0:v>5</ns0:v>
      </ns0:c>
      <ns0:c r="I377" s="19" t="n">
        <ns0:f>'신청원본'!I377</ns0:f>
        <ns0:v>0.125</ns0:v>
      </ns0:c>
      <ns0:c r="J377" s="18" t="n">
        <ns0:f>IF(F377="승인",IF(COUNTA('신청원본'!J377)=0,ROUND(G377*H377*(1-I377),'정책'!$C$8),'신청원본'!J377),0)</ns0:f>
        <ns0:v>0</ns0:v>
      </ns0:c>
      <ns0:c r="K377" t="n">
        <ns0:f>SUMIFS('출결원본'!$D$6:$D$1445,'출결원본'!$B$6:$B$1445,B377)</ns0:f>
        <ns0:v>3</ns0:v>
      </ns0:c>
      <ns0:c r="L377" t="n">
        <ns0:f>VLOOKUP(B377,'평가원본'!$B$6:$D$485,2,FALSE)</ns0:f>
        <ns0:v>97</ns0:v>
      </ns0:c>
      <ns0:c r="M377" t="n">
        <ns0:f>VLOOKUP(B377,'평가원본'!$B$6:$D$485,3,FALSE)</ns0:f>
        <ns0:v>1</ns0:v>
      </ns0:c>
      <ns0:c r="N377" t="n">
        <ns0:f>VLOOKUP(E377,'교육기준'!$B$6:$F$17,5,FALSE)</ns0:f>
        <ns0:v>80</ns0:v>
      </ns0:c>
      <ns0:c r="O377" t="n">
        <ns0:f>IF(AND(F377="승인",K377&gt;='정책'!$C$6,M377=1,L377&gt;=N377),1,0)</ns0:f>
        <ns0:v>0</ns0:v>
      </ns0:c>
    </ns0:row>
    <ns0:row r="378">
      <ns0:c r="B378" s="17" t="str">
        <ns0:f>'신청원본'!B378</ns0:f>
        <ns0:v>APP000373</ns0:v>
      </ns0:c>
      <ns0:c r="C378" s="17" t="str">
        <ns0:f>'신청원본'!C378</ns0:f>
        <ns0:v>000053</ns0:v>
      </ns0:c>
      <ns0:c r="D378" t="str">
        <ns0:f>'신청원본'!D378</ns0:f>
        <ns0:v>영업</ns0:v>
      </ns0:c>
      <ns0:c r="E378" t="str">
        <ns0:f>'신청원본'!E378</ns0:f>
        <ns0:v>C01</ns0:v>
      </ns0:c>
      <ns0:c r="F378" t="str">
        <ns0:f>'신청원본'!H378</ns0:f>
        <ns0:v>승인</ns0:v>
      </ns0:c>
      <ns0:c r="G378" s="18" t="n">
        <ns0:f>VLOOKUP(E378,'교육기준'!$B$6:$F$17,3,FALSE)</ns0:f>
        <ns0:v>100005</ns0:v>
      </ns0:c>
      <ns0:c r="H378" s="18" t="n">
        <ns0:f>'신청원본'!G378</ns0:f>
        <ns0:v>0</ns0:v>
      </ns0:c>
      <ns0:c r="I378" s="19" t="n">
        <ns0:f>'신청원본'!I378</ns0:f>
        <ns0:v>0</ns0:v>
      </ns0:c>
      <ns0:c r="J378" s="18" t="n">
        <ns0:f>IF(F378="승인",IF(COUNTA('신청원본'!J378)=0,ROUND(G378*H378*(1-I378),'정책'!$C$8),'신청원본'!J378),0)</ns0:f>
        <ns0:v>0</ns0:v>
      </ns0:c>
      <ns0:c r="K378" t="n">
        <ns0:f>SUMIFS('출결원본'!$D$6:$D$1445,'출결원본'!$B$6:$B$1445,B378)</ns0:f>
        <ns0:v>3</ns0:v>
      </ns0:c>
      <ns0:c r="L378" t="n">
        <ns0:f>VLOOKUP(B378,'평가원본'!$B$6:$D$485,2,FALSE)</ns0:f>
        <ns0:v>53</ns0:v>
      </ns0:c>
      <ns0:c r="M378" t="n">
        <ns0:f>VLOOKUP(B378,'평가원본'!$B$6:$D$485,3,FALSE)</ns0:f>
        <ns0:v>1</ns0:v>
      </ns0:c>
      <ns0:c r="N378" t="n">
        <ns0:f>VLOOKUP(E378,'교육기준'!$B$6:$F$17,5,FALSE)</ns0:f>
        <ns0:v>60</ns0:v>
      </ns0:c>
      <ns0:c r="O378" t="n">
        <ns0:f>IF(AND(F378="승인",K378&gt;='정책'!$C$6,M378=1,L378&gt;=N378),1,0)</ns0:f>
        <ns0:v>0</ns0:v>
      </ns0:c>
    </ns0:row>
    <ns0:row r="379">
      <ns0:c r="B379" s="17" t="str">
        <ns0:f>'신청원본'!B379</ns0:f>
        <ns0:v>APP000374</ns0:v>
      </ns0:c>
      <ns0:c r="C379" s="17" t="str">
        <ns0:f>'신청원본'!C379</ns0:f>
        <ns0:v>000054</ns0:v>
      </ns0:c>
      <ns0:c r="D379" t="str">
        <ns0:f>'신청원본'!D379</ns0:f>
        <ns0:v>지원</ns0:v>
      </ns0:c>
      <ns0:c r="E379" t="str">
        <ns0:f>'신청원본'!E379</ns0:f>
        <ns0:v>C08</ns0:v>
      </ns0:c>
      <ns0:c r="F379" t="str">
        <ns0:f>'신청원본'!H379</ns0:f>
        <ns0:v>승인</ns0:v>
      </ns0:c>
      <ns0:c r="G379" s="18" t="n">
        <ns0:f>VLOOKUP(E379,'교육기준'!$B$6:$F$17,3,FALSE)</ns0:f>
        <ns0:v>222512</ns0:v>
      </ns0:c>
      <ns0:c r="H379" s="18" t="n">
        <ns0:f>'신청원본'!G379</ns0:f>
        <ns0:v>1</ns0:v>
      </ns0:c>
      <ns0:c r="I379" s="19" t="n">
        <ns0:f>'신청원본'!I379</ns0:f>
        <ns0:v>0.05</ns0:v>
      </ns0:c>
      <ns0:c r="J379" s="18" t="n">
        <ns0:f>IF(F379="승인",IF(COUNTA('신청원본'!J379)=0,ROUND(G379*H379*(1-I379),'정책'!$C$8),'신청원본'!J379),0)</ns0:f>
        <ns0:v>211386</ns0:v>
      </ns0:c>
      <ns0:c r="K379" t="n">
        <ns0:f>SUMIFS('출결원본'!$D$6:$D$1445,'출결원본'!$B$6:$B$1445,B379)</ns0:f>
        <ns0:v>3</ns0:v>
      </ns0:c>
      <ns0:c r="L379" t="n">
        <ns0:f>VLOOKUP(B379,'평가원본'!$B$6:$D$485,2,FALSE)</ns0:f>
        <ns0:v>60</ns0:v>
      </ns0:c>
      <ns0:c r="M379" t="n">
        <ns0:f>VLOOKUP(B379,'평가원본'!$B$6:$D$485,3,FALSE)</ns0:f>
        <ns0:v>1</ns0:v>
      </ns0:c>
      <ns0:c r="N379" t="n">
        <ns0:f>VLOOKUP(E379,'교육기준'!$B$6:$F$17,5,FALSE)</ns0:f>
        <ns0:v>70</ns0:v>
      </ns0:c>
      <ns0:c r="O379" t="n">
        <ns0:f>IF(AND(F379="승인",K379&gt;='정책'!$C$6,M379=1,L379&gt;=N379),1,0)</ns0:f>
        <ns0:v>0</ns0:v>
      </ns0:c>
    </ns0:row>
    <ns0:row r="380">
      <ns0:c r="B380" s="17" t="str">
        <ns0:f>'신청원본'!B380</ns0:f>
        <ns0:v>APP000375</ns0:v>
      </ns0:c>
      <ns0:c r="C380" s="17" t="str">
        <ns0:f>'신청원본'!C380</ns0:f>
        <ns0:v>000055</ns0:v>
      </ns0:c>
      <ns0:c r="D380" t="str">
        <ns0:f>'신청원본'!D380</ns0:f>
        <ns0:v>개발</ns0:v>
      </ns0:c>
      <ns0:c r="E380" t="str">
        <ns0:f>'신청원본'!E380</ns0:f>
        <ns0:v>C03</ns0:v>
      </ns0:c>
      <ns0:c r="F380" t="str">
        <ns0:f>'신청원본'!H380</ns0:f>
        <ns0:v>취소</ns0:v>
      </ns0:c>
      <ns0:c r="G380" s="18" t="n">
        <ns0:f>VLOOKUP(E380,'교육기준'!$B$6:$F$17,3,FALSE)</ns0:f>
        <ns0:v>135007</ns0:v>
      </ns0:c>
      <ns0:c r="H380" s="18" t="n">
        <ns0:f>'신청원본'!G380</ns0:f>
        <ns0:v>2</ns0:v>
      </ns0:c>
      <ns0:c r="I380" s="19" t="n">
        <ns0:f>'신청원본'!I380</ns0:f>
        <ns0:v>0.1</ns0:v>
      </ns0:c>
      <ns0:c r="J380" s="18" t="n">
        <ns0:f>IF(F380="승인",IF(COUNTA('신청원본'!J380)=0,ROUND(G380*H380*(1-I380),'정책'!$C$8),'신청원본'!J380),0)</ns0:f>
        <ns0:v>0</ns0:v>
      </ns0:c>
      <ns0:c r="K380" t="n">
        <ns0:f>SUMIFS('출결원본'!$D$6:$D$1445,'출결원본'!$B$6:$B$1445,B380)</ns0:f>
        <ns0:v>3</ns0:v>
      </ns0:c>
      <ns0:c r="L380" t="n">
        <ns0:f>VLOOKUP(B380,'평가원본'!$B$6:$D$485,2,FALSE)</ns0:f>
        <ns0:v>67</ns0:v>
      </ns0:c>
      <ns0:c r="M380" t="n">
        <ns0:f>VLOOKUP(B380,'평가원본'!$B$6:$D$485,3,FALSE)</ns0:f>
        <ns0:v>1</ns0:v>
      </ns0:c>
      <ns0:c r="N380" t="n">
        <ns0:f>VLOOKUP(E380,'교육기준'!$B$6:$F$17,5,FALSE)</ns0:f>
        <ns0:v>80</ns0:v>
      </ns0:c>
      <ns0:c r="O380" t="n">
        <ns0:f>IF(AND(F380="승인",K380&gt;='정책'!$C$6,M380=1,L380&gt;=N380),1,0)</ns0:f>
        <ns0:v>0</ns0:v>
      </ns0:c>
    </ns0:row>
    <ns0:row r="381">
      <ns0:c r="B381" s="17" t="str">
        <ns0:f>'신청원본'!B381</ns0:f>
        <ns0:v>APP000376</ns0:v>
      </ns0:c>
      <ns0:c r="C381" s="17" t="str">
        <ns0:f>'신청원본'!C381</ns0:f>
        <ns0:v>000056</ns0:v>
      </ns0:c>
      <ns0:c r="D381" t="str">
        <ns0:f>'신청원본'!D381</ns0:f>
        <ns0:v>생산</ns0:v>
      </ns0:c>
      <ns0:c r="E381" t="str">
        <ns0:f>'신청원본'!E381</ns0:f>
        <ns0:v>C10</ns0:v>
      </ns0:c>
      <ns0:c r="F381" t="str">
        <ns0:f>'신청원본'!H381</ns0:f>
        <ns0:v>승인</ns0:v>
      </ns0:c>
      <ns0:c r="G381" s="18" t="n">
        <ns0:f>VLOOKUP(E381,'교육기준'!$B$6:$F$17,3,FALSE)</ns0:f>
        <ns0:v>257514</ns0:v>
      </ns0:c>
      <ns0:c r="H381" s="18" t="n">
        <ns0:f>'신청원본'!G381</ns0:f>
        <ns0:v>3</ns0:v>
      </ns0:c>
      <ns0:c r="I381" s="19" t="n">
        <ns0:f>'신청원본'!I381</ns0:f>
        <ns0:v>0.125</ns0:v>
      </ns0:c>
      <ns0:c r="J381" s="18" t="n">
        <ns0:f>IF(F381="승인",IF(COUNTA('신청원본'!J381)=0,ROUND(G381*H381*(1-I381),'정책'!$C$8),'신청원본'!J381),0)</ns0:f>
        <ns0:v>675974</ns0:v>
      </ns0:c>
      <ns0:c r="K381" t="n">
        <ns0:f>SUMIFS('출결원본'!$D$6:$D$1445,'출결원본'!$B$6:$B$1445,B381)</ns0:f>
        <ns0:v>3</ns0:v>
      </ns0:c>
      <ns0:c r="L381" t="n">
        <ns0:f>VLOOKUP(B381,'평가원본'!$B$6:$D$485,2,FALSE)</ns0:f>
        <ns0:v>74</ns0:v>
      </ns0:c>
      <ns0:c r="M381" t="n">
        <ns0:f>VLOOKUP(B381,'평가원본'!$B$6:$D$485,3,FALSE)</ns0:f>
        <ns0:v>1</ns0:v>
      </ns0:c>
      <ns0:c r="N381" t="n">
        <ns0:f>VLOOKUP(E381,'교육기준'!$B$6:$F$17,5,FALSE)</ns0:f>
        <ns0:v>60</ns0:v>
      </ns0:c>
      <ns0:c r="O381" t="n">
        <ns0:f>IF(AND(F381="승인",K381&gt;='정책'!$C$6,M381=1,L381&gt;=N381),1,0)</ns0:f>
        <ns0:v>1</ns0:v>
      </ns0:c>
    </ns0:row>
    <ns0:row r="382">
      <ns0:c r="B382" s="17" t="str">
        <ns0:f>'신청원본'!B382</ns0:f>
        <ns0:v>APP000377</ns0:v>
      </ns0:c>
      <ns0:c r="C382" s="17" t="str">
        <ns0:f>'신청원본'!C382</ns0:f>
        <ns0:v>000057</ns0:v>
      </ns0:c>
      <ns0:c r="D382" t="str">
        <ns0:f>'신청원본'!D382</ns0:f>
        <ns0:v>품질</ns0:v>
      </ns0:c>
      <ns0:c r="E382" t="str">
        <ns0:f>'신청원본'!E382</ns0:f>
        <ns0:v>C05</ns0:v>
      </ns0:c>
      <ns0:c r="F382" t="str">
        <ns0:f>'신청원본'!H382</ns0:f>
        <ns0:v>승인</ns0:v>
      </ns0:c>
      <ns0:c r="G382" s="18" t="n">
        <ns0:f>VLOOKUP(E382,'교육기준'!$B$6:$F$17,3,FALSE)</ns0:f>
        <ns0:v>170009</ns0:v>
      </ns0:c>
      <ns0:c r="H382" s="18" t="n">
        <ns0:f>'신청원본'!G382</ns0:f>
        <ns0:v>4</ns0:v>
      </ns0:c>
      <ns0:c r="I382" s="19" t="n">
        <ns0:f>'신청원본'!I382</ns0:f>
        <ns0:v>0</ns0:v>
      </ns0:c>
      <ns0:c r="J382" s="18" t="n">
        <ns0:f>IF(F382="승인",IF(COUNTA('신청원본'!J382)=0,ROUND(G382*H382*(1-I382),'정책'!$C$8),'신청원본'!J382),0)</ns0:f>
        <ns0:v>680036</ns0:v>
      </ns0:c>
      <ns0:c r="K382" t="n">
        <ns0:f>SUMIFS('출결원본'!$D$6:$D$1445,'출결원본'!$B$6:$B$1445,B382)</ns0:f>
        <ns0:v>3</ns0:v>
      </ns0:c>
      <ns0:c r="L382" t="n">
        <ns0:f>VLOOKUP(B382,'평가원본'!$B$6:$D$485,2,FALSE)</ns0:f>
        <ns0:v>81</ns0:v>
      </ns0:c>
      <ns0:c r="M382" t="n">
        <ns0:f>VLOOKUP(B382,'평가원본'!$B$6:$D$485,3,FALSE)</ns0:f>
        <ns0:v>1</ns0:v>
      </ns0:c>
      <ns0:c r="N382" t="n">
        <ns0:f>VLOOKUP(E382,'교육기준'!$B$6:$F$17,5,FALSE)</ns0:f>
        <ns0:v>70</ns0:v>
      </ns0:c>
      <ns0:c r="O382" t="n">
        <ns0:f>IF(AND(F382="승인",K382&gt;='정책'!$C$6,M382=1,L382&gt;=N382),1,0)</ns0:f>
        <ns0:v>1</ns0:v>
      </ns0:c>
    </ns0:row>
    <ns0:row r="383">
      <ns0:c r="B383" s="17" t="str">
        <ns0:f>'신청원본'!B383</ns0:f>
        <ns0:v>APP000378</ns0:v>
      </ns0:c>
      <ns0:c r="C383" s="17" t="str">
        <ns0:f>'신청원본'!C383</ns0:f>
        <ns0:v>000058</ns0:v>
      </ns0:c>
      <ns0:c r="D383" t="str">
        <ns0:f>'신청원본'!D383</ns0:f>
        <ns0:v>기획</ns0:v>
      </ns0:c>
      <ns0:c r="E383" t="str">
        <ns0:f>'신청원본'!E383</ns0:f>
        <ns0:v>C12</ns0:v>
      </ns0:c>
      <ns0:c r="F383" t="str">
        <ns0:f>'신청원본'!H383</ns0:f>
        <ns0:v>승인</ns0:v>
      </ns0:c>
      <ns0:c r="G383" s="18" t="n">
        <ns0:f>VLOOKUP(E383,'교육기준'!$B$6:$F$17,3,FALSE)</ns0:f>
        <ns0:v>292516</ns0:v>
      </ns0:c>
      <ns0:c r="H383" s="18" t="n">
        <ns0:f>'신청원본'!G383</ns0:f>
        <ns0:v>5</ns0:v>
      </ns0:c>
      <ns0:c r="I383" s="19" t="n">
        <ns0:f>'신청원본'!I383</ns0:f>
        <ns0:v>0.05</ns0:v>
      </ns0:c>
      <ns0:c r="J383" s="18" t="n">
        <ns0:f>IF(F383="승인",IF(COUNTA('신청원본'!J383)=0,ROUND(G383*H383*(1-I383),'정책'!$C$8),'신청원본'!J383),0)</ns0:f>
        <ns0:v>1389451</ns0:v>
      </ns0:c>
      <ns0:c r="K383" t="n">
        <ns0:f>SUMIFS('출결원본'!$D$6:$D$1445,'출결원본'!$B$6:$B$1445,B383)</ns0:f>
        <ns0:v>2</ns0:v>
      </ns0:c>
      <ns0:c r="L383" t="n">
        <ns0:f>VLOOKUP(B383,'평가원본'!$B$6:$D$485,2,FALSE)</ns0:f>
        <ns0:v>88</ns0:v>
      </ns0:c>
      <ns0:c r="M383" t="n">
        <ns0:f>VLOOKUP(B383,'평가원본'!$B$6:$D$485,3,FALSE)</ns0:f>
        <ns0:v>1</ns0:v>
      </ns0:c>
      <ns0:c r="N383" t="n">
        <ns0:f>VLOOKUP(E383,'교육기준'!$B$6:$F$17,5,FALSE)</ns0:f>
        <ns0:v>80</ns0:v>
      </ns0:c>
      <ns0:c r="O383" t="n">
        <ns0:f>IF(AND(F383="승인",K383&gt;='정책'!$C$6,M383=1,L383&gt;=N383),1,0)</ns0:f>
        <ns0:v>0</ns0:v>
      </ns0:c>
    </ns0:row>
    <ns0:row r="384">
      <ns0:c r="B384" s="17" t="str">
        <ns0:f>'신청원본'!B384</ns0:f>
        <ns0:v>APP000379</ns0:v>
      </ns0:c>
      <ns0:c r="C384" s="17" t="str">
        <ns0:f>'신청원본'!C384</ns0:f>
        <ns0:v>000059</ns0:v>
      </ns0:c>
      <ns0:c r="D384" t="str">
        <ns0:f>'신청원본'!D384</ns0:f>
        <ns0:v>영업</ns0:v>
      </ns0:c>
      <ns0:c r="E384" t="str">
        <ns0:f>'신청원본'!E384</ns0:f>
        <ns0:v>C07</ns0:v>
      </ns0:c>
      <ns0:c r="F384" t="str">
        <ns0:f>'신청원본'!H384</ns0:f>
        <ns0:v>대기</ns0:v>
      </ns0:c>
      <ns0:c r="G384" s="18" t="n">
        <ns0:f>VLOOKUP(E384,'교육기준'!$B$6:$F$17,3,FALSE)</ns0:f>
        <ns0:v>205011</ns0:v>
      </ns0:c>
      <ns0:c r="H384" s="18" t="n">
        <ns0:f>'신청원본'!G384</ns0:f>
        <ns0:v>0</ns0:v>
      </ns0:c>
      <ns0:c r="I384" s="19" t="n">
        <ns0:f>'신청원본'!I384</ns0:f>
        <ns0:v>0.1</ns0:v>
      </ns0:c>
      <ns0:c r="J384" s="18" t="n">
        <ns0:f>IF(F384="승인",IF(COUNTA('신청원본'!J384)=0,ROUND(G384*H384*(1-I384),'정책'!$C$8),'신청원본'!J384),0)</ns0:f>
        <ns0:v>0</ns0:v>
      </ns0:c>
      <ns0:c r="K384" t="n">
        <ns0:f>SUMIFS('출결원본'!$D$6:$D$1445,'출결원본'!$B$6:$B$1445,B384)</ns0:f>
        <ns0:v>2</ns0:v>
      </ns0:c>
      <ns0:c r="L384" t="n">
        <ns0:f>VLOOKUP(B384,'평가원본'!$B$6:$D$485,2,FALSE)</ns0:f>
        <ns0:v>95</ns0:v>
      </ns0:c>
      <ns0:c r="M384" t="n">
        <ns0:f>VLOOKUP(B384,'평가원본'!$B$6:$D$485,3,FALSE)</ns0:f>
        <ns0:v>1</ns0:v>
      </ns0:c>
      <ns0:c r="N384" t="n">
        <ns0:f>VLOOKUP(E384,'교육기준'!$B$6:$F$17,5,FALSE)</ns0:f>
        <ns0:v>60</ns0:v>
      </ns0:c>
      <ns0:c r="O384" t="n">
        <ns0:f>IF(AND(F384="승인",K384&gt;='정책'!$C$6,M384=1,L384&gt;=N384),1,0)</ns0:f>
        <ns0:v>0</ns0:v>
      </ns0:c>
    </ns0:row>
    <ns0:row r="385">
      <ns0:c r="B385" s="17" t="str">
        <ns0:f>'신청원본'!B385</ns0:f>
        <ns0:v>APP000380</ns0:v>
      </ns0:c>
      <ns0:c r="C385" s="17" t="str">
        <ns0:f>'신청원본'!C385</ns0:f>
        <ns0:v>000060</ns0:v>
      </ns0:c>
      <ns0:c r="D385" t="str">
        <ns0:f>'신청원본'!D385</ns0:f>
        <ns0:v>지원</ns0:v>
      </ns0:c>
      <ns0:c r="E385" t="str">
        <ns0:f>'신청원본'!E385</ns0:f>
        <ns0:v>C02</ns0:v>
      </ns0:c>
      <ns0:c r="F385" t="str">
        <ns0:f>'신청원본'!H385</ns0:f>
        <ns0:v>승인</ns0:v>
      </ns0:c>
      <ns0:c r="G385" s="18" t="n">
        <ns0:f>VLOOKUP(E385,'교육기준'!$B$6:$F$17,3,FALSE)</ns0:f>
        <ns0:v>117506</ns0:v>
      </ns0:c>
      <ns0:c r="H385" s="18" t="n">
        <ns0:f>'신청원본'!G385</ns0:f>
        <ns0:v>1</ns0:v>
      </ns0:c>
      <ns0:c r="I385" s="19" t="n">
        <ns0:f>'신청원본'!I385</ns0:f>
        <ns0:v>0.125</ns0:v>
      </ns0:c>
      <ns0:c r="J385" s="18" t="n">
        <ns0:f>IF(F385="승인",IF(COUNTA('신청원본'!J385)=0,ROUND(G385*H385*(1-I385),'정책'!$C$8),'신청원본'!J385),0)</ns0:f>
        <ns0:v>102818</ns0:v>
      </ns0:c>
      <ns0:c r="K385" t="n">
        <ns0:f>SUMIFS('출결원본'!$D$6:$D$1445,'출결원본'!$B$6:$B$1445,B385)</ns0:f>
        <ns0:v>3</ns0:v>
      </ns0:c>
      <ns0:c r="L385" t="n">
        <ns0:f>VLOOKUP(B385,'평가원본'!$B$6:$D$485,2,FALSE)</ns0:f>
        <ns0:v>51</ns0:v>
      </ns0:c>
      <ns0:c r="M385" t="n">
        <ns0:f>VLOOKUP(B385,'평가원본'!$B$6:$D$485,3,FALSE)</ns0:f>
        <ns0:v>1</ns0:v>
      </ns0:c>
      <ns0:c r="N385" t="n">
        <ns0:f>VLOOKUP(E385,'교육기준'!$B$6:$F$17,5,FALSE)</ns0:f>
        <ns0:v>70</ns0:v>
      </ns0:c>
      <ns0:c r="O385" t="n">
        <ns0:f>IF(AND(F385="승인",K385&gt;='정책'!$C$6,M385=1,L385&gt;=N385),1,0)</ns0:f>
        <ns0:v>0</ns0:v>
      </ns0:c>
    </ns0:row>
    <ns0:row r="386">
      <ns0:c r="B386" s="17" t="str">
        <ns0:f>'신청원본'!B386</ns0:f>
        <ns0:v>APP000381</ns0:v>
      </ns0:c>
      <ns0:c r="C386" s="17" t="str">
        <ns0:f>'신청원본'!C386</ns0:f>
        <ns0:v>000061</ns0:v>
      </ns0:c>
      <ns0:c r="D386" t="str">
        <ns0:f>'신청원본'!D386</ns0:f>
        <ns0:v>개발</ns0:v>
      </ns0:c>
      <ns0:c r="E386" t="str">
        <ns0:f>'신청원본'!E386</ns0:f>
        <ns0:v>C09</ns0:v>
      </ns0:c>
      <ns0:c r="F386" t="str">
        <ns0:f>'신청원본'!H386</ns0:f>
        <ns0:v>승인</ns0:v>
      </ns0:c>
      <ns0:c r="G386" s="18" t="n">
        <ns0:f>VLOOKUP(E386,'교육기준'!$B$6:$F$17,3,FALSE)</ns0:f>
        <ns0:v>240013</ns0:v>
      </ns0:c>
      <ns0:c r="H386" s="18" t="n">
        <ns0:f>'신청원본'!G386</ns0:f>
        <ns0:v>2</ns0:v>
      </ns0:c>
      <ns0:c r="I386" s="19" t="n">
        <ns0:f>'신청원본'!I386</ns0:f>
        <ns0:v>0</ns0:v>
      </ns0:c>
      <ns0:c r="J386" s="18" t="n">
        <ns0:f>IF(F386="승인",IF(COUNTA('신청원본'!J386)=0,ROUND(G386*H386*(1-I386),'정책'!$C$8),'신청원본'!J386),0)</ns0:f>
        <ns0:v>480026</ns0:v>
      </ns0:c>
      <ns0:c r="K386" t="n">
        <ns0:f>SUMIFS('출결원본'!$D$6:$D$1445,'출결원본'!$B$6:$B$1445,B386)</ns0:f>
        <ns0:v>3</ns0:v>
      </ns0:c>
      <ns0:c r="L386" t="n">
        <ns0:f>VLOOKUP(B386,'평가원본'!$B$6:$D$485,2,FALSE)</ns0:f>
        <ns0:v>58</ns0:v>
      </ns0:c>
      <ns0:c r="M386" t="n">
        <ns0:f>VLOOKUP(B386,'평가원본'!$B$6:$D$485,3,FALSE)</ns0:f>
        <ns0:v>0</ns0:v>
      </ns0:c>
      <ns0:c r="N386" t="n">
        <ns0:f>VLOOKUP(E386,'교육기준'!$B$6:$F$17,5,FALSE)</ns0:f>
        <ns0:v>80</ns0:v>
      </ns0:c>
      <ns0:c r="O386" t="n">
        <ns0:f>IF(AND(F386="승인",K386&gt;='정책'!$C$6,M386=1,L386&gt;=N386),1,0)</ns0:f>
        <ns0:v>0</ns0:v>
      </ns0:c>
    </ns0:row>
    <ns0:row r="387">
      <ns0:c r="B387" s="17" t="str">
        <ns0:f>'신청원본'!B387</ns0:f>
        <ns0:v>APP000382</ns0:v>
      </ns0:c>
      <ns0:c r="C387" s="17" t="str">
        <ns0:f>'신청원본'!C387</ns0:f>
        <ns0:v>000062</ns0:v>
      </ns0:c>
      <ns0:c r="D387" t="str">
        <ns0:f>'신청원본'!D387</ns0:f>
        <ns0:v>생산</ns0:v>
      </ns0:c>
      <ns0:c r="E387" t="str">
        <ns0:f>'신청원본'!E387</ns0:f>
        <ns0:v>C04</ns0:v>
      </ns0:c>
      <ns0:c r="F387" t="str">
        <ns0:f>'신청원본'!H387</ns0:f>
        <ns0:v>승인</ns0:v>
      </ns0:c>
      <ns0:c r="G387" s="18" t="n">
        <ns0:f>VLOOKUP(E387,'교육기준'!$B$6:$F$17,3,FALSE)</ns0:f>
        <ns0:v>152508</ns0:v>
      </ns0:c>
      <ns0:c r="H387" s="18" t="n">
        <ns0:f>'신청원본'!G387</ns0:f>
        <ns0:v>3</ns0:v>
      </ns0:c>
      <ns0:c r="I387" s="19" t="n">
        <ns0:f>'신청원본'!I387</ns0:f>
        <ns0:v>0.05</ns0:v>
      </ns0:c>
      <ns0:c r="J387" s="18" t="n">
        <ns0:f>IF(F387="승인",IF(COUNTA('신청원본'!J387)=0,ROUND(G387*H387*(1-I387),'정책'!$C$8),'신청원본'!J387),0)</ns0:f>
        <ns0:v>434648</ns0:v>
      </ns0:c>
      <ns0:c r="K387" t="n">
        <ns0:f>SUMIFS('출결원본'!$D$6:$D$1445,'출결원본'!$B$6:$B$1445,B387)</ns0:f>
        <ns0:v>3</ns0:v>
      </ns0:c>
      <ns0:c r="L387" t="n">
        <ns0:f>VLOOKUP(B387,'평가원본'!$B$6:$D$485,2,FALSE)</ns0:f>
        <ns0:v>65</ns0:v>
      </ns0:c>
      <ns0:c r="M387" t="n">
        <ns0:f>VLOOKUP(B387,'평가원본'!$B$6:$D$485,3,FALSE)</ns0:f>
        <ns0:v>1</ns0:v>
      </ns0:c>
      <ns0:c r="N387" t="n">
        <ns0:f>VLOOKUP(E387,'교육기준'!$B$6:$F$17,5,FALSE)</ns0:f>
        <ns0:v>60</ns0:v>
      </ns0:c>
      <ns0:c r="O387" t="n">
        <ns0:f>IF(AND(F387="승인",K387&gt;='정책'!$C$6,M387=1,L387&gt;=N387),1,0)</ns0:f>
        <ns0:v>1</ns0:v>
      </ns0:c>
    </ns0:row>
    <ns0:row r="388">
      <ns0:c r="B388" s="17" t="str">
        <ns0:f>'신청원본'!B388</ns0:f>
        <ns0:v>APP000383</ns0:v>
      </ns0:c>
      <ns0:c r="C388" s="17" t="str">
        <ns0:f>'신청원본'!C388</ns0:f>
        <ns0:v>000063</ns0:v>
      </ns0:c>
      <ns0:c r="D388" t="str">
        <ns0:f>'신청원본'!D388</ns0:f>
        <ns0:v>품질</ns0:v>
      </ns0:c>
      <ns0:c r="E388" t="str">
        <ns0:f>'신청원본'!E388</ns0:f>
        <ns0:v>C11</ns0:v>
      </ns0:c>
      <ns0:c r="F388" t="str">
        <ns0:f>'신청원본'!H388</ns0:f>
        <ns0:v>승인</ns0:v>
      </ns0:c>
      <ns0:c r="G388" s="18" t="n">
        <ns0:f>VLOOKUP(E388,'교육기준'!$B$6:$F$17,3,FALSE)</ns0:f>
        <ns0:v>275015</ns0:v>
      </ns0:c>
      <ns0:c r="H388" s="18" t="n">
        <ns0:f>'신청원본'!G388</ns0:f>
        <ns0:v>4</ns0:v>
      </ns0:c>
      <ns0:c r="I388" s="19" t="n">
        <ns0:f>'신청원본'!I388</ns0:f>
        <ns0:v>0.1</ns0:v>
      </ns0:c>
      <ns0:c r="J388" s="18" t="n">
        <ns0:f>IF(F388="승인",IF(COUNTA('신청원본'!J388)=0,ROUND(G388*H388*(1-I388),'정책'!$C$8),'신청원본'!J388),0)</ns0:f>
        <ns0:v>990054</ns0:v>
      </ns0:c>
      <ns0:c r="K388" t="n">
        <ns0:f>SUMIFS('출결원본'!$D$6:$D$1445,'출결원본'!$B$6:$B$1445,B388)</ns0:f>
        <ns0:v>3</ns0:v>
      </ns0:c>
      <ns0:c r="L388" t="n">
        <ns0:f>VLOOKUP(B388,'평가원본'!$B$6:$D$485,2,FALSE)</ns0:f>
        <ns0:v>72</ns0:v>
      </ns0:c>
      <ns0:c r="M388" t="n">
        <ns0:f>VLOOKUP(B388,'평가원본'!$B$6:$D$485,3,FALSE)</ns0:f>
        <ns0:v>1</ns0:v>
      </ns0:c>
      <ns0:c r="N388" t="n">
        <ns0:f>VLOOKUP(E388,'교육기준'!$B$6:$F$17,5,FALSE)</ns0:f>
        <ns0:v>70</ns0:v>
      </ns0:c>
      <ns0:c r="O388" t="n">
        <ns0:f>IF(AND(F388="승인",K388&gt;='정책'!$C$6,M388=1,L388&gt;=N388),1,0)</ns0:f>
        <ns0:v>1</ns0:v>
      </ns0:c>
    </ns0:row>
    <ns0:row r="389">
      <ns0:c r="B389" s="17" t="str">
        <ns0:f>'신청원본'!B389</ns0:f>
        <ns0:v>APP000384</ns0:v>
      </ns0:c>
      <ns0:c r="C389" s="17" t="str">
        <ns0:f>'신청원본'!C389</ns0:f>
        <ns0:v>000064</ns0:v>
      </ns0:c>
      <ns0:c r="D389" t="str">
        <ns0:f>'신청원본'!D389</ns0:f>
        <ns0:v>기획</ns0:v>
      </ns0:c>
      <ns0:c r="E389" t="str">
        <ns0:f>'신청원본'!E389</ns0:f>
        <ns0:v>C06</ns0:v>
      </ns0:c>
      <ns0:c r="F389" t="str">
        <ns0:f>'신청원본'!H389</ns0:f>
        <ns0:v>승인</ns0:v>
      </ns0:c>
      <ns0:c r="G389" s="18" t="n">
        <ns0:f>VLOOKUP(E389,'교육기준'!$B$6:$F$17,3,FALSE)</ns0:f>
        <ns0:v>187510</ns0:v>
      </ns0:c>
      <ns0:c r="H389" s="18" t="n">
        <ns0:f>'신청원본'!G389</ns0:f>
        <ns0:v>5</ns0:v>
      </ns0:c>
      <ns0:c r="I389" s="19" t="n">
        <ns0:f>'신청원본'!I389</ns0:f>
        <ns0:v>0.125</ns0:v>
      </ns0:c>
      <ns0:c r="J389" s="18" t="n">
        <ns0:f>IF(F389="승인",IF(COUNTA('신청원본'!J389)=0,ROUND(G389*H389*(1-I389),'정책'!$C$8),'신청원본'!J389),0)</ns0:f>
        <ns0:v>820356</ns0:v>
      </ns0:c>
      <ns0:c r="K389" t="n">
        <ns0:f>SUMIFS('출결원본'!$D$6:$D$1445,'출결원본'!$B$6:$B$1445,B389)</ns0:f>
        <ns0:v>3</ns0:v>
      </ns0:c>
      <ns0:c r="L389" t="n">
        <ns0:f>VLOOKUP(B389,'평가원본'!$B$6:$D$485,2,FALSE)</ns0:f>
        <ns0:v>79</ns0:v>
      </ns0:c>
      <ns0:c r="M389" t="n">
        <ns0:f>VLOOKUP(B389,'평가원본'!$B$6:$D$485,3,FALSE)</ns0:f>
        <ns0:v>1</ns0:v>
      </ns0:c>
      <ns0:c r="N389" t="n">
        <ns0:f>VLOOKUP(E389,'교육기준'!$B$6:$F$17,5,FALSE)</ns0:f>
        <ns0:v>80</ns0:v>
      </ns0:c>
      <ns0:c r="O389" t="n">
        <ns0:f>IF(AND(F389="승인",K389&gt;='정책'!$C$6,M389=1,L389&gt;=N389),1,0)</ns0:f>
        <ns0:v>0</ns0:v>
      </ns0:c>
    </ns0:row>
    <ns0:row r="390">
      <ns0:c r="B390" s="17" t="str">
        <ns0:f>'신청원본'!B390</ns0:f>
        <ns0:v>APP000385</ns0:v>
      </ns0:c>
      <ns0:c r="C390" s="17" t="str">
        <ns0:f>'신청원본'!C390</ns0:f>
        <ns0:v>000065</ns0:v>
      </ns0:c>
      <ns0:c r="D390" t="str">
        <ns0:f>'신청원본'!D390</ns0:f>
        <ns0:v>영업</ns0:v>
      </ns0:c>
      <ns0:c r="E390" t="str">
        <ns0:f>'신청원본'!E390</ns0:f>
        <ns0:v>C01</ns0:v>
      </ns0:c>
      <ns0:c r="F390" t="str">
        <ns0:f>'신청원본'!H390</ns0:f>
        <ns0:v>승인</ns0:v>
      </ns0:c>
      <ns0:c r="G390" s="18" t="n">
        <ns0:f>VLOOKUP(E390,'교육기준'!$B$6:$F$17,3,FALSE)</ns0:f>
        <ns0:v>100005</ns0:v>
      </ns0:c>
      <ns0:c r="H390" s="18" t="n">
        <ns0:f>'신청원본'!G390</ns0:f>
        <ns0:v>0</ns0:v>
      </ns0:c>
      <ns0:c r="I390" s="19" t="n">
        <ns0:f>'신청원본'!I390</ns0:f>
        <ns0:v>0</ns0:v>
      </ns0:c>
      <ns0:c r="J390" s="18" t="n">
        <ns0:f>IF(F390="승인",IF(COUNTA('신청원본'!J390)=0,ROUND(G390*H390*(1-I390),'정책'!$C$8),'신청원본'!J390),0)</ns0:f>
        <ns0:v>0</ns0:v>
      </ns0:c>
      <ns0:c r="K390" t="n">
        <ns0:f>SUMIFS('출결원본'!$D$6:$D$1445,'출결원본'!$B$6:$B$1445,B390)</ns0:f>
        <ns0:v>3</ns0:v>
      </ns0:c>
      <ns0:c r="L390" t="n">
        <ns0:f>VLOOKUP(B390,'평가원본'!$B$6:$D$485,2,FALSE)</ns0:f>
        <ns0:v>86</ns0:v>
      </ns0:c>
      <ns0:c r="M390" t="n">
        <ns0:f>VLOOKUP(B390,'평가원본'!$B$6:$D$485,3,FALSE)</ns0:f>
        <ns0:v>1</ns0:v>
      </ns0:c>
      <ns0:c r="N390" t="n">
        <ns0:f>VLOOKUP(E390,'교육기준'!$B$6:$F$17,5,FALSE)</ns0:f>
        <ns0:v>60</ns0:v>
      </ns0:c>
      <ns0:c r="O390" t="n">
        <ns0:f>IF(AND(F390="승인",K390&gt;='정책'!$C$6,M390=1,L390&gt;=N390),1,0)</ns0:f>
        <ns0:v>1</ns0:v>
      </ns0:c>
    </ns0:row>
    <ns0:row r="391">
      <ns0:c r="B391" s="17" t="str">
        <ns0:f>'신청원본'!B391</ns0:f>
        <ns0:v>APP000386</ns0:v>
      </ns0:c>
      <ns0:c r="C391" s="17" t="str">
        <ns0:f>'신청원본'!C391</ns0:f>
        <ns0:v>000066</ns0:v>
      </ns0:c>
      <ns0:c r="D391" t="str">
        <ns0:f>'신청원본'!D391</ns0:f>
        <ns0:v>지원</ns0:v>
      </ns0:c>
      <ns0:c r="E391" t="str">
        <ns0:f>'신청원본'!E391</ns0:f>
        <ns0:v>C08</ns0:v>
      </ns0:c>
      <ns0:c r="F391" t="str">
        <ns0:f>'신청원본'!H391</ns0:f>
        <ns0:v>취소</ns0:v>
      </ns0:c>
      <ns0:c r="G391" s="18" t="n">
        <ns0:f>VLOOKUP(E391,'교육기준'!$B$6:$F$17,3,FALSE)</ns0:f>
        <ns0:v>222512</ns0:v>
      </ns0:c>
      <ns0:c r="H391" s="18" t="n">
        <ns0:f>'신청원본'!G391</ns0:f>
        <ns0:v>1</ns0:v>
      </ns0:c>
      <ns0:c r="I391" s="19" t="n">
        <ns0:f>'신청원본'!I391</ns0:f>
        <ns0:v>0.05</ns0:v>
      </ns0:c>
      <ns0:c r="J391" s="18" t="n">
        <ns0:f>IF(F391="승인",IF(COUNTA('신청원본'!J391)=0,ROUND(G391*H391*(1-I391),'정책'!$C$8),'신청원본'!J391),0)</ns0:f>
        <ns0:v>0</ns0:v>
      </ns0:c>
      <ns0:c r="K391" t="n">
        <ns0:f>SUMIFS('출결원본'!$D$6:$D$1445,'출결원본'!$B$6:$B$1445,B391)</ns0:f>
        <ns0:v>3</ns0:v>
      </ns0:c>
      <ns0:c r="L391" t="n">
        <ns0:f>VLOOKUP(B391,'평가원본'!$B$6:$D$485,2,FALSE)</ns0:f>
        <ns0:v>93</ns0:v>
      </ns0:c>
      <ns0:c r="M391" t="n">
        <ns0:f>VLOOKUP(B391,'평가원본'!$B$6:$D$485,3,FALSE)</ns0:f>
        <ns0:v>1</ns0:v>
      </ns0:c>
      <ns0:c r="N391" t="n">
        <ns0:f>VLOOKUP(E391,'교육기준'!$B$6:$F$17,5,FALSE)</ns0:f>
        <ns0:v>70</ns0:v>
      </ns0:c>
      <ns0:c r="O391" t="n">
        <ns0:f>IF(AND(F391="승인",K391&gt;='정책'!$C$6,M391=1,L391&gt;=N391),1,0)</ns0:f>
        <ns0:v>0</ns0:v>
      </ns0:c>
    </ns0:row>
    <ns0:row r="392">
      <ns0:c r="B392" s="17" t="str">
        <ns0:f>'신청원본'!B392</ns0:f>
        <ns0:v>APP000387</ns0:v>
      </ns0:c>
      <ns0:c r="C392" s="17" t="str">
        <ns0:f>'신청원본'!C392</ns0:f>
        <ns0:v>000067</ns0:v>
      </ns0:c>
      <ns0:c r="D392" t="str">
        <ns0:f>'신청원본'!D392</ns0:f>
        <ns0:v>개발</ns0:v>
      </ns0:c>
      <ns0:c r="E392" t="str">
        <ns0:f>'신청원본'!E392</ns0:f>
        <ns0:v>C03</ns0:v>
      </ns0:c>
      <ns0:c r="F392" t="str">
        <ns0:f>'신청원본'!H392</ns0:f>
        <ns0:v>승인</ns0:v>
      </ns0:c>
      <ns0:c r="G392" s="18" t="n">
        <ns0:f>VLOOKUP(E392,'교육기준'!$B$6:$F$17,3,FALSE)</ns0:f>
        <ns0:v>135007</ns0:v>
      </ns0:c>
      <ns0:c r="H392" s="18" t="n">
        <ns0:f>'신청원본'!G392</ns0:f>
        <ns0:v>2</ns0:v>
      </ns0:c>
      <ns0:c r="I392" s="19" t="n">
        <ns0:f>'신청원본'!I392</ns0:f>
        <ns0:v>0.1</ns0:v>
      </ns0:c>
      <ns0:c r="J392" s="18" t="n">
        <ns0:f>IF(F392="승인",IF(COUNTA('신청원본'!J392)=0,ROUND(G392*H392*(1-I392),'정책'!$C$8),'신청원본'!J392),0)</ns0:f>
        <ns0:v>243013</ns0:v>
      </ns0:c>
      <ns0:c r="K392" t="n">
        <ns0:f>SUMIFS('출결원본'!$D$6:$D$1445,'출결원본'!$B$6:$B$1445,B392)</ns0:f>
        <ns0:v>3</ns0:v>
      </ns0:c>
      <ns0:c r="L392" t="n">
        <ns0:f>VLOOKUP(B392,'평가원본'!$B$6:$D$485,2,FALSE)</ns0:f>
        <ns0:v>100</ns0:v>
      </ns0:c>
      <ns0:c r="M392" t="n">
        <ns0:f>VLOOKUP(B392,'평가원본'!$B$6:$D$485,3,FALSE)</ns0:f>
        <ns0:v>1</ns0:v>
      </ns0:c>
      <ns0:c r="N392" t="n">
        <ns0:f>VLOOKUP(E392,'교육기준'!$B$6:$F$17,5,FALSE)</ns0:f>
        <ns0:v>80</ns0:v>
      </ns0:c>
      <ns0:c r="O392" t="n">
        <ns0:f>IF(AND(F392="승인",K392&gt;='정책'!$C$6,M392=1,L392&gt;=N392),1,0)</ns0:f>
        <ns0:v>1</ns0:v>
      </ns0:c>
    </ns0:row>
    <ns0:row r="393">
      <ns0:c r="B393" s="17" t="str">
        <ns0:f>'신청원본'!B393</ns0:f>
        <ns0:v>APP000388</ns0:v>
      </ns0:c>
      <ns0:c r="C393" s="17" t="str">
        <ns0:f>'신청원본'!C393</ns0:f>
        <ns0:v>000068</ns0:v>
      </ns0:c>
      <ns0:c r="D393" t="str">
        <ns0:f>'신청원본'!D393</ns0:f>
        <ns0:v>생산</ns0:v>
      </ns0:c>
      <ns0:c r="E393" t="str">
        <ns0:f>'신청원본'!E393</ns0:f>
        <ns0:v>C10</ns0:v>
      </ns0:c>
      <ns0:c r="F393" t="str">
        <ns0:f>'신청원본'!H393</ns0:f>
        <ns0:v>승인</ns0:v>
      </ns0:c>
      <ns0:c r="G393" s="18" t="n">
        <ns0:f>VLOOKUP(E393,'교육기준'!$B$6:$F$17,3,FALSE)</ns0:f>
        <ns0:v>257514</ns0:v>
      </ns0:c>
      <ns0:c r="H393" s="18" t="n">
        <ns0:f>'신청원본'!G393</ns0:f>
        <ns0:v>3</ns0:v>
      </ns0:c>
      <ns0:c r="I393" s="19" t="n">
        <ns0:f>'신청원본'!I393</ns0:f>
        <ns0:v>0.125</ns0:v>
      </ns0:c>
      <ns0:c r="J393" s="18" t="n">
        <ns0:f>IF(F393="승인",IF(COUNTA('신청원본'!J393)=0,ROUND(G393*H393*(1-I393),'정책'!$C$8),'신청원본'!J393),0)</ns0:f>
        <ns0:v>675974</ns0:v>
      </ns0:c>
      <ns0:c r="K393" t="n">
        <ns0:f>SUMIFS('출결원본'!$D$6:$D$1445,'출결원본'!$B$6:$B$1445,B393)</ns0:f>
        <ns0:v>2</ns0:v>
      </ns0:c>
      <ns0:c r="L393" t="n">
        <ns0:f>VLOOKUP(B393,'평가원본'!$B$6:$D$485,2,FALSE)</ns0:f>
        <ns0:v>56</ns0:v>
      </ns0:c>
      <ns0:c r="M393" t="n">
        <ns0:f>VLOOKUP(B393,'평가원본'!$B$6:$D$485,3,FALSE)</ns0:f>
        <ns0:v>1</ns0:v>
      </ns0:c>
      <ns0:c r="N393" t="n">
        <ns0:f>VLOOKUP(E393,'교육기준'!$B$6:$F$17,5,FALSE)</ns0:f>
        <ns0:v>60</ns0:v>
      </ns0:c>
      <ns0:c r="O393" t="n">
        <ns0:f>IF(AND(F393="승인",K393&gt;='정책'!$C$6,M393=1,L393&gt;=N393),1,0)</ns0:f>
        <ns0:v>0</ns0:v>
      </ns0:c>
    </ns0:row>
    <ns0:row r="394">
      <ns0:c r="B394" s="17" t="str">
        <ns0:f>'신청원본'!B394</ns0:f>
        <ns0:v>APP000389</ns0:v>
      </ns0:c>
      <ns0:c r="C394" s="17" t="str">
        <ns0:f>'신청원본'!C394</ns0:f>
        <ns0:v>000069</ns0:v>
      </ns0:c>
      <ns0:c r="D394" t="str">
        <ns0:f>'신청원본'!D394</ns0:f>
        <ns0:v>품질</ns0:v>
      </ns0:c>
      <ns0:c r="E394" t="str">
        <ns0:f>'신청원본'!E394</ns0:f>
        <ns0:v>C05</ns0:v>
      </ns0:c>
      <ns0:c r="F394" t="str">
        <ns0:f>'신청원본'!H394</ns0:f>
        <ns0:v>승인</ns0:v>
      </ns0:c>
      <ns0:c r="G394" s="18" t="n">
        <ns0:f>VLOOKUP(E394,'교육기준'!$B$6:$F$17,3,FALSE)</ns0:f>
        <ns0:v>170009</ns0:v>
      </ns0:c>
      <ns0:c r="H394" s="18" t="n">
        <ns0:f>'신청원본'!G394</ns0:f>
        <ns0:v>4</ns0:v>
      </ns0:c>
      <ns0:c r="I394" s="19" t="n">
        <ns0:f>'신청원본'!I394</ns0:f>
        <ns0:v>0</ns0:v>
      </ns0:c>
      <ns0:c r="J394" s="18" t="n">
        <ns0:f>IF(F394="승인",IF(COUNTA('신청원본'!J394)=0,ROUND(G394*H394*(1-I394),'정책'!$C$8),'신청원본'!J394),0)</ns0:f>
        <ns0:v>680036</ns0:v>
      </ns0:c>
      <ns0:c r="K394" t="n">
        <ns0:f>SUMIFS('출결원본'!$D$6:$D$1445,'출결원본'!$B$6:$B$1445,B394)</ns0:f>
        <ns0:v>3</ns0:v>
      </ns0:c>
      <ns0:c r="L394" t="n">
        <ns0:f>VLOOKUP(B394,'평가원본'!$B$6:$D$485,2,FALSE)</ns0:f>
        <ns0:v>63</ns0:v>
      </ns0:c>
      <ns0:c r="M394" t="n">
        <ns0:f>VLOOKUP(B394,'평가원본'!$B$6:$D$485,3,FALSE)</ns0:f>
        <ns0:v>1</ns0:v>
      </ns0:c>
      <ns0:c r="N394" t="n">
        <ns0:f>VLOOKUP(E394,'교육기준'!$B$6:$F$17,5,FALSE)</ns0:f>
        <ns0:v>70</ns0:v>
      </ns0:c>
      <ns0:c r="O394" t="n">
        <ns0:f>IF(AND(F394="승인",K394&gt;='정책'!$C$6,M394=1,L394&gt;=N394),1,0)</ns0:f>
        <ns0:v>0</ns0:v>
      </ns0:c>
    </ns0:row>
    <ns0:row r="395">
      <ns0:c r="B395" s="17" t="str">
        <ns0:f>'신청원본'!B395</ns0:f>
        <ns0:v>APP000390</ns0:v>
      </ns0:c>
      <ns0:c r="C395" s="17" t="str">
        <ns0:f>'신청원본'!C395</ns0:f>
        <ns0:v>000070</ns0:v>
      </ns0:c>
      <ns0:c r="D395" t="str">
        <ns0:f>'신청원본'!D395</ns0:f>
        <ns0:v>기획</ns0:v>
      </ns0:c>
      <ns0:c r="E395" t="str">
        <ns0:f>'신청원본'!E395</ns0:f>
        <ns0:v>C12</ns0:v>
      </ns0:c>
      <ns0:c r="F395" t="str">
        <ns0:f>'신청원본'!H395</ns0:f>
        <ns0:v>승인</ns0:v>
      </ns0:c>
      <ns0:c r="G395" s="18" t="n">
        <ns0:f>VLOOKUP(E395,'교육기준'!$B$6:$F$17,3,FALSE)</ns0:f>
        <ns0:v>292516</ns0:v>
      </ns0:c>
      <ns0:c r="H395" s="18" t="n">
        <ns0:f>'신청원본'!G395</ns0:f>
        <ns0:v>5</ns0:v>
      </ns0:c>
      <ns0:c r="I395" s="19" t="n">
        <ns0:f>'신청원본'!I395</ns0:f>
        <ns0:v>0.05</ns0:v>
      </ns0:c>
      <ns0:c r="J395" s="18" t="n">
        <ns0:f>IF(F395="승인",IF(COUNTA('신청원본'!J395)=0,ROUND(G395*H395*(1-I395),'정책'!$C$8),'신청원본'!J395),0)</ns0:f>
        <ns0:v>1389451</ns0:v>
      </ns0:c>
      <ns0:c r="K395" t="n">
        <ns0:f>SUMIFS('출결원본'!$D$6:$D$1445,'출결원본'!$B$6:$B$1445,B395)</ns0:f>
        <ns0:v>3</ns0:v>
      </ns0:c>
      <ns0:c r="L395" t="n">
        <ns0:f>VLOOKUP(B395,'평가원본'!$B$6:$D$485,2,FALSE)</ns0:f>
        <ns0:v>70</ns0:v>
      </ns0:c>
      <ns0:c r="M395" t="n">
        <ns0:f>VLOOKUP(B395,'평가원본'!$B$6:$D$485,3,FALSE)</ns0:f>
        <ns0:v>1</ns0:v>
      </ns0:c>
      <ns0:c r="N395" t="n">
        <ns0:f>VLOOKUP(E395,'교육기준'!$B$6:$F$17,5,FALSE)</ns0:f>
        <ns0:v>80</ns0:v>
      </ns0:c>
      <ns0:c r="O395" t="n">
        <ns0:f>IF(AND(F395="승인",K395&gt;='정책'!$C$6,M395=1,L395&gt;=N395),1,0)</ns0:f>
        <ns0:v>0</ns0:v>
      </ns0:c>
    </ns0:row>
    <ns0:row r="396">
      <ns0:c r="B396" s="17" t="str">
        <ns0:f>'신청원본'!B396</ns0:f>
        <ns0:v>APP000391</ns0:v>
      </ns0:c>
      <ns0:c r="C396" s="17" t="str">
        <ns0:f>'신청원본'!C396</ns0:f>
        <ns0:v>000071</ns0:v>
      </ns0:c>
      <ns0:c r="D396" t="str">
        <ns0:f>'신청원본'!D396</ns0:f>
        <ns0:v>영업</ns0:v>
      </ns0:c>
      <ns0:c r="E396" t="str">
        <ns0:f>'신청원본'!E396</ns0:f>
        <ns0:v>C07</ns0:v>
      </ns0:c>
      <ns0:c r="F396" t="str">
        <ns0:f>'신청원본'!H396</ns0:f>
        <ns0:v>승인</ns0:v>
      </ns0:c>
      <ns0:c r="G396" s="18" t="n">
        <ns0:f>VLOOKUP(E396,'교육기준'!$B$6:$F$17,3,FALSE)</ns0:f>
        <ns0:v>205011</ns0:v>
      </ns0:c>
      <ns0:c r="H396" s="18" t="n">
        <ns0:f>'신청원본'!G396</ns0:f>
        <ns0:v>0</ns0:v>
      </ns0:c>
      <ns0:c r="I396" s="19" t="n">
        <ns0:f>'신청원본'!I396</ns0:f>
        <ns0:v>0.1</ns0:v>
      </ns0:c>
      <ns0:c r="J396" s="18" t="n">
        <ns0:f>IF(F396="승인",IF(COUNTA('신청원본'!J396)=0,ROUND(G396*H396*(1-I396),'정책'!$C$8),'신청원본'!J396),0)</ns0:f>
        <ns0:v>0</ns0:v>
      </ns0:c>
      <ns0:c r="K396" t="n">
        <ns0:f>SUMIFS('출결원본'!$D$6:$D$1445,'출결원본'!$B$6:$B$1445,B396)</ns0:f>
        <ns0:v>2</ns0:v>
      </ns0:c>
      <ns0:c r="L396" t="n">
        <ns0:f>VLOOKUP(B396,'평가원본'!$B$6:$D$485,2,FALSE)</ns0:f>
        <ns0:v>77</ns0:v>
      </ns0:c>
      <ns0:c r="M396" t="n">
        <ns0:f>VLOOKUP(B396,'평가원본'!$B$6:$D$485,3,FALSE)</ns0:f>
        <ns0:v>1</ns0:v>
      </ns0:c>
      <ns0:c r="N396" t="n">
        <ns0:f>VLOOKUP(E396,'교육기준'!$B$6:$F$17,5,FALSE)</ns0:f>
        <ns0:v>60</ns0:v>
      </ns0:c>
      <ns0:c r="O396" t="n">
        <ns0:f>IF(AND(F396="승인",K396&gt;='정책'!$C$6,M396=1,L396&gt;=N396),1,0)</ns0:f>
        <ns0:v>0</ns0:v>
      </ns0:c>
    </ns0:row>
    <ns0:row r="397">
      <ns0:c r="B397" s="17" t="str">
        <ns0:f>'신청원본'!B397</ns0:f>
        <ns0:v>APP000392</ns0:v>
      </ns0:c>
      <ns0:c r="C397" s="17" t="str">
        <ns0:f>'신청원본'!C397</ns0:f>
        <ns0:v>000072</ns0:v>
      </ns0:c>
      <ns0:c r="D397" t="str">
        <ns0:f>'신청원본'!D397</ns0:f>
        <ns0:v>지원</ns0:v>
      </ns0:c>
      <ns0:c r="E397" t="str">
        <ns0:f>'신청원본'!E397</ns0:f>
        <ns0:v>C02</ns0:v>
      </ns0:c>
      <ns0:c r="F397" t="str">
        <ns0:f>'신청원본'!H397</ns0:f>
        <ns0:v>승인</ns0:v>
      </ns0:c>
      <ns0:c r="G397" s="18" t="n">
        <ns0:f>VLOOKUP(E397,'교육기준'!$B$6:$F$17,3,FALSE)</ns0:f>
        <ns0:v>117506</ns0:v>
      </ns0:c>
      <ns0:c r="H397" s="18" t="n">
        <ns0:f>'신청원본'!G397</ns0:f>
        <ns0:v>1</ns0:v>
      </ns0:c>
      <ns0:c r="I397" s="19" t="n">
        <ns0:f>'신청원본'!I397</ns0:f>
        <ns0:v>0.125</ns0:v>
      </ns0:c>
      <ns0:c r="J397" s="18" t="n">
        <ns0:f>IF(F397="승인",IF(COUNTA('신청원본'!J397)=0,ROUND(G397*H397*(1-I397),'정책'!$C$8),'신청원본'!J397),0)</ns0:f>
        <ns0:v>102818</ns0:v>
      </ns0:c>
      <ns0:c r="K397" t="n">
        <ns0:f>SUMIFS('출결원본'!$D$6:$D$1445,'출결원본'!$B$6:$B$1445,B397)</ns0:f>
        <ns0:v>3</ns0:v>
      </ns0:c>
      <ns0:c r="L397" t="n">
        <ns0:f>VLOOKUP(B397,'평가원본'!$B$6:$D$485,2,FALSE)</ns0:f>
        <ns0:v>84</ns0:v>
      </ns0:c>
      <ns0:c r="M397" t="n">
        <ns0:f>VLOOKUP(B397,'평가원본'!$B$6:$D$485,3,FALSE)</ns0:f>
        <ns0:v>1</ns0:v>
      </ns0:c>
      <ns0:c r="N397" t="n">
        <ns0:f>VLOOKUP(E397,'교육기준'!$B$6:$F$17,5,FALSE)</ns0:f>
        <ns0:v>70</ns0:v>
      </ns0:c>
      <ns0:c r="O397" t="n">
        <ns0:f>IF(AND(F397="승인",K397&gt;='정책'!$C$6,M397=1,L397&gt;=N397),1,0)</ns0:f>
        <ns0:v>1</ns0:v>
      </ns0:c>
    </ns0:row>
    <ns0:row r="398">
      <ns0:c r="B398" s="17" t="str">
        <ns0:f>'신청원본'!B398</ns0:f>
        <ns0:v>APP000393</ns0:v>
      </ns0:c>
      <ns0:c r="C398" s="17" t="str">
        <ns0:f>'신청원본'!C398</ns0:f>
        <ns0:v>000073</ns0:v>
      </ns0:c>
      <ns0:c r="D398" t="str">
        <ns0:f>'신청원본'!D398</ns0:f>
        <ns0:v>개발</ns0:v>
      </ns0:c>
      <ns0:c r="E398" t="str">
        <ns0:f>'신청원본'!E398</ns0:f>
        <ns0:v>C09</ns0:v>
      </ns0:c>
      <ns0:c r="F398" t="str">
        <ns0:f>'신청원본'!H398</ns0:f>
        <ns0:v>대기</ns0:v>
      </ns0:c>
      <ns0:c r="G398" s="18" t="n">
        <ns0:f>VLOOKUP(E398,'교육기준'!$B$6:$F$17,3,FALSE)</ns0:f>
        <ns0:v>240013</ns0:v>
      </ns0:c>
      <ns0:c r="H398" s="18" t="n">
        <ns0:f>'신청원본'!G398</ns0:f>
        <ns0:v>2</ns0:v>
      </ns0:c>
      <ns0:c r="I398" s="19" t="n">
        <ns0:f>'신청원본'!I398</ns0:f>
        <ns0:v>0</ns0:v>
      </ns0:c>
      <ns0:c r="J398" s="18" t="n">
        <ns0:f>IF(F398="승인",IF(COUNTA('신청원본'!J398)=0,ROUND(G398*H398*(1-I398),'정책'!$C$8),'신청원본'!J398),0)</ns0:f>
        <ns0:v>0</ns0:v>
      </ns0:c>
      <ns0:c r="K398" t="n">
        <ns0:f>SUMIFS('출결원본'!$D$6:$D$1445,'출결원본'!$B$6:$B$1445,B398)</ns0:f>
        <ns0:v>3</ns0:v>
      </ns0:c>
      <ns0:c r="L398" t="n">
        <ns0:f>VLOOKUP(B398,'평가원본'!$B$6:$D$485,2,FALSE)</ns0:f>
        <ns0:v>91</ns0:v>
      </ns0:c>
      <ns0:c r="M398" t="n">
        <ns0:f>VLOOKUP(B398,'평가원본'!$B$6:$D$485,3,FALSE)</ns0:f>
        <ns0:v>1</ns0:v>
      </ns0:c>
      <ns0:c r="N398" t="n">
        <ns0:f>VLOOKUP(E398,'교육기준'!$B$6:$F$17,5,FALSE)</ns0:f>
        <ns0:v>80</ns0:v>
      </ns0:c>
      <ns0:c r="O398" t="n">
        <ns0:f>IF(AND(F398="승인",K398&gt;='정책'!$C$6,M398=1,L398&gt;=N398),1,0)</ns0:f>
        <ns0:v>0</ns0:v>
      </ns0:c>
    </ns0:row>
    <ns0:row r="399">
      <ns0:c r="B399" s="17" t="str">
        <ns0:f>'신청원본'!B399</ns0:f>
        <ns0:v>APP000394</ns0:v>
      </ns0:c>
      <ns0:c r="C399" s="17" t="str">
        <ns0:f>'신청원본'!C399</ns0:f>
        <ns0:v>000074</ns0:v>
      </ns0:c>
      <ns0:c r="D399" t="str">
        <ns0:f>'신청원본'!D399</ns0:f>
        <ns0:v>생산</ns0:v>
      </ns0:c>
      <ns0:c r="E399" t="str">
        <ns0:f>'신청원본'!E399</ns0:f>
        <ns0:v>C04</ns0:v>
      </ns0:c>
      <ns0:c r="F399" t="str">
        <ns0:f>'신청원본'!H399</ns0:f>
        <ns0:v>승인</ns0:v>
      </ns0:c>
      <ns0:c r="G399" s="18" t="n">
        <ns0:f>VLOOKUP(E399,'교육기준'!$B$6:$F$17,3,FALSE)</ns0:f>
        <ns0:v>152508</ns0:v>
      </ns0:c>
      <ns0:c r="H399" s="18" t="n">
        <ns0:f>'신청원본'!G399</ns0:f>
        <ns0:v>3</ns0:v>
      </ns0:c>
      <ns0:c r="I399" s="19" t="n">
        <ns0:f>'신청원본'!I399</ns0:f>
        <ns0:v>0.05</ns0:v>
      </ns0:c>
      <ns0:c r="J399" s="18" t="n">
        <ns0:f>IF(F399="승인",IF(COUNTA('신청원본'!J399)=0,ROUND(G399*H399*(1-I399),'정책'!$C$8),'신청원본'!J399),0)</ns0:f>
        <ns0:v>434648</ns0:v>
      </ns0:c>
      <ns0:c r="K399" t="n">
        <ns0:f>SUMIFS('출결원본'!$D$6:$D$1445,'출결원본'!$B$6:$B$1445,B399)</ns0:f>
        <ns0:v>3</ns0:v>
      </ns0:c>
      <ns0:c r="L399" t="n">
        <ns0:f>VLOOKUP(B399,'평가원본'!$B$6:$D$485,2,FALSE)</ns0:f>
        <ns0:v>98</ns0:v>
      </ns0:c>
      <ns0:c r="M399" t="n">
        <ns0:f>VLOOKUP(B399,'평가원본'!$B$6:$D$485,3,FALSE)</ns0:f>
        <ns0:v>1</ns0:v>
      </ns0:c>
      <ns0:c r="N399" t="n">
        <ns0:f>VLOOKUP(E399,'교육기준'!$B$6:$F$17,5,FALSE)</ns0:f>
        <ns0:v>60</ns0:v>
      </ns0:c>
      <ns0:c r="O399" t="n">
        <ns0:f>IF(AND(F399="승인",K399&gt;='정책'!$C$6,M399=1,L399&gt;=N399),1,0)</ns0:f>
        <ns0:v>1</ns0:v>
      </ns0:c>
    </ns0:row>
    <ns0:row r="400">
      <ns0:c r="B400" s="17" t="str">
        <ns0:f>'신청원본'!B400</ns0:f>
        <ns0:v>APP000395</ns0:v>
      </ns0:c>
      <ns0:c r="C400" s="17" t="str">
        <ns0:f>'신청원본'!C400</ns0:f>
        <ns0:v>000075</ns0:v>
      </ns0:c>
      <ns0:c r="D400" t="str">
        <ns0:f>'신청원본'!D400</ns0:f>
        <ns0:v>품질</ns0:v>
      </ns0:c>
      <ns0:c r="E400" t="str">
        <ns0:f>'신청원본'!E400</ns0:f>
        <ns0:v>C11</ns0:v>
      </ns0:c>
      <ns0:c r="F400" t="str">
        <ns0:f>'신청원본'!H400</ns0:f>
        <ns0:v>승인</ns0:v>
      </ns0:c>
      <ns0:c r="G400" s="18" t="n">
        <ns0:f>VLOOKUP(E400,'교육기준'!$B$6:$F$17,3,FALSE)</ns0:f>
        <ns0:v>275015</ns0:v>
      </ns0:c>
      <ns0:c r="H400" s="18" t="n">
        <ns0:f>'신청원본'!G400</ns0:f>
        <ns0:v>4</ns0:v>
      </ns0:c>
      <ns0:c r="I400" s="19" t="n">
        <ns0:f>'신청원본'!I400</ns0:f>
        <ns0:v>0.1</ns0:v>
      </ns0:c>
      <ns0:c r="J400" s="18" t="n">
        <ns0:f>IF(F400="승인",IF(COUNTA('신청원본'!J400)=0,ROUND(G400*H400*(1-I400),'정책'!$C$8),'신청원본'!J400),0)</ns0:f>
        <ns0:v>990054</ns0:v>
      </ns0:c>
      <ns0:c r="K400" t="n">
        <ns0:f>SUMIFS('출결원본'!$D$6:$D$1445,'출결원본'!$B$6:$B$1445,B400)</ns0:f>
        <ns0:v>3</ns0:v>
      </ns0:c>
      <ns0:c r="L400" t="n">
        <ns0:f>VLOOKUP(B400,'평가원본'!$B$6:$D$485,2,FALSE)</ns0:f>
        <ns0:v>54</ns0:v>
      </ns0:c>
      <ns0:c r="M400" t="n">
        <ns0:f>VLOOKUP(B400,'평가원본'!$B$6:$D$485,3,FALSE)</ns0:f>
        <ns0:v>1</ns0:v>
      </ns0:c>
      <ns0:c r="N400" t="n">
        <ns0:f>VLOOKUP(E400,'교육기준'!$B$6:$F$17,5,FALSE)</ns0:f>
        <ns0:v>70</ns0:v>
      </ns0:c>
      <ns0:c r="O400" t="n">
        <ns0:f>IF(AND(F400="승인",K400&gt;='정책'!$C$6,M400=1,L400&gt;=N400),1,0)</ns0:f>
        <ns0:v>0</ns0:v>
      </ns0:c>
    </ns0:row>
    <ns0:row r="401">
      <ns0:c r="B401" s="17" t="str">
        <ns0:f>'신청원본'!B401</ns0:f>
        <ns0:v>APP000396</ns0:v>
      </ns0:c>
      <ns0:c r="C401" s="17" t="str">
        <ns0:f>'신청원본'!C401</ns0:f>
        <ns0:v>000076</ns0:v>
      </ns0:c>
      <ns0:c r="D401" t="str">
        <ns0:f>'신청원본'!D401</ns0:f>
        <ns0:v>기획</ns0:v>
      </ns0:c>
      <ns0:c r="E401" t="str">
        <ns0:f>'신청원본'!E401</ns0:f>
        <ns0:v>C06</ns0:v>
      </ns0:c>
      <ns0:c r="F401" t="str">
        <ns0:f>'신청원본'!H401</ns0:f>
        <ns0:v>승인</ns0:v>
      </ns0:c>
      <ns0:c r="G401" s="18" t="n">
        <ns0:f>VLOOKUP(E401,'교육기준'!$B$6:$F$17,3,FALSE)</ns0:f>
        <ns0:v>187510</ns0:v>
      </ns0:c>
      <ns0:c r="H401" s="18" t="n">
        <ns0:f>'신청원본'!G401</ns0:f>
        <ns0:v>5</ns0:v>
      </ns0:c>
      <ns0:c r="I401" s="19" t="n">
        <ns0:f>'신청원본'!I401</ns0:f>
        <ns0:v>0.125</ns0:v>
      </ns0:c>
      <ns0:c r="J401" s="18" t="n">
        <ns0:f>IF(F401="승인",IF(COUNTA('신청원본'!J401)=0,ROUND(G401*H401*(1-I401),'정책'!$C$8),'신청원본'!J401),0)</ns0:f>
        <ns0:v>12345</ns0:v>
      </ns0:c>
      <ns0:c r="K401" t="n">
        <ns0:f>SUMIFS('출결원본'!$D$6:$D$1445,'출결원본'!$B$6:$B$1445,B401)</ns0:f>
        <ns0:v>3</ns0:v>
      </ns0:c>
      <ns0:c r="L401" t="n">
        <ns0:f>VLOOKUP(B401,'평가원본'!$B$6:$D$485,2,FALSE)</ns0:f>
        <ns0:v>61</ns0:v>
      </ns0:c>
      <ns0:c r="M401" t="n">
        <ns0:f>VLOOKUP(B401,'평가원본'!$B$6:$D$485,3,FALSE)</ns0:f>
        <ns0:v>1</ns0:v>
      </ns0:c>
      <ns0:c r="N401" t="n">
        <ns0:f>VLOOKUP(E401,'교육기준'!$B$6:$F$17,5,FALSE)</ns0:f>
        <ns0:v>80</ns0:v>
      </ns0:c>
      <ns0:c r="O401" t="n">
        <ns0:f>IF(AND(F401="승인",K401&gt;='정책'!$C$6,M401=1,L401&gt;=N401),1,0)</ns0:f>
        <ns0:v>0</ns0:v>
      </ns0:c>
    </ns0:row>
    <ns0:row r="402">
      <ns0:c r="B402" s="17" t="str">
        <ns0:f>'신청원본'!B402</ns0:f>
        <ns0:v>APP000397</ns0:v>
      </ns0:c>
      <ns0:c r="C402" s="17" t="str">
        <ns0:f>'신청원본'!C402</ns0:f>
        <ns0:v>000077</ns0:v>
      </ns0:c>
      <ns0:c r="D402" t="str">
        <ns0:f>'신청원본'!D402</ns0:f>
        <ns0:v>영업</ns0:v>
      </ns0:c>
      <ns0:c r="E402" t="str">
        <ns0:f>'신청원본'!E402</ns0:f>
        <ns0:v>C01</ns0:v>
      </ns0:c>
      <ns0:c r="F402" t="str">
        <ns0:f>'신청원본'!H402</ns0:f>
        <ns0:v>취소</ns0:v>
      </ns0:c>
      <ns0:c r="G402" s="18" t="n">
        <ns0:f>VLOOKUP(E402,'교육기준'!$B$6:$F$17,3,FALSE)</ns0:f>
        <ns0:v>100005</ns0:v>
      </ns0:c>
      <ns0:c r="H402" s="18" t="n">
        <ns0:f>'신청원본'!G402</ns0:f>
        <ns0:v>0</ns0:v>
      </ns0:c>
      <ns0:c r="I402" s="19" t="n">
        <ns0:f>'신청원본'!I402</ns0:f>
        <ns0:v>0</ns0:v>
      </ns0:c>
      <ns0:c r="J402" s="18" t="n">
        <ns0:f>IF(F402="승인",IF(COUNTA('신청원본'!J402)=0,ROUND(G402*H402*(1-I402),'정책'!$C$8),'신청원본'!J402),0)</ns0:f>
        <ns0:v>0</ns0:v>
      </ns0:c>
      <ns0:c r="K402" t="n">
        <ns0:f>SUMIFS('출결원본'!$D$6:$D$1445,'출결원본'!$B$6:$B$1445,B402)</ns0:f>
        <ns0:v>2</ns0:v>
      </ns0:c>
      <ns0:c r="L402" t="n">
        <ns0:f>VLOOKUP(B402,'평가원본'!$B$6:$D$485,2,FALSE)</ns0:f>
        <ns0:v>68</ns0:v>
      </ns0:c>
      <ns0:c r="M402" t="n">
        <ns0:f>VLOOKUP(B402,'평가원본'!$B$6:$D$485,3,FALSE)</ns0:f>
        <ns0:v>1</ns0:v>
      </ns0:c>
      <ns0:c r="N402" t="n">
        <ns0:f>VLOOKUP(E402,'교육기준'!$B$6:$F$17,5,FALSE)</ns0:f>
        <ns0:v>60</ns0:v>
      </ns0:c>
      <ns0:c r="O402" t="n">
        <ns0:f>IF(AND(F402="승인",K402&gt;='정책'!$C$6,M402=1,L402&gt;=N402),1,0)</ns0:f>
        <ns0:v>0</ns0:v>
      </ns0:c>
    </ns0:row>
    <ns0:row r="403">
      <ns0:c r="B403" s="17" t="str">
        <ns0:f>'신청원본'!B403</ns0:f>
        <ns0:v>APP000398</ns0:v>
      </ns0:c>
      <ns0:c r="C403" s="17" t="str">
        <ns0:f>'신청원본'!C403</ns0:f>
        <ns0:v>000078</ns0:v>
      </ns0:c>
      <ns0:c r="D403" t="str">
        <ns0:f>'신청원본'!D403</ns0:f>
        <ns0:v>지원</ns0:v>
      </ns0:c>
      <ns0:c r="E403" t="str">
        <ns0:f>'신청원본'!E403</ns0:f>
        <ns0:v>C08</ns0:v>
      </ns0:c>
      <ns0:c r="F403" t="str">
        <ns0:f>'신청원본'!H403</ns0:f>
        <ns0:v>승인</ns0:v>
      </ns0:c>
      <ns0:c r="G403" s="18" t="n">
        <ns0:f>VLOOKUP(E403,'교육기준'!$B$6:$F$17,3,FALSE)</ns0:f>
        <ns0:v>222512</ns0:v>
      </ns0:c>
      <ns0:c r="H403" s="18" t="n">
        <ns0:f>'신청원본'!G403</ns0:f>
        <ns0:v>1</ns0:v>
      </ns0:c>
      <ns0:c r="I403" s="19" t="n">
        <ns0:f>'신청원본'!I403</ns0:f>
        <ns0:v>0.05</ns0:v>
      </ns0:c>
      <ns0:c r="J403" s="18" t="n">
        <ns0:f>IF(F403="승인",IF(COUNTA('신청원본'!J403)=0,ROUND(G403*H403*(1-I403),'정책'!$C$8),'신청원본'!J403),0)</ns0:f>
        <ns0:v>211386</ns0:v>
      </ns0:c>
      <ns0:c r="K403" t="n">
        <ns0:f>SUMIFS('출결원본'!$D$6:$D$1445,'출결원본'!$B$6:$B$1445,B403)</ns0:f>
        <ns0:v>3</ns0:v>
      </ns0:c>
      <ns0:c r="L403" t="n">
        <ns0:f>VLOOKUP(B403,'평가원본'!$B$6:$D$485,2,FALSE)</ns0:f>
        <ns0:v>75</ns0:v>
      </ns0:c>
      <ns0:c r="M403" t="n">
        <ns0:f>VLOOKUP(B403,'평가원본'!$B$6:$D$485,3,FALSE)</ns0:f>
        <ns0:v>1</ns0:v>
      </ns0:c>
      <ns0:c r="N403" t="n">
        <ns0:f>VLOOKUP(E403,'교육기준'!$B$6:$F$17,5,FALSE)</ns0:f>
        <ns0:v>70</ns0:v>
      </ns0:c>
      <ns0:c r="O403" t="n">
        <ns0:f>IF(AND(F403="승인",K403&gt;='정책'!$C$6,M403=1,L403&gt;=N403),1,0)</ns0:f>
        <ns0:v>1</ns0:v>
      </ns0:c>
    </ns0:row>
    <ns0:row r="404">
      <ns0:c r="B404" s="17" t="str">
        <ns0:f>'신청원본'!B404</ns0:f>
        <ns0:v>APP000399</ns0:v>
      </ns0:c>
      <ns0:c r="C404" s="17" t="str">
        <ns0:f>'신청원본'!C404</ns0:f>
        <ns0:v>000079</ns0:v>
      </ns0:c>
      <ns0:c r="D404" t="str">
        <ns0:f>'신청원본'!D404</ns0:f>
        <ns0:v>개발</ns0:v>
      </ns0:c>
      <ns0:c r="E404" t="str">
        <ns0:f>'신청원본'!E404</ns0:f>
        <ns0:v>C03</ns0:v>
      </ns0:c>
      <ns0:c r="F404" t="str">
        <ns0:f>'신청원본'!H404</ns0:f>
        <ns0:v>승인</ns0:v>
      </ns0:c>
      <ns0:c r="G404" s="18" t="n">
        <ns0:f>VLOOKUP(E404,'교육기준'!$B$6:$F$17,3,FALSE)</ns0:f>
        <ns0:v>135007</ns0:v>
      </ns0:c>
      <ns0:c r="H404" s="18" t="n">
        <ns0:f>'신청원본'!G404</ns0:f>
        <ns0:v>2</ns0:v>
      </ns0:c>
      <ns0:c r="I404" s="19" t="n">
        <ns0:f>'신청원본'!I404</ns0:f>
        <ns0:v>0.1</ns0:v>
      </ns0:c>
      <ns0:c r="J404" s="18" t="n">
        <ns0:f>IF(F404="승인",IF(COUNTA('신청원본'!J404)=0,ROUND(G404*H404*(1-I404),'정책'!$C$8),'신청원본'!J404),0)</ns0:f>
        <ns0:v>243013</ns0:v>
      </ns0:c>
      <ns0:c r="K404" t="n">
        <ns0:f>SUMIFS('출결원본'!$D$6:$D$1445,'출결원본'!$B$6:$B$1445,B404)</ns0:f>
        <ns0:v>3</ns0:v>
      </ns0:c>
      <ns0:c r="L404" t="n">
        <ns0:f>VLOOKUP(B404,'평가원본'!$B$6:$D$485,2,FALSE)</ns0:f>
        <ns0:v>82</ns0:v>
      </ns0:c>
      <ns0:c r="M404" t="n">
        <ns0:f>VLOOKUP(B404,'평가원본'!$B$6:$D$485,3,FALSE)</ns0:f>
        <ns0:v>1</ns0:v>
      </ns0:c>
      <ns0:c r="N404" t="n">
        <ns0:f>VLOOKUP(E404,'교육기준'!$B$6:$F$17,5,FALSE)</ns0:f>
        <ns0:v>80</ns0:v>
      </ns0:c>
      <ns0:c r="O404" t="n">
        <ns0:f>IF(AND(F404="승인",K404&gt;='정책'!$C$6,M404=1,L404&gt;=N404),1,0)</ns0:f>
        <ns0:v>1</ns0:v>
      </ns0:c>
    </ns0:row>
    <ns0:row r="405">
      <ns0:c r="B405" s="17" t="str">
        <ns0:f>'신청원본'!B405</ns0:f>
        <ns0:v>APP000400</ns0:v>
      </ns0:c>
      <ns0:c r="C405" s="17" t="str">
        <ns0:f>'신청원본'!C405</ns0:f>
        <ns0:v>000080</ns0:v>
      </ns0:c>
      <ns0:c r="D405" t="str">
        <ns0:f>'신청원본'!D405</ns0:f>
        <ns0:v>생산</ns0:v>
      </ns0:c>
      <ns0:c r="E405" t="str">
        <ns0:f>'신청원본'!E405</ns0:f>
        <ns0:v>C10</ns0:v>
      </ns0:c>
      <ns0:c r="F405" t="str">
        <ns0:f>'신청원본'!H405</ns0:f>
        <ns0:v>대기</ns0:v>
      </ns0:c>
      <ns0:c r="G405" s="18" t="n">
        <ns0:f>VLOOKUP(E405,'교육기준'!$B$6:$F$17,3,FALSE)</ns0:f>
        <ns0:v>257514</ns0:v>
      </ns0:c>
      <ns0:c r="H405" s="18" t="n">
        <ns0:f>'신청원본'!G405</ns0:f>
        <ns0:v>3</ns0:v>
      </ns0:c>
      <ns0:c r="I405" s="19" t="n">
        <ns0:f>'신청원본'!I405</ns0:f>
        <ns0:v>0.125</ns0:v>
      </ns0:c>
      <ns0:c r="J405" s="18" t="n">
        <ns0:f>IF(F405="승인",IF(COUNTA('신청원본'!J405)=0,ROUND(G405*H405*(1-I405),'정책'!$C$8),'신청원본'!J405),0)</ns0:f>
        <ns0:v>0</ns0:v>
      </ns0:c>
      <ns0:c r="K405" t="n">
        <ns0:f>SUMIFS('출결원본'!$D$6:$D$1445,'출결원본'!$B$6:$B$1445,B405)</ns0:f>
        <ns0:v>3</ns0:v>
      </ns0:c>
      <ns0:c r="L405" t="n">
        <ns0:f>VLOOKUP(B405,'평가원본'!$B$6:$D$485,2,FALSE)</ns0:f>
        <ns0:v>89</ns0:v>
      </ns0:c>
      <ns0:c r="M405" t="n">
        <ns0:f>VLOOKUP(B405,'평가원본'!$B$6:$D$485,3,FALSE)</ns0:f>
        <ns0:v>0</ns0:v>
      </ns0:c>
      <ns0:c r="N405" t="n">
        <ns0:f>VLOOKUP(E405,'교육기준'!$B$6:$F$17,5,FALSE)</ns0:f>
        <ns0:v>60</ns0:v>
      </ns0:c>
      <ns0:c r="O405" t="n">
        <ns0:f>IF(AND(F405="승인",K405&gt;='정책'!$C$6,M405=1,L405&gt;=N405),1,0)</ns0:f>
        <ns0:v>0</ns0:v>
      </ns0:c>
    </ns0:row>
    <ns0:row r="406">
      <ns0:c r="B406" s="17" t="str">
        <ns0:f>'신청원본'!B406</ns0:f>
        <ns0:v>APP000401</ns0:v>
      </ns0:c>
      <ns0:c r="C406" s="17" t="str">
        <ns0:f>'신청원본'!C406</ns0:f>
        <ns0:v>000081</ns0:v>
      </ns0:c>
      <ns0:c r="D406" t="str">
        <ns0:f>'신청원본'!D406</ns0:f>
        <ns0:v>품질</ns0:v>
      </ns0:c>
      <ns0:c r="E406" t="str">
        <ns0:f>'신청원본'!E406</ns0:f>
        <ns0:v>C05</ns0:v>
      </ns0:c>
      <ns0:c r="F406" t="str">
        <ns0:f>'신청원본'!H406</ns0:f>
        <ns0:v>승인</ns0:v>
      </ns0:c>
      <ns0:c r="G406" s="18" t="n">
        <ns0:f>VLOOKUP(E406,'교육기준'!$B$6:$F$17,3,FALSE)</ns0:f>
        <ns0:v>170009</ns0:v>
      </ns0:c>
      <ns0:c r="H406" s="18" t="n">
        <ns0:f>'신청원본'!G406</ns0:f>
        <ns0:v>4</ns0:v>
      </ns0:c>
      <ns0:c r="I406" s="19" t="n">
        <ns0:f>'신청원본'!I406</ns0:f>
        <ns0:v>0</ns0:v>
      </ns0:c>
      <ns0:c r="J406" s="18" t="n">
        <ns0:f>IF(F406="승인",IF(COUNTA('신청원본'!J406)=0,ROUND(G406*H406*(1-I406),'정책'!$C$8),'신청원본'!J406),0)</ns0:f>
        <ns0:v>680036</ns0:v>
      </ns0:c>
      <ns0:c r="K406" t="n">
        <ns0:f>SUMIFS('출결원본'!$D$6:$D$1445,'출결원본'!$B$6:$B$1445,B406)</ns0:f>
        <ns0:v>3</ns0:v>
      </ns0:c>
      <ns0:c r="L406" t="n">
        <ns0:f>VLOOKUP(B406,'평가원본'!$B$6:$D$485,2,FALSE)</ns0:f>
        <ns0:v>96</ns0:v>
      </ns0:c>
      <ns0:c r="M406" t="n">
        <ns0:f>VLOOKUP(B406,'평가원본'!$B$6:$D$485,3,FALSE)</ns0:f>
        <ns0:v>1</ns0:v>
      </ns0:c>
      <ns0:c r="N406" t="n">
        <ns0:f>VLOOKUP(E406,'교육기준'!$B$6:$F$17,5,FALSE)</ns0:f>
        <ns0:v>70</ns0:v>
      </ns0:c>
      <ns0:c r="O406" t="n">
        <ns0:f>IF(AND(F406="승인",K406&gt;='정책'!$C$6,M406=1,L406&gt;=N406),1,0)</ns0:f>
        <ns0:v>1</ns0:v>
      </ns0:c>
    </ns0:row>
    <ns0:row r="407">
      <ns0:c r="B407" s="17" t="str">
        <ns0:f>'신청원본'!B407</ns0:f>
        <ns0:v>APP000402</ns0:v>
      </ns0:c>
      <ns0:c r="C407" s="17" t="str">
        <ns0:f>'신청원본'!C407</ns0:f>
        <ns0:v>000082</ns0:v>
      </ns0:c>
      <ns0:c r="D407" t="str">
        <ns0:f>'신청원본'!D407</ns0:f>
        <ns0:v>기획</ns0:v>
      </ns0:c>
      <ns0:c r="E407" t="str">
        <ns0:f>'신청원본'!E407</ns0:f>
        <ns0:v>C12</ns0:v>
      </ns0:c>
      <ns0:c r="F407" t="str">
        <ns0:f>'신청원본'!H407</ns0:f>
        <ns0:v>승인</ns0:v>
      </ns0:c>
      <ns0:c r="G407" s="18" t="n">
        <ns0:f>VLOOKUP(E407,'교육기준'!$B$6:$F$17,3,FALSE)</ns0:f>
        <ns0:v>292516</ns0:v>
      </ns0:c>
      <ns0:c r="H407" s="18" t="n">
        <ns0:f>'신청원본'!G407</ns0:f>
        <ns0:v>5</ns0:v>
      </ns0:c>
      <ns0:c r="I407" s="19" t="n">
        <ns0:f>'신청원본'!I407</ns0:f>
        <ns0:v>0.05</ns0:v>
      </ns0:c>
      <ns0:c r="J407" s="18" t="n">
        <ns0:f>IF(F407="승인",IF(COUNTA('신청원본'!J407)=0,ROUND(G407*H407*(1-I407),'정책'!$C$8),'신청원본'!J407),0)</ns0:f>
        <ns0:v>1389451</ns0:v>
      </ns0:c>
      <ns0:c r="K407" t="n">
        <ns0:f>SUMIFS('출결원본'!$D$6:$D$1445,'출결원본'!$B$6:$B$1445,B407)</ns0:f>
        <ns0:v>3</ns0:v>
      </ns0:c>
      <ns0:c r="L407" t="n">
        <ns0:f>VLOOKUP(B407,'평가원본'!$B$6:$D$485,2,FALSE)</ns0:f>
        <ns0:v>52</ns0:v>
      </ns0:c>
      <ns0:c r="M407" t="n">
        <ns0:f>VLOOKUP(B407,'평가원본'!$B$6:$D$485,3,FALSE)</ns0:f>
        <ns0:v>1</ns0:v>
      </ns0:c>
      <ns0:c r="N407" t="n">
        <ns0:f>VLOOKUP(E407,'교육기준'!$B$6:$F$17,5,FALSE)</ns0:f>
        <ns0:v>80</ns0:v>
      </ns0:c>
      <ns0:c r="O407" t="n">
        <ns0:f>IF(AND(F407="승인",K407&gt;='정책'!$C$6,M407=1,L407&gt;=N407),1,0)</ns0:f>
        <ns0:v>0</ns0:v>
      </ns0:c>
    </ns0:row>
    <ns0:row r="408">
      <ns0:c r="B408" s="17" t="str">
        <ns0:f>'신청원본'!B408</ns0:f>
        <ns0:v>APP000403</ns0:v>
      </ns0:c>
      <ns0:c r="C408" s="17" t="str">
        <ns0:f>'신청원본'!C408</ns0:f>
        <ns0:v>000083</ns0:v>
      </ns0:c>
      <ns0:c r="D408" t="str">
        <ns0:f>'신청원본'!D408</ns0:f>
        <ns0:v>영업</ns0:v>
      </ns0:c>
      <ns0:c r="E408" t="str">
        <ns0:f>'신청원본'!E408</ns0:f>
        <ns0:v>C07</ns0:v>
      </ns0:c>
      <ns0:c r="F408" t="str">
        <ns0:f>'신청원본'!H408</ns0:f>
        <ns0:v>승인</ns0:v>
      </ns0:c>
      <ns0:c r="G408" s="18" t="n">
        <ns0:f>VLOOKUP(E408,'교육기준'!$B$6:$F$17,3,FALSE)</ns0:f>
        <ns0:v>205011</ns0:v>
      </ns0:c>
      <ns0:c r="H408" s="18" t="n">
        <ns0:f>'신청원본'!G408</ns0:f>
        <ns0:v>0</ns0:v>
      </ns0:c>
      <ns0:c r="I408" s="19" t="n">
        <ns0:f>'신청원본'!I408</ns0:f>
        <ns0:v>0.1</ns0:v>
      </ns0:c>
      <ns0:c r="J408" s="18" t="n">
        <ns0:f>IF(F408="승인",IF(COUNTA('신청원본'!J408)=0,ROUND(G408*H408*(1-I408),'정책'!$C$8),'신청원본'!J408),0)</ns0:f>
        <ns0:v>0</ns0:v>
      </ns0:c>
      <ns0:c r="K408" t="n">
        <ns0:f>SUMIFS('출결원본'!$D$6:$D$1445,'출결원본'!$B$6:$B$1445,B408)</ns0:f>
        <ns0:v>3</ns0:v>
      </ns0:c>
      <ns0:c r="L408" t="n">
        <ns0:f>VLOOKUP(B408,'평가원본'!$B$6:$D$485,2,FALSE)</ns0:f>
        <ns0:v>59</ns0:v>
      </ns0:c>
      <ns0:c r="M408" t="n">
        <ns0:f>VLOOKUP(B408,'평가원본'!$B$6:$D$485,3,FALSE)</ns0:f>
        <ns0:v>1</ns0:v>
      </ns0:c>
      <ns0:c r="N408" t="n">
        <ns0:f>VLOOKUP(E408,'교육기준'!$B$6:$F$17,5,FALSE)</ns0:f>
        <ns0:v>60</ns0:v>
      </ns0:c>
      <ns0:c r="O408" t="n">
        <ns0:f>IF(AND(F408="승인",K408&gt;='정책'!$C$6,M408=1,L408&gt;=N408),1,0)</ns0:f>
        <ns0:v>0</ns0:v>
      </ns0:c>
    </ns0:row>
    <ns0:row r="409">
      <ns0:c r="B409" s="17" t="str">
        <ns0:f>'신청원본'!B409</ns0:f>
        <ns0:v>APP000404</ns0:v>
      </ns0:c>
      <ns0:c r="C409" s="17" t="str">
        <ns0:f>'신청원본'!C409</ns0:f>
        <ns0:v>000084</ns0:v>
      </ns0:c>
      <ns0:c r="D409" t="str">
        <ns0:f>'신청원본'!D409</ns0:f>
        <ns0:v>지원</ns0:v>
      </ns0:c>
      <ns0:c r="E409" t="str">
        <ns0:f>'신청원본'!E409</ns0:f>
        <ns0:v>C02</ns0:v>
      </ns0:c>
      <ns0:c r="F409" t="str">
        <ns0:f>'신청원본'!H409</ns0:f>
        <ns0:v>승인</ns0:v>
      </ns0:c>
      <ns0:c r="G409" s="18" t="n">
        <ns0:f>VLOOKUP(E409,'교육기준'!$B$6:$F$17,3,FALSE)</ns0:f>
        <ns0:v>117506</ns0:v>
      </ns0:c>
      <ns0:c r="H409" s="18" t="n">
        <ns0:f>'신청원본'!G409</ns0:f>
        <ns0:v>1</ns0:v>
      </ns0:c>
      <ns0:c r="I409" s="19" t="n">
        <ns0:f>'신청원본'!I409</ns0:f>
        <ns0:v>0.125</ns0:v>
      </ns0:c>
      <ns0:c r="J409" s="18" t="n">
        <ns0:f>IF(F409="승인",IF(COUNTA('신청원본'!J409)=0,ROUND(G409*H409*(1-I409),'정책'!$C$8),'신청원본'!J409),0)</ns0:f>
        <ns0:v>102818</ns0:v>
      </ns0:c>
      <ns0:c r="K409" t="n">
        <ns0:f>SUMIFS('출결원본'!$D$6:$D$1445,'출결원본'!$B$6:$B$1445,B409)</ns0:f>
        <ns0:v>2</ns0:v>
      </ns0:c>
      <ns0:c r="L409" t="n">
        <ns0:f>VLOOKUP(B409,'평가원본'!$B$6:$D$485,2,FALSE)</ns0:f>
        <ns0:v>66</ns0:v>
      </ns0:c>
      <ns0:c r="M409" t="n">
        <ns0:f>VLOOKUP(B409,'평가원본'!$B$6:$D$485,3,FALSE)</ns0:f>
        <ns0:v>1</ns0:v>
      </ns0:c>
      <ns0:c r="N409" t="n">
        <ns0:f>VLOOKUP(E409,'교육기준'!$B$6:$F$17,5,FALSE)</ns0:f>
        <ns0:v>70</ns0:v>
      </ns0:c>
      <ns0:c r="O409" t="n">
        <ns0:f>IF(AND(F409="승인",K409&gt;='정책'!$C$6,M409=1,L409&gt;=N409),1,0)</ns0:f>
        <ns0:v>0</ns0:v>
      </ns0:c>
    </ns0:row>
    <ns0:row r="410">
      <ns0:c r="B410" s="17" t="str">
        <ns0:f>'신청원본'!B410</ns0:f>
        <ns0:v>APP000405</ns0:v>
      </ns0:c>
      <ns0:c r="C410" s="17" t="str">
        <ns0:f>'신청원본'!C410</ns0:f>
        <ns0:v>000085</ns0:v>
      </ns0:c>
      <ns0:c r="D410" t="str">
        <ns0:f>'신청원본'!D410</ns0:f>
        <ns0:v>개발</ns0:v>
      </ns0:c>
      <ns0:c r="E410" t="str">
        <ns0:f>'신청원본'!E410</ns0:f>
        <ns0:v>C09</ns0:v>
      </ns0:c>
      <ns0:c r="F410" t="str">
        <ns0:f>'신청원본'!H410</ns0:f>
        <ns0:v>승인</ns0:v>
      </ns0:c>
      <ns0:c r="G410" s="18" t="n">
        <ns0:f>VLOOKUP(E410,'교육기준'!$B$6:$F$17,3,FALSE)</ns0:f>
        <ns0:v>240013</ns0:v>
      </ns0:c>
      <ns0:c r="H410" s="18" t="n">
        <ns0:f>'신청원본'!G410</ns0:f>
        <ns0:v>2</ns0:v>
      </ns0:c>
      <ns0:c r="I410" s="19" t="n">
        <ns0:f>'신청원본'!I410</ns0:f>
        <ns0:v>0</ns0:v>
      </ns0:c>
      <ns0:c r="J410" s="18" t="n">
        <ns0:f>IF(F410="승인",IF(COUNTA('신청원본'!J410)=0,ROUND(G410*H410*(1-I410),'정책'!$C$8),'신청원본'!J410),0)</ns0:f>
        <ns0:v>480026</ns0:v>
      </ns0:c>
      <ns0:c r="K410" t="n">
        <ns0:f>SUMIFS('출결원본'!$D$6:$D$1445,'출결원본'!$B$6:$B$1445,B410)</ns0:f>
        <ns0:v>3</ns0:v>
      </ns0:c>
      <ns0:c r="L410" t="n">
        <ns0:f>VLOOKUP(B410,'평가원본'!$B$6:$D$485,2,FALSE)</ns0:f>
        <ns0:v>73</ns0:v>
      </ns0:c>
      <ns0:c r="M410" t="n">
        <ns0:f>VLOOKUP(B410,'평가원본'!$B$6:$D$485,3,FALSE)</ns0:f>
        <ns0:v>1</ns0:v>
      </ns0:c>
      <ns0:c r="N410" t="n">
        <ns0:f>VLOOKUP(E410,'교육기준'!$B$6:$F$17,5,FALSE)</ns0:f>
        <ns0:v>80</ns0:v>
      </ns0:c>
      <ns0:c r="O410" t="n">
        <ns0:f>IF(AND(F410="승인",K410&gt;='정책'!$C$6,M410=1,L410&gt;=N410),1,0)</ns0:f>
        <ns0:v>0</ns0:v>
      </ns0:c>
    </ns0:row>
    <ns0:row r="411">
      <ns0:c r="B411" s="17" t="str">
        <ns0:f>'신청원본'!B411</ns0:f>
        <ns0:v>APP000406</ns0:v>
      </ns0:c>
      <ns0:c r="C411" s="17" t="str">
        <ns0:f>'신청원본'!C411</ns0:f>
        <ns0:v>000086</ns0:v>
      </ns0:c>
      <ns0:c r="D411" t="str">
        <ns0:f>'신청원본'!D411</ns0:f>
        <ns0:v>생산</ns0:v>
      </ns0:c>
      <ns0:c r="E411" t="str">
        <ns0:f>'신청원본'!E411</ns0:f>
        <ns0:v>C04</ns0:v>
      </ns0:c>
      <ns0:c r="F411" t="str">
        <ns0:f>'신청원본'!H411</ns0:f>
        <ns0:v>승인</ns0:v>
      </ns0:c>
      <ns0:c r="G411" s="18" t="n">
        <ns0:f>VLOOKUP(E411,'교육기준'!$B$6:$F$17,3,FALSE)</ns0:f>
        <ns0:v>152508</ns0:v>
      </ns0:c>
      <ns0:c r="H411" s="18" t="n">
        <ns0:f>'신청원본'!G411</ns0:f>
        <ns0:v>3</ns0:v>
      </ns0:c>
      <ns0:c r="I411" s="19" t="n">
        <ns0:f>'신청원본'!I411</ns0:f>
        <ns0:v>0.05</ns0:v>
      </ns0:c>
      <ns0:c r="J411" s="18" t="n">
        <ns0:f>IF(F411="승인",IF(COUNTA('신청원본'!J411)=0,ROUND(G411*H411*(1-I411),'정책'!$C$8),'신청원본'!J411),0)</ns0:f>
        <ns0:v>434648</ns0:v>
      </ns0:c>
      <ns0:c r="K411" t="n">
        <ns0:f>SUMIFS('출결원본'!$D$6:$D$1445,'출결원본'!$B$6:$B$1445,B411)</ns0:f>
        <ns0:v>2</ns0:v>
      </ns0:c>
      <ns0:c r="L411" t="n">
        <ns0:f>VLOOKUP(B411,'평가원본'!$B$6:$D$485,2,FALSE)</ns0:f>
        <ns0:v>80</ns0:v>
      </ns0:c>
      <ns0:c r="M411" t="n">
        <ns0:f>VLOOKUP(B411,'평가원본'!$B$6:$D$485,3,FALSE)</ns0:f>
        <ns0:v>1</ns0:v>
      </ns0:c>
      <ns0:c r="N411" t="n">
        <ns0:f>VLOOKUP(E411,'교육기준'!$B$6:$F$17,5,FALSE)</ns0:f>
        <ns0:v>60</ns0:v>
      </ns0:c>
      <ns0:c r="O411" t="n">
        <ns0:f>IF(AND(F411="승인",K411&gt;='정책'!$C$6,M411=1,L411&gt;=N411),1,0)</ns0:f>
        <ns0:v>0</ns0:v>
      </ns0:c>
    </ns0:row>
    <ns0:row r="412">
      <ns0:c r="B412" s="17" t="str">
        <ns0:f>'신청원본'!B412</ns0:f>
        <ns0:v>APP000407</ns0:v>
      </ns0:c>
      <ns0:c r="C412" s="17" t="str">
        <ns0:f>'신청원본'!C412</ns0:f>
        <ns0:v>000087</ns0:v>
      </ns0:c>
      <ns0:c r="D412" t="str">
        <ns0:f>'신청원본'!D412</ns0:f>
        <ns0:v>품질</ns0:v>
      </ns0:c>
      <ns0:c r="E412" t="str">
        <ns0:f>'신청원본'!E412</ns0:f>
        <ns0:v>C11</ns0:v>
      </ns0:c>
      <ns0:c r="F412" t="str">
        <ns0:f>'신청원본'!H412</ns0:f>
        <ns0:v>대기</ns0:v>
      </ns0:c>
      <ns0:c r="G412" s="18" t="n">
        <ns0:f>VLOOKUP(E412,'교육기준'!$B$6:$F$17,3,FALSE)</ns0:f>
        <ns0:v>275015</ns0:v>
      </ns0:c>
      <ns0:c r="H412" s="18" t="n">
        <ns0:f>'신청원본'!G412</ns0:f>
        <ns0:v>4</ns0:v>
      </ns0:c>
      <ns0:c r="I412" s="19" t="n">
        <ns0:f>'신청원본'!I412</ns0:f>
        <ns0:v>0.1</ns0:v>
      </ns0:c>
      <ns0:c r="J412" s="18" t="n">
        <ns0:f>IF(F412="승인",IF(COUNTA('신청원본'!J412)=0,ROUND(G412*H412*(1-I412),'정책'!$C$8),'신청원본'!J412),0)</ns0:f>
        <ns0:v>0</ns0:v>
      </ns0:c>
      <ns0:c r="K412" t="n">
        <ns0:f>SUMIFS('출결원본'!$D$6:$D$1445,'출결원본'!$B$6:$B$1445,B412)</ns0:f>
        <ns0:v>3</ns0:v>
      </ns0:c>
      <ns0:c r="L412" t="n">
        <ns0:f>VLOOKUP(B412,'평가원본'!$B$6:$D$485,2,FALSE)</ns0:f>
        <ns0:v>87</ns0:v>
      </ns0:c>
      <ns0:c r="M412" t="n">
        <ns0:f>VLOOKUP(B412,'평가원본'!$B$6:$D$485,3,FALSE)</ns0:f>
        <ns0:v>1</ns0:v>
      </ns0:c>
      <ns0:c r="N412" t="n">
        <ns0:f>VLOOKUP(E412,'교육기준'!$B$6:$F$17,5,FALSE)</ns0:f>
        <ns0:v>70</ns0:v>
      </ns0:c>
      <ns0:c r="O412" t="n">
        <ns0:f>IF(AND(F412="승인",K412&gt;='정책'!$C$6,M412=1,L412&gt;=N412),1,0)</ns0:f>
        <ns0:v>0</ns0:v>
      </ns0:c>
    </ns0:row>
    <ns0:row r="413">
      <ns0:c r="B413" s="17" t="str">
        <ns0:f>'신청원본'!B413</ns0:f>
        <ns0:v>APP000408</ns0:v>
      </ns0:c>
      <ns0:c r="C413" s="17" t="str">
        <ns0:f>'신청원본'!C413</ns0:f>
        <ns0:v>000088</ns0:v>
      </ns0:c>
      <ns0:c r="D413" t="str">
        <ns0:f>'신청원본'!D413</ns0:f>
        <ns0:v>기획</ns0:v>
      </ns0:c>
      <ns0:c r="E413" t="str">
        <ns0:f>'신청원본'!E413</ns0:f>
        <ns0:v>C06</ns0:v>
      </ns0:c>
      <ns0:c r="F413" t="str">
        <ns0:f>'신청원본'!H413</ns0:f>
        <ns0:v>취소</ns0:v>
      </ns0:c>
      <ns0:c r="G413" s="18" t="n">
        <ns0:f>VLOOKUP(E413,'교육기준'!$B$6:$F$17,3,FALSE)</ns0:f>
        <ns0:v>187510</ns0:v>
      </ns0:c>
      <ns0:c r="H413" s="18" t="n">
        <ns0:f>'신청원본'!G413</ns0:f>
        <ns0:v>5</ns0:v>
      </ns0:c>
      <ns0:c r="I413" s="19" t="n">
        <ns0:f>'신청원본'!I413</ns0:f>
        <ns0:v>0.125</ns0:v>
      </ns0:c>
      <ns0:c r="J413" s="18" t="n">
        <ns0:f>IF(F413="승인",IF(COUNTA('신청원본'!J413)=0,ROUND(G413*H413*(1-I413),'정책'!$C$8),'신청원본'!J413),0)</ns0:f>
        <ns0:v>0</ns0:v>
      </ns0:c>
      <ns0:c r="K413" t="n">
        <ns0:f>SUMIFS('출결원본'!$D$6:$D$1445,'출결원본'!$B$6:$B$1445,B413)</ns0:f>
        <ns0:v>3</ns0:v>
      </ns0:c>
      <ns0:c r="L413" t="n">
        <ns0:f>VLOOKUP(B413,'평가원본'!$B$6:$D$485,2,FALSE)</ns0:f>
        <ns0:v>94</ns0:v>
      </ns0:c>
      <ns0:c r="M413" t="n">
        <ns0:f>VLOOKUP(B413,'평가원본'!$B$6:$D$485,3,FALSE)</ns0:f>
        <ns0:v>1</ns0:v>
      </ns0:c>
      <ns0:c r="N413" t="n">
        <ns0:f>VLOOKUP(E413,'교육기준'!$B$6:$F$17,5,FALSE)</ns0:f>
        <ns0:v>80</ns0:v>
      </ns0:c>
      <ns0:c r="O413" t="n">
        <ns0:f>IF(AND(F413="승인",K413&gt;='정책'!$C$6,M413=1,L413&gt;=N413),1,0)</ns0:f>
        <ns0:v>0</ns0:v>
      </ns0:c>
    </ns0:row>
    <ns0:row r="414">
      <ns0:c r="B414" s="17" t="str">
        <ns0:f>'신청원본'!B414</ns0:f>
        <ns0:v>APP000409</ns0:v>
      </ns0:c>
      <ns0:c r="C414" s="17" t="str">
        <ns0:f>'신청원본'!C414</ns0:f>
        <ns0:v>000089</ns0:v>
      </ns0:c>
      <ns0:c r="D414" t="str">
        <ns0:f>'신청원본'!D414</ns0:f>
        <ns0:v>영업</ns0:v>
      </ns0:c>
      <ns0:c r="E414" t="str">
        <ns0:f>'신청원본'!E414</ns0:f>
        <ns0:v>C01</ns0:v>
      </ns0:c>
      <ns0:c r="F414" t="str">
        <ns0:f>'신청원본'!H414</ns0:f>
        <ns0:v>승인</ns0:v>
      </ns0:c>
      <ns0:c r="G414" s="18" t="n">
        <ns0:f>VLOOKUP(E414,'교육기준'!$B$6:$F$17,3,FALSE)</ns0:f>
        <ns0:v>100005</ns0:v>
      </ns0:c>
      <ns0:c r="H414" s="18" t="n">
        <ns0:f>'신청원본'!G414</ns0:f>
        <ns0:v>0</ns0:v>
      </ns0:c>
      <ns0:c r="I414" s="19" t="n">
        <ns0:f>'신청원본'!I414</ns0:f>
        <ns0:v>0</ns0:v>
      </ns0:c>
      <ns0:c r="J414" s="18" t="n">
        <ns0:f>IF(F414="승인",IF(COUNTA('신청원본'!J414)=0,ROUND(G414*H414*(1-I414),'정책'!$C$8),'신청원본'!J414),0)</ns0:f>
        <ns0:v>0</ns0:v>
      </ns0:c>
      <ns0:c r="K414" t="n">
        <ns0:f>SUMIFS('출결원본'!$D$6:$D$1445,'출결원본'!$B$6:$B$1445,B414)</ns0:f>
        <ns0:v>3</ns0:v>
      </ns0:c>
      <ns0:c r="L414" t="n">
        <ns0:f>VLOOKUP(B414,'평가원본'!$B$6:$D$485,2,FALSE)</ns0:f>
        <ns0:v>50</ns0:v>
      </ns0:c>
      <ns0:c r="M414" t="n">
        <ns0:f>VLOOKUP(B414,'평가원본'!$B$6:$D$485,3,FALSE)</ns0:f>
        <ns0:v>1</ns0:v>
      </ns0:c>
      <ns0:c r="N414" t="n">
        <ns0:f>VLOOKUP(E414,'교육기준'!$B$6:$F$17,5,FALSE)</ns0:f>
        <ns0:v>60</ns0:v>
      </ns0:c>
      <ns0:c r="O414" t="n">
        <ns0:f>IF(AND(F414="승인",K414&gt;='정책'!$C$6,M414=1,L414&gt;=N414),1,0)</ns0:f>
        <ns0:v>0</ns0:v>
      </ns0:c>
    </ns0:row>
    <ns0:row r="415">
      <ns0:c r="B415" s="17" t="str">
        <ns0:f>'신청원본'!B415</ns0:f>
        <ns0:v>APP000410</ns0:v>
      </ns0:c>
      <ns0:c r="C415" s="17" t="str">
        <ns0:f>'신청원본'!C415</ns0:f>
        <ns0:v>000090</ns0:v>
      </ns0:c>
      <ns0:c r="D415" t="str">
        <ns0:f>'신청원본'!D415</ns0:f>
        <ns0:v>지원</ns0:v>
      </ns0:c>
      <ns0:c r="E415" t="str">
        <ns0:f>'신청원본'!E415</ns0:f>
        <ns0:v>C08</ns0:v>
      </ns0:c>
      <ns0:c r="F415" t="str">
        <ns0:f>'신청원본'!H415</ns0:f>
        <ns0:v>승인</ns0:v>
      </ns0:c>
      <ns0:c r="G415" s="18" t="n">
        <ns0:f>VLOOKUP(E415,'교육기준'!$B$6:$F$17,3,FALSE)</ns0:f>
        <ns0:v>222512</ns0:v>
      </ns0:c>
      <ns0:c r="H415" s="18" t="n">
        <ns0:f>'신청원본'!G415</ns0:f>
        <ns0:v>1</ns0:v>
      </ns0:c>
      <ns0:c r="I415" s="19" t="n">
        <ns0:f>'신청원본'!I415</ns0:f>
        <ns0:v>0.05</ns0:v>
      </ns0:c>
      <ns0:c r="J415" s="18" t="n">
        <ns0:f>IF(F415="승인",IF(COUNTA('신청원본'!J415)=0,ROUND(G415*H415*(1-I415),'정책'!$C$8),'신청원본'!J415),0)</ns0:f>
        <ns0:v>211386</ns0:v>
      </ns0:c>
      <ns0:c r="K415" t="n">
        <ns0:f>SUMIFS('출결원본'!$D$6:$D$1445,'출결원본'!$B$6:$B$1445,B415)</ns0:f>
        <ns0:v>3</ns0:v>
      </ns0:c>
      <ns0:c r="L415" t="n">
        <ns0:f>VLOOKUP(B415,'평가원본'!$B$6:$D$485,2,FALSE)</ns0:f>
        <ns0:v>57</ns0:v>
      </ns0:c>
      <ns0:c r="M415" t="n">
        <ns0:f>VLOOKUP(B415,'평가원본'!$B$6:$D$485,3,FALSE)</ns0:f>
        <ns0:v>1</ns0:v>
      </ns0:c>
      <ns0:c r="N415" t="n">
        <ns0:f>VLOOKUP(E415,'교육기준'!$B$6:$F$17,5,FALSE)</ns0:f>
        <ns0:v>70</ns0:v>
      </ns0:c>
      <ns0:c r="O415" t="n">
        <ns0:f>IF(AND(F415="승인",K415&gt;='정책'!$C$6,M415=1,L415&gt;=N415),1,0)</ns0:f>
        <ns0:v>0</ns0:v>
      </ns0:c>
    </ns0:row>
    <ns0:row r="416">
      <ns0:c r="B416" s="17" t="str">
        <ns0:f>'신청원본'!B416</ns0:f>
        <ns0:v>APP000411</ns0:v>
      </ns0:c>
      <ns0:c r="C416" s="17" t="str">
        <ns0:f>'신청원본'!C416</ns0:f>
        <ns0:v>000091</ns0:v>
      </ns0:c>
      <ns0:c r="D416" t="str">
        <ns0:f>'신청원본'!D416</ns0:f>
        <ns0:v>개발</ns0:v>
      </ns0:c>
      <ns0:c r="E416" t="str">
        <ns0:f>'신청원본'!E416</ns0:f>
        <ns0:v>C03</ns0:v>
      </ns0:c>
      <ns0:c r="F416" t="str">
        <ns0:f>'신청원본'!H416</ns0:f>
        <ns0:v>승인</ns0:v>
      </ns0:c>
      <ns0:c r="G416" s="18" t="n">
        <ns0:f>VLOOKUP(E416,'교육기준'!$B$6:$F$17,3,FALSE)</ns0:f>
        <ns0:v>135007</ns0:v>
      </ns0:c>
      <ns0:c r="H416" s="18" t="n">
        <ns0:f>'신청원본'!G416</ns0:f>
        <ns0:v>2</ns0:v>
      </ns0:c>
      <ns0:c r="I416" s="19" t="n">
        <ns0:f>'신청원본'!I416</ns0:f>
        <ns0:v>0.1</ns0:v>
      </ns0:c>
      <ns0:c r="J416" s="18" t="n">
        <ns0:f>IF(F416="승인",IF(COUNTA('신청원본'!J416)=0,ROUND(G416*H416*(1-I416),'정책'!$C$8),'신청원본'!J416),0)</ns0:f>
        <ns0:v>243013</ns0:v>
      </ns0:c>
      <ns0:c r="K416" t="n">
        <ns0:f>SUMIFS('출결원본'!$D$6:$D$1445,'출결원본'!$B$6:$B$1445,B416)</ns0:f>
        <ns0:v>3</ns0:v>
      </ns0:c>
      <ns0:c r="L416" t="n">
        <ns0:f>VLOOKUP(B416,'평가원본'!$B$6:$D$485,2,FALSE)</ns0:f>
        <ns0:v>64</ns0:v>
      </ns0:c>
      <ns0:c r="M416" t="n">
        <ns0:f>VLOOKUP(B416,'평가원본'!$B$6:$D$485,3,FALSE)</ns0:f>
        <ns0:v>1</ns0:v>
      </ns0:c>
      <ns0:c r="N416" t="n">
        <ns0:f>VLOOKUP(E416,'교육기준'!$B$6:$F$17,5,FALSE)</ns0:f>
        <ns0:v>80</ns0:v>
      </ns0:c>
      <ns0:c r="O416" t="n">
        <ns0:f>IF(AND(F416="승인",K416&gt;='정책'!$C$6,M416=1,L416&gt;=N416),1,0)</ns0:f>
        <ns0:v>0</ns0:v>
      </ns0:c>
    </ns0:row>
    <ns0:row r="417">
      <ns0:c r="B417" s="17" t="str">
        <ns0:f>'신청원본'!B417</ns0:f>
        <ns0:v>APP000412</ns0:v>
      </ns0:c>
      <ns0:c r="C417" s="17" t="str">
        <ns0:f>'신청원본'!C417</ns0:f>
        <ns0:v>000092</ns0:v>
      </ns0:c>
      <ns0:c r="D417" t="str">
        <ns0:f>'신청원본'!D417</ns0:f>
        <ns0:v>생산</ns0:v>
      </ns0:c>
      <ns0:c r="E417" t="str">
        <ns0:f>'신청원본'!E417</ns0:f>
        <ns0:v>C10</ns0:v>
      </ns0:c>
      <ns0:c r="F417" t="str">
        <ns0:f>'신청원본'!H417</ns0:f>
        <ns0:v>승인</ns0:v>
      </ns0:c>
      <ns0:c r="G417" s="18" t="n">
        <ns0:f>VLOOKUP(E417,'교육기준'!$B$6:$F$17,3,FALSE)</ns0:f>
        <ns0:v>257514</ns0:v>
      </ns0:c>
      <ns0:c r="H417" s="18" t="n">
        <ns0:f>'신청원본'!G417</ns0:f>
        <ns0:v>3</ns0:v>
      </ns0:c>
      <ns0:c r="I417" s="19" t="n">
        <ns0:f>'신청원본'!I417</ns0:f>
        <ns0:v>0.125</ns0:v>
      </ns0:c>
      <ns0:c r="J417" s="18" t="n">
        <ns0:f>IF(F417="승인",IF(COUNTA('신청원본'!J417)=0,ROUND(G417*H417*(1-I417),'정책'!$C$8),'신청원본'!J417),0)</ns0:f>
        <ns0:v>675974</ns0:v>
      </ns0:c>
      <ns0:c r="K417" t="n">
        <ns0:f>SUMIFS('출결원본'!$D$6:$D$1445,'출결원본'!$B$6:$B$1445,B417)</ns0:f>
        <ns0:v>3</ns0:v>
      </ns0:c>
      <ns0:c r="L417" t="n">
        <ns0:f>VLOOKUP(B417,'평가원본'!$B$6:$D$485,2,FALSE)</ns0:f>
        <ns0:v>71</ns0:v>
      </ns0:c>
      <ns0:c r="M417" t="n">
        <ns0:f>VLOOKUP(B417,'평가원본'!$B$6:$D$485,3,FALSE)</ns0:f>
        <ns0:v>1</ns0:v>
      </ns0:c>
      <ns0:c r="N417" t="n">
        <ns0:f>VLOOKUP(E417,'교육기준'!$B$6:$F$17,5,FALSE)</ns0:f>
        <ns0:v>60</ns0:v>
      </ns0:c>
      <ns0:c r="O417" t="n">
        <ns0:f>IF(AND(F417="승인",K417&gt;='정책'!$C$6,M417=1,L417&gt;=N417),1,0)</ns0:f>
        <ns0:v>1</ns0:v>
      </ns0:c>
    </ns0:row>
    <ns0:row r="418">
      <ns0:c r="B418" s="17" t="str">
        <ns0:f>'신청원본'!B418</ns0:f>
        <ns0:v>APP000413</ns0:v>
      </ns0:c>
      <ns0:c r="C418" s="17" t="str">
        <ns0:f>'신청원본'!C418</ns0:f>
        <ns0:v>000093</ns0:v>
      </ns0:c>
      <ns0:c r="D418" t="str">
        <ns0:f>'신청원본'!D418</ns0:f>
        <ns0:v>품질</ns0:v>
      </ns0:c>
      <ns0:c r="E418" t="str">
        <ns0:f>'신청원본'!E418</ns0:f>
        <ns0:v>C05</ns0:v>
      </ns0:c>
      <ns0:c r="F418" t="str">
        <ns0:f>'신청원본'!H418</ns0:f>
        <ns0:v>승인</ns0:v>
      </ns0:c>
      <ns0:c r="G418" s="18" t="n">
        <ns0:f>VLOOKUP(E418,'교육기준'!$B$6:$F$17,3,FALSE)</ns0:f>
        <ns0:v>170009</ns0:v>
      </ns0:c>
      <ns0:c r="H418" s="18" t="n">
        <ns0:f>'신청원본'!G418</ns0:f>
        <ns0:v>4</ns0:v>
      </ns0:c>
      <ns0:c r="I418" s="19" t="n">
        <ns0:f>'신청원본'!I418</ns0:f>
        <ns0:v>0</ns0:v>
      </ns0:c>
      <ns0:c r="J418" s="18" t="n">
        <ns0:f>IF(F418="승인",IF(COUNTA('신청원본'!J418)=0,ROUND(G418*H418*(1-I418),'정책'!$C$8),'신청원본'!J418),0)</ns0:f>
        <ns0:v>680036</ns0:v>
      </ns0:c>
      <ns0:c r="K418" t="n">
        <ns0:f>SUMIFS('출결원본'!$D$6:$D$1445,'출결원본'!$B$6:$B$1445,B418)</ns0:f>
        <ns0:v>3</ns0:v>
      </ns0:c>
      <ns0:c r="L418" t="n">
        <ns0:f>VLOOKUP(B418,'평가원본'!$B$6:$D$485,2,FALSE)</ns0:f>
        <ns0:v>78</ns0:v>
      </ns0:c>
      <ns0:c r="M418" t="n">
        <ns0:f>VLOOKUP(B418,'평가원본'!$B$6:$D$485,3,FALSE)</ns0:f>
        <ns0:v>1</ns0:v>
      </ns0:c>
      <ns0:c r="N418" t="n">
        <ns0:f>VLOOKUP(E418,'교육기준'!$B$6:$F$17,5,FALSE)</ns0:f>
        <ns0:v>70</ns0:v>
      </ns0:c>
      <ns0:c r="O418" t="n">
        <ns0:f>IF(AND(F418="승인",K418&gt;='정책'!$C$6,M418=1,L418&gt;=N418),1,0)</ns0:f>
        <ns0:v>1</ns0:v>
      </ns0:c>
    </ns0:row>
    <ns0:row r="419">
      <ns0:c r="B419" s="17" t="str">
        <ns0:f>'신청원본'!B419</ns0:f>
        <ns0:v>APP000414</ns0:v>
      </ns0:c>
      <ns0:c r="C419" s="17" t="str">
        <ns0:f>'신청원본'!C419</ns0:f>
        <ns0:v>000094</ns0:v>
      </ns0:c>
      <ns0:c r="D419" t="str">
        <ns0:f>'신청원본'!D419</ns0:f>
        <ns0:v>기획</ns0:v>
      </ns0:c>
      <ns0:c r="E419" t="str">
        <ns0:f>'신청원본'!E419</ns0:f>
        <ns0:v>C12</ns0:v>
      </ns0:c>
      <ns0:c r="F419" t="str">
        <ns0:f>'신청원본'!H419</ns0:f>
        <ns0:v>대기</ns0:v>
      </ns0:c>
      <ns0:c r="G419" s="18" t="n">
        <ns0:f>VLOOKUP(E419,'교육기준'!$B$6:$F$17,3,FALSE)</ns0:f>
        <ns0:v>292516</ns0:v>
      </ns0:c>
      <ns0:c r="H419" s="18" t="n">
        <ns0:f>'신청원본'!G419</ns0:f>
        <ns0:v>5</ns0:v>
      </ns0:c>
      <ns0:c r="I419" s="19" t="n">
        <ns0:f>'신청원본'!I419</ns0:f>
        <ns0:v>0.05</ns0:v>
      </ns0:c>
      <ns0:c r="J419" s="18" t="n">
        <ns0:f>IF(F419="승인",IF(COUNTA('신청원본'!J419)=0,ROUND(G419*H419*(1-I419),'정책'!$C$8),'신청원본'!J419),0)</ns0:f>
        <ns0:v>0</ns0:v>
      </ns0:c>
      <ns0:c r="K419" t="n">
        <ns0:f>SUMIFS('출결원본'!$D$6:$D$1445,'출결원본'!$B$6:$B$1445,B419)</ns0:f>
        <ns0:v>3</ns0:v>
      </ns0:c>
      <ns0:c r="L419" t="n">
        <ns0:f>VLOOKUP(B419,'평가원본'!$B$6:$D$485,2,FALSE)</ns0:f>
        <ns0:v>85</ns0:v>
      </ns0:c>
      <ns0:c r="M419" t="n">
        <ns0:f>VLOOKUP(B419,'평가원본'!$B$6:$D$485,3,FALSE)</ns0:f>
        <ns0:v>1</ns0:v>
      </ns0:c>
      <ns0:c r="N419" t="n">
        <ns0:f>VLOOKUP(E419,'교육기준'!$B$6:$F$17,5,FALSE)</ns0:f>
        <ns0:v>80</ns0:v>
      </ns0:c>
      <ns0:c r="O419" t="n">
        <ns0:f>IF(AND(F419="승인",K419&gt;='정책'!$C$6,M419=1,L419&gt;=N419),1,0)</ns0:f>
        <ns0:v>0</ns0:v>
      </ns0:c>
    </ns0:row>
    <ns0:row r="420">
      <ns0:c r="B420" s="17" t="str">
        <ns0:f>'신청원본'!B420</ns0:f>
        <ns0:v>APP000415</ns0:v>
      </ns0:c>
      <ns0:c r="C420" s="17" t="str">
        <ns0:f>'신청원본'!C420</ns0:f>
        <ns0:v>000095</ns0:v>
      </ns0:c>
      <ns0:c r="D420" t="str">
        <ns0:f>'신청원본'!D420</ns0:f>
        <ns0:v>영업</ns0:v>
      </ns0:c>
      <ns0:c r="E420" t="str">
        <ns0:f>'신청원본'!E420</ns0:f>
        <ns0:v>C07</ns0:v>
      </ns0:c>
      <ns0:c r="F420" t="str">
        <ns0:f>'신청원본'!H420</ns0:f>
        <ns0:v>승인</ns0:v>
      </ns0:c>
      <ns0:c r="G420" s="18" t="n">
        <ns0:f>VLOOKUP(E420,'교육기준'!$B$6:$F$17,3,FALSE)</ns0:f>
        <ns0:v>205011</ns0:v>
      </ns0:c>
      <ns0:c r="H420" s="18" t="n">
        <ns0:f>'신청원본'!G420</ns0:f>
        <ns0:v>0</ns0:v>
      </ns0:c>
      <ns0:c r="I420" s="19" t="n">
        <ns0:f>'신청원본'!I420</ns0:f>
        <ns0:v>0.1</ns0:v>
      </ns0:c>
      <ns0:c r="J420" s="18" t="n">
        <ns0:f>IF(F420="승인",IF(COUNTA('신청원본'!J420)=0,ROUND(G420*H420*(1-I420),'정책'!$C$8),'신청원본'!J420),0)</ns0:f>
        <ns0:v>0</ns0:v>
      </ns0:c>
      <ns0:c r="K420" t="n">
        <ns0:f>SUMIFS('출결원본'!$D$6:$D$1445,'출결원본'!$B$6:$B$1445,B420)</ns0:f>
        <ns0:v>2</ns0:v>
      </ns0:c>
      <ns0:c r="L420" t="n">
        <ns0:f>VLOOKUP(B420,'평가원본'!$B$6:$D$485,2,FALSE)</ns0:f>
        <ns0:v>92</ns0:v>
      </ns0:c>
      <ns0:c r="M420" t="n">
        <ns0:f>VLOOKUP(B420,'평가원본'!$B$6:$D$485,3,FALSE)</ns0:f>
        <ns0:v>1</ns0:v>
      </ns0:c>
      <ns0:c r="N420" t="n">
        <ns0:f>VLOOKUP(E420,'교육기준'!$B$6:$F$17,5,FALSE)</ns0:f>
        <ns0:v>60</ns0:v>
      </ns0:c>
      <ns0:c r="O420" t="n">
        <ns0:f>IF(AND(F420="승인",K420&gt;='정책'!$C$6,M420=1,L420&gt;=N420),1,0)</ns0:f>
        <ns0:v>0</ns0:v>
      </ns0:c>
    </ns0:row>
    <ns0:row r="421">
      <ns0:c r="B421" s="17" t="str">
        <ns0:f>'신청원본'!B421</ns0:f>
        <ns0:v>APP000416</ns0:v>
      </ns0:c>
      <ns0:c r="C421" s="17" t="str">
        <ns0:f>'신청원본'!C421</ns0:f>
        <ns0:v>000096</ns0:v>
      </ns0:c>
      <ns0:c r="D421" t="str">
        <ns0:f>'신청원본'!D421</ns0:f>
        <ns0:v>지원</ns0:v>
      </ns0:c>
      <ns0:c r="E421" t="str">
        <ns0:f>'신청원본'!E421</ns0:f>
        <ns0:v>C02</ns0:v>
      </ns0:c>
      <ns0:c r="F421" t="str">
        <ns0:f>'신청원본'!H421</ns0:f>
        <ns0:v>승인</ns0:v>
      </ns0:c>
      <ns0:c r="G421" s="18" t="n">
        <ns0:f>VLOOKUP(E421,'교육기준'!$B$6:$F$17,3,FALSE)</ns0:f>
        <ns0:v>117506</ns0:v>
      </ns0:c>
      <ns0:c r="H421" s="18" t="n">
        <ns0:f>'신청원본'!G421</ns0:f>
        <ns0:v>1</ns0:v>
      </ns0:c>
      <ns0:c r="I421" s="19" t="n">
        <ns0:f>'신청원본'!I421</ns0:f>
        <ns0:v>0.125</ns0:v>
      </ns0:c>
      <ns0:c r="J421" s="18" t="n">
        <ns0:f>IF(F421="승인",IF(COUNTA('신청원본'!J421)=0,ROUND(G421*H421*(1-I421),'정책'!$C$8),'신청원본'!J421),0)</ns0:f>
        <ns0:v>102818</ns0:v>
      </ns0:c>
      <ns0:c r="K421" t="n">
        <ns0:f>SUMIFS('출결원본'!$D$6:$D$1445,'출결원본'!$B$6:$B$1445,B421)</ns0:f>
        <ns0:v>3</ns0:v>
      </ns0:c>
      <ns0:c r="L421" t="n">
        <ns0:f>VLOOKUP(B421,'평가원본'!$B$6:$D$485,2,FALSE)</ns0:f>
        <ns0:v>99</ns0:v>
      </ns0:c>
      <ns0:c r="M421" t="n">
        <ns0:f>VLOOKUP(B421,'평가원본'!$B$6:$D$485,3,FALSE)</ns0:f>
        <ns0:v>1</ns0:v>
      </ns0:c>
      <ns0:c r="N421" t="n">
        <ns0:f>VLOOKUP(E421,'교육기준'!$B$6:$F$17,5,FALSE)</ns0:f>
        <ns0:v>70</ns0:v>
      </ns0:c>
      <ns0:c r="O421" t="n">
        <ns0:f>IF(AND(F421="승인",K421&gt;='정책'!$C$6,M421=1,L421&gt;=N421),1,0)</ns0:f>
        <ns0:v>1</ns0:v>
      </ns0:c>
    </ns0:row>
    <ns0:row r="422">
      <ns0:c r="B422" s="17" t="str">
        <ns0:f>'신청원본'!B422</ns0:f>
        <ns0:v>APP000417</ns0:v>
      </ns0:c>
      <ns0:c r="C422" s="17" t="str">
        <ns0:f>'신청원본'!C422</ns0:f>
        <ns0:v>000097</ns0:v>
      </ns0:c>
      <ns0:c r="D422" t="str">
        <ns0:f>'신청원본'!D422</ns0:f>
        <ns0:v>개발</ns0:v>
      </ns0:c>
      <ns0:c r="E422" t="str">
        <ns0:f>'신청원본'!E422</ns0:f>
        <ns0:v>C09</ns0:v>
      </ns0:c>
      <ns0:c r="F422" t="str">
        <ns0:f>'신청원본'!H422</ns0:f>
        <ns0:v>승인</ns0:v>
      </ns0:c>
      <ns0:c r="G422" s="18" t="n">
        <ns0:f>VLOOKUP(E422,'교육기준'!$B$6:$F$17,3,FALSE)</ns0:f>
        <ns0:v>240013</ns0:v>
      </ns0:c>
      <ns0:c r="H422" s="18" t="n">
        <ns0:f>'신청원본'!G422</ns0:f>
        <ns0:v>2</ns0:v>
      </ns0:c>
      <ns0:c r="I422" s="19" t="n">
        <ns0:f>'신청원본'!I422</ns0:f>
        <ns0:v>0</ns0:v>
      </ns0:c>
      <ns0:c r="J422" s="18" t="n">
        <ns0:f>IF(F422="승인",IF(COUNTA('신청원본'!J422)=0,ROUND(G422*H422*(1-I422),'정책'!$C$8),'신청원본'!J422),0)</ns0:f>
        <ns0:v>480026</ns0:v>
      </ns0:c>
      <ns0:c r="K422" t="n">
        <ns0:f>SUMIFS('출결원본'!$D$6:$D$1445,'출결원본'!$B$6:$B$1445,B422)</ns0:f>
        <ns0:v>2</ns0:v>
      </ns0:c>
      <ns0:c r="L422" t="n">
        <ns0:f>VLOOKUP(B422,'평가원본'!$B$6:$D$485,2,FALSE)</ns0:f>
        <ns0:v>55</ns0:v>
      </ns0:c>
      <ns0:c r="M422" t="n">
        <ns0:f>VLOOKUP(B422,'평가원본'!$B$6:$D$485,3,FALSE)</ns0:f>
        <ns0:v>1</ns0:v>
      </ns0:c>
      <ns0:c r="N422" t="n">
        <ns0:f>VLOOKUP(E422,'교육기준'!$B$6:$F$17,5,FALSE)</ns0:f>
        <ns0:v>80</ns0:v>
      </ns0:c>
      <ns0:c r="O422" t="n">
        <ns0:f>IF(AND(F422="승인",K422&gt;='정책'!$C$6,M422=1,L422&gt;=N422),1,0)</ns0:f>
        <ns0:v>0</ns0:v>
      </ns0:c>
    </ns0:row>
    <ns0:row r="423">
      <ns0:c r="B423" s="17" t="str">
        <ns0:f>'신청원본'!B423</ns0:f>
        <ns0:v>APP000418</ns0:v>
      </ns0:c>
      <ns0:c r="C423" s="17" t="str">
        <ns0:f>'신청원본'!C423</ns0:f>
        <ns0:v>000098</ns0:v>
      </ns0:c>
      <ns0:c r="D423" t="str">
        <ns0:f>'신청원본'!D423</ns0:f>
        <ns0:v>생산</ns0:v>
      </ns0:c>
      <ns0:c r="E423" t="str">
        <ns0:f>'신청원본'!E423</ns0:f>
        <ns0:v>C04</ns0:v>
      </ns0:c>
      <ns0:c r="F423" t="str">
        <ns0:f>'신청원본'!H423</ns0:f>
        <ns0:v>승인</ns0:v>
      </ns0:c>
      <ns0:c r="G423" s="18" t="n">
        <ns0:f>VLOOKUP(E423,'교육기준'!$B$6:$F$17,3,FALSE)</ns0:f>
        <ns0:v>152508</ns0:v>
      </ns0:c>
      <ns0:c r="H423" s="18" t="n">
        <ns0:f>'신청원본'!G423</ns0:f>
        <ns0:v>3</ns0:v>
      </ns0:c>
      <ns0:c r="I423" s="19" t="n">
        <ns0:f>'신청원본'!I423</ns0:f>
        <ns0:v>0.05</ns0:v>
      </ns0:c>
      <ns0:c r="J423" s="18" t="n">
        <ns0:f>IF(F423="승인",IF(COUNTA('신청원본'!J423)=0,ROUND(G423*H423*(1-I423),'정책'!$C$8),'신청원본'!J423),0)</ns0:f>
        <ns0:v>434648</ns0:v>
      </ns0:c>
      <ns0:c r="K423" t="n">
        <ns0:f>SUMIFS('출결원본'!$D$6:$D$1445,'출결원본'!$B$6:$B$1445,B423)</ns0:f>
        <ns0:v>3</ns0:v>
      </ns0:c>
      <ns0:c r="L423" t="n">
        <ns0:f>VLOOKUP(B423,'평가원본'!$B$6:$D$485,2,FALSE)</ns0:f>
        <ns0:v>62</ns0:v>
      </ns0:c>
      <ns0:c r="M423" t="n">
        <ns0:f>VLOOKUP(B423,'평가원본'!$B$6:$D$485,3,FALSE)</ns0:f>
        <ns0:v>1</ns0:v>
      </ns0:c>
      <ns0:c r="N423" t="n">
        <ns0:f>VLOOKUP(E423,'교육기준'!$B$6:$F$17,5,FALSE)</ns0:f>
        <ns0:v>60</ns0:v>
      </ns0:c>
      <ns0:c r="O423" t="n">
        <ns0:f>IF(AND(F423="승인",K423&gt;='정책'!$C$6,M423=1,L423&gt;=N423),1,0)</ns0:f>
        <ns0:v>1</ns0:v>
      </ns0:c>
    </ns0:row>
    <ns0:row r="424">
      <ns0:c r="B424" s="17" t="str">
        <ns0:f>'신청원본'!B424</ns0:f>
        <ns0:v>APP000419</ns0:v>
      </ns0:c>
      <ns0:c r="C424" s="17" t="str">
        <ns0:f>'신청원본'!C424</ns0:f>
        <ns0:v>000099</ns0:v>
      </ns0:c>
      <ns0:c r="D424" t="str">
        <ns0:f>'신청원본'!D424</ns0:f>
        <ns0:v>품질</ns0:v>
      </ns0:c>
      <ns0:c r="E424" t="str">
        <ns0:f>'신청원본'!E424</ns0:f>
        <ns0:v>C11</ns0:v>
      </ns0:c>
      <ns0:c r="F424" t="str">
        <ns0:f>'신청원본'!H424</ns0:f>
        <ns0:v>취소</ns0:v>
      </ns0:c>
      <ns0:c r="G424" s="18" t="n">
        <ns0:f>VLOOKUP(E424,'교육기준'!$B$6:$F$17,3,FALSE)</ns0:f>
        <ns0:v>275015</ns0:v>
      </ns0:c>
      <ns0:c r="H424" s="18" t="n">
        <ns0:f>'신청원본'!G424</ns0:f>
        <ns0:v>4</ns0:v>
      </ns0:c>
      <ns0:c r="I424" s="19" t="n">
        <ns0:f>'신청원본'!I424</ns0:f>
        <ns0:v>0.1</ns0:v>
      </ns0:c>
      <ns0:c r="J424" s="18" t="n">
        <ns0:f>IF(F424="승인",IF(COUNTA('신청원본'!J424)=0,ROUND(G424*H424*(1-I424),'정책'!$C$8),'신청원본'!J424),0)</ns0:f>
        <ns0:v>0</ns0:v>
      </ns0:c>
      <ns0:c r="K424" t="n">
        <ns0:f>SUMIFS('출결원본'!$D$6:$D$1445,'출결원본'!$B$6:$B$1445,B424)</ns0:f>
        <ns0:v>3</ns0:v>
      </ns0:c>
      <ns0:c r="L424" t="n">
        <ns0:f>VLOOKUP(B424,'평가원본'!$B$6:$D$485,2,FALSE)</ns0:f>
        <ns0:v>69</ns0:v>
      </ns0:c>
      <ns0:c r="M424" t="n">
        <ns0:f>VLOOKUP(B424,'평가원본'!$B$6:$D$485,3,FALSE)</ns0:f>
        <ns0:v>0</ns0:v>
      </ns0:c>
      <ns0:c r="N424" t="n">
        <ns0:f>VLOOKUP(E424,'교육기준'!$B$6:$F$17,5,FALSE)</ns0:f>
        <ns0:v>70</ns0:v>
      </ns0:c>
      <ns0:c r="O424" t="n">
        <ns0:f>IF(AND(F424="승인",K424&gt;='정책'!$C$6,M424=1,L424&gt;=N424),1,0)</ns0:f>
        <ns0:v>0</ns0:v>
      </ns0:c>
    </ns0:row>
    <ns0:row r="425">
      <ns0:c r="B425" s="17" t="str">
        <ns0:f>'신청원본'!B425</ns0:f>
        <ns0:v>APP000420</ns0:v>
      </ns0:c>
      <ns0:c r="C425" s="17" t="str">
        <ns0:f>'신청원본'!C425</ns0:f>
        <ns0:v>000100</ns0:v>
      </ns0:c>
      <ns0:c r="D425" t="str">
        <ns0:f>'신청원본'!D425</ns0:f>
        <ns0:v>기획</ns0:v>
      </ns0:c>
      <ns0:c r="E425" t="str">
        <ns0:f>'신청원본'!E425</ns0:f>
        <ns0:v>C06</ns0:v>
      </ns0:c>
      <ns0:c r="F425" t="str">
        <ns0:f>'신청원본'!H425</ns0:f>
        <ns0:v>승인</ns0:v>
      </ns0:c>
      <ns0:c r="G425" s="18" t="n">
        <ns0:f>VLOOKUP(E425,'교육기준'!$B$6:$F$17,3,FALSE)</ns0:f>
        <ns0:v>187510</ns0:v>
      </ns0:c>
      <ns0:c r="H425" s="18" t="n">
        <ns0:f>'신청원본'!G425</ns0:f>
        <ns0:v>5</ns0:v>
      </ns0:c>
      <ns0:c r="I425" s="19" t="n">
        <ns0:f>'신청원본'!I425</ns0:f>
        <ns0:v>0.125</ns0:v>
      </ns0:c>
      <ns0:c r="J425" s="18" t="n">
        <ns0:f>IF(F425="승인",IF(COUNTA('신청원본'!J425)=0,ROUND(G425*H425*(1-I425),'정책'!$C$8),'신청원본'!J425),0)</ns0:f>
        <ns0:v>820356</ns0:v>
      </ns0:c>
      <ns0:c r="K425" t="n">
        <ns0:f>SUMIFS('출결원본'!$D$6:$D$1445,'출결원본'!$B$6:$B$1445,B425)</ns0:f>
        <ns0:v>3</ns0:v>
      </ns0:c>
      <ns0:c r="L425" t="n">
        <ns0:f>VLOOKUP(B425,'평가원본'!$B$6:$D$485,2,FALSE)</ns0:f>
        <ns0:v>76</ns0:v>
      </ns0:c>
      <ns0:c r="M425" t="n">
        <ns0:f>VLOOKUP(B425,'평가원본'!$B$6:$D$485,3,FALSE)</ns0:f>
        <ns0:v>1</ns0:v>
      </ns0:c>
      <ns0:c r="N425" t="n">
        <ns0:f>VLOOKUP(E425,'교육기준'!$B$6:$F$17,5,FALSE)</ns0:f>
        <ns0:v>80</ns0:v>
      </ns0:c>
      <ns0:c r="O425" t="n">
        <ns0:f>IF(AND(F425="승인",K425&gt;='정책'!$C$6,M425=1,L425&gt;=N425),1,0)</ns0:f>
        <ns0:v>0</ns0:v>
      </ns0:c>
    </ns0:row>
    <ns0:row r="426">
      <ns0:c r="B426" s="17" t="str">
        <ns0:f>'신청원본'!B426</ns0:f>
        <ns0:v>APP000421</ns0:v>
      </ns0:c>
      <ns0:c r="C426" s="17" t="str">
        <ns0:f>'신청원본'!C426</ns0:f>
        <ns0:v>000101</ns0:v>
      </ns0:c>
      <ns0:c r="D426" t="str">
        <ns0:f>'신청원본'!D426</ns0:f>
        <ns0:v>영업</ns0:v>
      </ns0:c>
      <ns0:c r="E426" t="str">
        <ns0:f>'신청원본'!E426</ns0:f>
        <ns0:v>C01</ns0:v>
      </ns0:c>
      <ns0:c r="F426" t="str">
        <ns0:f>'신청원본'!H426</ns0:f>
        <ns0:v>대기</ns0:v>
      </ns0:c>
      <ns0:c r="G426" s="18" t="n">
        <ns0:f>VLOOKUP(E426,'교육기준'!$B$6:$F$17,3,FALSE)</ns0:f>
        <ns0:v>100005</ns0:v>
      </ns0:c>
      <ns0:c r="H426" s="18" t="n">
        <ns0:f>'신청원본'!G426</ns0:f>
        <ns0:v>0</ns0:v>
      </ns0:c>
      <ns0:c r="I426" s="19" t="n">
        <ns0:f>'신청원본'!I426</ns0:f>
        <ns0:v>0</ns0:v>
      </ns0:c>
      <ns0:c r="J426" s="18" t="n">
        <ns0:f>IF(F426="승인",IF(COUNTA('신청원본'!J426)=0,ROUND(G426*H426*(1-I426),'정책'!$C$8),'신청원본'!J426),0)</ns0:f>
        <ns0:v>0</ns0:v>
      </ns0:c>
      <ns0:c r="K426" t="n">
        <ns0:f>SUMIFS('출결원본'!$D$6:$D$1445,'출결원본'!$B$6:$B$1445,B426)</ns0:f>
        <ns0:v>3</ns0:v>
      </ns0:c>
      <ns0:c r="L426" t="n">
        <ns0:f>VLOOKUP(B426,'평가원본'!$B$6:$D$485,2,FALSE)</ns0:f>
        <ns0:v>83</ns0:v>
      </ns0:c>
      <ns0:c r="M426" t="n">
        <ns0:f>VLOOKUP(B426,'평가원본'!$B$6:$D$485,3,FALSE)</ns0:f>
        <ns0:v>1</ns0:v>
      </ns0:c>
      <ns0:c r="N426" t="n">
        <ns0:f>VLOOKUP(E426,'교육기준'!$B$6:$F$17,5,FALSE)</ns0:f>
        <ns0:v>60</ns0:v>
      </ns0:c>
      <ns0:c r="O426" t="n">
        <ns0:f>IF(AND(F426="승인",K426&gt;='정책'!$C$6,M426=1,L426&gt;=N426),1,0)</ns0:f>
        <ns0:v>0</ns0:v>
      </ns0:c>
    </ns0:row>
    <ns0:row r="427">
      <ns0:c r="B427" s="17" t="str">
        <ns0:f>'신청원본'!B427</ns0:f>
        <ns0:v>APP000422</ns0:v>
      </ns0:c>
      <ns0:c r="C427" s="17" t="str">
        <ns0:f>'신청원본'!C427</ns0:f>
        <ns0:v>000102</ns0:v>
      </ns0:c>
      <ns0:c r="D427" t="str">
        <ns0:f>'신청원본'!D427</ns0:f>
        <ns0:v>지원</ns0:v>
      </ns0:c>
      <ns0:c r="E427" t="str">
        <ns0:f>'신청원본'!E427</ns0:f>
        <ns0:v>C08</ns0:v>
      </ns0:c>
      <ns0:c r="F427" t="str">
        <ns0:f>'신청원본'!H427</ns0:f>
        <ns0:v>승인</ns0:v>
      </ns0:c>
      <ns0:c r="G427" s="18" t="n">
        <ns0:f>VLOOKUP(E427,'교육기준'!$B$6:$F$17,3,FALSE)</ns0:f>
        <ns0:v>222512</ns0:v>
      </ns0:c>
      <ns0:c r="H427" s="18" t="n">
        <ns0:f>'신청원본'!G427</ns0:f>
        <ns0:v>1</ns0:v>
      </ns0:c>
      <ns0:c r="I427" s="19" t="n">
        <ns0:f>'신청원본'!I427</ns0:f>
        <ns0:v>0.05</ns0:v>
      </ns0:c>
      <ns0:c r="J427" s="18" t="n">
        <ns0:f>IF(F427="승인",IF(COUNTA('신청원본'!J427)=0,ROUND(G427*H427*(1-I427),'정책'!$C$8),'신청원본'!J427),0)</ns0:f>
        <ns0:v>211386</ns0:v>
      </ns0:c>
      <ns0:c r="K427" t="n">
        <ns0:f>SUMIFS('출결원본'!$D$6:$D$1445,'출결원본'!$B$6:$B$1445,B427)</ns0:f>
        <ns0:v>3</ns0:v>
      </ns0:c>
      <ns0:c r="L427" t="n">
        <ns0:f>VLOOKUP(B427,'평가원본'!$B$6:$D$485,2,FALSE)</ns0:f>
        <ns0:v>90</ns0:v>
      </ns0:c>
      <ns0:c r="M427" t="n">
        <ns0:f>VLOOKUP(B427,'평가원본'!$B$6:$D$485,3,FALSE)</ns0:f>
        <ns0:v>1</ns0:v>
      </ns0:c>
      <ns0:c r="N427" t="n">
        <ns0:f>VLOOKUP(E427,'교육기준'!$B$6:$F$17,5,FALSE)</ns0:f>
        <ns0:v>70</ns0:v>
      </ns0:c>
      <ns0:c r="O427" t="n">
        <ns0:f>IF(AND(F427="승인",K427&gt;='정책'!$C$6,M427=1,L427&gt;=N427),1,0)</ns0:f>
        <ns0:v>1</ns0:v>
      </ns0:c>
    </ns0:row>
    <ns0:row r="428">
      <ns0:c r="B428" s="17" t="str">
        <ns0:f>'신청원본'!B428</ns0:f>
        <ns0:v>APP000423</ns0:v>
      </ns0:c>
      <ns0:c r="C428" s="17" t="str">
        <ns0:f>'신청원본'!C428</ns0:f>
        <ns0:v>000103</ns0:v>
      </ns0:c>
      <ns0:c r="D428" t="str">
        <ns0:f>'신청원본'!D428</ns0:f>
        <ns0:v>개발</ns0:v>
      </ns0:c>
      <ns0:c r="E428" t="str">
        <ns0:f>'신청원본'!E428</ns0:f>
        <ns0:v>C03</ns0:v>
      </ns0:c>
      <ns0:c r="F428" t="str">
        <ns0:f>'신청원본'!H428</ns0:f>
        <ns0:v>승인</ns0:v>
      </ns0:c>
      <ns0:c r="G428" s="18" t="n">
        <ns0:f>VLOOKUP(E428,'교육기준'!$B$6:$F$17,3,FALSE)</ns0:f>
        <ns0:v>135007</ns0:v>
      </ns0:c>
      <ns0:c r="H428" s="18" t="n">
        <ns0:f>'신청원본'!G428</ns0:f>
        <ns0:v>2</ns0:v>
      </ns0:c>
      <ns0:c r="I428" s="19" t="n">
        <ns0:f>'신청원본'!I428</ns0:f>
        <ns0:v>0.1</ns0:v>
      </ns0:c>
      <ns0:c r="J428" s="18" t="n">
        <ns0:f>IF(F428="승인",IF(COUNTA('신청원본'!J428)=0,ROUND(G428*H428*(1-I428),'정책'!$C$8),'신청원본'!J428),0)</ns0:f>
        <ns0:v>243013</ns0:v>
      </ns0:c>
      <ns0:c r="K428" t="n">
        <ns0:f>SUMIFS('출결원본'!$D$6:$D$1445,'출결원본'!$B$6:$B$1445,B428)</ns0:f>
        <ns0:v>3</ns0:v>
      </ns0:c>
      <ns0:c r="L428" t="n">
        <ns0:f>VLOOKUP(B428,'평가원본'!$B$6:$D$485,2,FALSE)</ns0:f>
        <ns0:v>97</ns0:v>
      </ns0:c>
      <ns0:c r="M428" t="n">
        <ns0:f>VLOOKUP(B428,'평가원본'!$B$6:$D$485,3,FALSE)</ns0:f>
        <ns0:v>1</ns0:v>
      </ns0:c>
      <ns0:c r="N428" t="n">
        <ns0:f>VLOOKUP(E428,'교육기준'!$B$6:$F$17,5,FALSE)</ns0:f>
        <ns0:v>80</ns0:v>
      </ns0:c>
      <ns0:c r="O428" t="n">
        <ns0:f>IF(AND(F428="승인",K428&gt;='정책'!$C$6,M428=1,L428&gt;=N428),1,0)</ns0:f>
        <ns0:v>1</ns0:v>
      </ns0:c>
    </ns0:row>
    <ns0:row r="429">
      <ns0:c r="B429" s="17" t="str">
        <ns0:f>'신청원본'!B429</ns0:f>
        <ns0:v>APP000424</ns0:v>
      </ns0:c>
      <ns0:c r="C429" s="17" t="str">
        <ns0:f>'신청원본'!C429</ns0:f>
        <ns0:v>000104</ns0:v>
      </ns0:c>
      <ns0:c r="D429" t="str">
        <ns0:f>'신청원본'!D429</ns0:f>
        <ns0:v>생산</ns0:v>
      </ns0:c>
      <ns0:c r="E429" t="str">
        <ns0:f>'신청원본'!E429</ns0:f>
        <ns0:v>C10</ns0:v>
      </ns0:c>
      <ns0:c r="F429" t="str">
        <ns0:f>'신청원본'!H429</ns0:f>
        <ns0:v>승인</ns0:v>
      </ns0:c>
      <ns0:c r="G429" s="18" t="n">
        <ns0:f>VLOOKUP(E429,'교육기준'!$B$6:$F$17,3,FALSE)</ns0:f>
        <ns0:v>257514</ns0:v>
      </ns0:c>
      <ns0:c r="H429" s="18" t="n">
        <ns0:f>'신청원본'!G429</ns0:f>
        <ns0:v>3</ns0:v>
      </ns0:c>
      <ns0:c r="I429" s="19" t="n">
        <ns0:f>'신청원본'!I429</ns0:f>
        <ns0:v>0.125</ns0:v>
      </ns0:c>
      <ns0:c r="J429" s="18" t="n">
        <ns0:f>IF(F429="승인",IF(COUNTA('신청원본'!J429)=0,ROUND(G429*H429*(1-I429),'정책'!$C$8),'신청원본'!J429),0)</ns0:f>
        <ns0:v>675974</ns0:v>
      </ns0:c>
      <ns0:c r="K429" t="n">
        <ns0:f>SUMIFS('출결원본'!$D$6:$D$1445,'출결원본'!$B$6:$B$1445,B429)</ns0:f>
        <ns0:v>2</ns0:v>
      </ns0:c>
      <ns0:c r="L429" t="n">
        <ns0:f>VLOOKUP(B429,'평가원본'!$B$6:$D$485,2,FALSE)</ns0:f>
        <ns0:v>53</ns0:v>
      </ns0:c>
      <ns0:c r="M429" t="n">
        <ns0:f>VLOOKUP(B429,'평가원본'!$B$6:$D$485,3,FALSE)</ns0:f>
        <ns0:v>1</ns0:v>
      </ns0:c>
      <ns0:c r="N429" t="n">
        <ns0:f>VLOOKUP(E429,'교육기준'!$B$6:$F$17,5,FALSE)</ns0:f>
        <ns0:v>60</ns0:v>
      </ns0:c>
      <ns0:c r="O429" t="n">
        <ns0:f>IF(AND(F429="승인",K429&gt;='정책'!$C$6,M429=1,L429&gt;=N429),1,0)</ns0:f>
        <ns0:v>0</ns0:v>
      </ns0:c>
    </ns0:row>
    <ns0:row r="430">
      <ns0:c r="B430" s="17" t="str">
        <ns0:f>'신청원본'!B430</ns0:f>
        <ns0:v>APP000425</ns0:v>
      </ns0:c>
      <ns0:c r="C430" s="17" t="str">
        <ns0:f>'신청원본'!C430</ns0:f>
        <ns0:v>000105</ns0:v>
      </ns0:c>
      <ns0:c r="D430" t="str">
        <ns0:f>'신청원본'!D430</ns0:f>
        <ns0:v>품질</ns0:v>
      </ns0:c>
      <ns0:c r="E430" t="str">
        <ns0:f>'신청원본'!E430</ns0:f>
        <ns0:v>C05</ns0:v>
      </ns0:c>
      <ns0:c r="F430" t="str">
        <ns0:f>'신청원본'!H430</ns0:f>
        <ns0:v>승인</ns0:v>
      </ns0:c>
      <ns0:c r="G430" s="18" t="n">
        <ns0:f>VLOOKUP(E430,'교육기준'!$B$6:$F$17,3,FALSE)</ns0:f>
        <ns0:v>170009</ns0:v>
      </ns0:c>
      <ns0:c r="H430" s="18" t="n">
        <ns0:f>'신청원본'!G430</ns0:f>
        <ns0:v>4</ns0:v>
      </ns0:c>
      <ns0:c r="I430" s="19" t="n">
        <ns0:f>'신청원본'!I430</ns0:f>
        <ns0:v>0</ns0:v>
      </ns0:c>
      <ns0:c r="J430" s="18" t="n">
        <ns0:f>IF(F430="승인",IF(COUNTA('신청원본'!J430)=0,ROUND(G430*H430*(1-I430),'정책'!$C$8),'신청원본'!J430),0)</ns0:f>
        <ns0:v>0</ns0:v>
      </ns0:c>
      <ns0:c r="K430" t="n">
        <ns0:f>SUMIFS('출결원본'!$D$6:$D$1445,'출결원본'!$B$6:$B$1445,B430)</ns0:f>
        <ns0:v>3</ns0:v>
      </ns0:c>
      <ns0:c r="L430" t="n">
        <ns0:f>VLOOKUP(B430,'평가원본'!$B$6:$D$485,2,FALSE)</ns0:f>
        <ns0:v>60</ns0:v>
      </ns0:c>
      <ns0:c r="M430" t="n">
        <ns0:f>VLOOKUP(B430,'평가원본'!$B$6:$D$485,3,FALSE)</ns0:f>
        <ns0:v>1</ns0:v>
      </ns0:c>
      <ns0:c r="N430" t="n">
        <ns0:f>VLOOKUP(E430,'교육기준'!$B$6:$F$17,5,FALSE)</ns0:f>
        <ns0:v>70</ns0:v>
      </ns0:c>
      <ns0:c r="O430" t="n">
        <ns0:f>IF(AND(F430="승인",K430&gt;='정책'!$C$6,M430=1,L430&gt;=N430),1,0)</ns0:f>
        <ns0:v>0</ns0:v>
      </ns0:c>
    </ns0:row>
    <ns0:row r="431">
      <ns0:c r="B431" s="17" t="str">
        <ns0:f>'신청원본'!B431</ns0:f>
        <ns0:v>APP000426</ns0:v>
      </ns0:c>
      <ns0:c r="C431" s="17" t="str">
        <ns0:f>'신청원본'!C431</ns0:f>
        <ns0:v>000106</ns0:v>
      </ns0:c>
      <ns0:c r="D431" t="str">
        <ns0:f>'신청원본'!D431</ns0:f>
        <ns0:v>기획</ns0:v>
      </ns0:c>
      <ns0:c r="E431" t="str">
        <ns0:f>'신청원본'!E431</ns0:f>
        <ns0:v>C12</ns0:v>
      </ns0:c>
      <ns0:c r="F431" t="str">
        <ns0:f>'신청원본'!H431</ns0:f>
        <ns0:v>승인</ns0:v>
      </ns0:c>
      <ns0:c r="G431" s="18" t="n">
        <ns0:f>VLOOKUP(E431,'교육기준'!$B$6:$F$17,3,FALSE)</ns0:f>
        <ns0:v>292516</ns0:v>
      </ns0:c>
      <ns0:c r="H431" s="18" t="n">
        <ns0:f>'신청원본'!G431</ns0:f>
        <ns0:v>5</ns0:v>
      </ns0:c>
      <ns0:c r="I431" s="19" t="n">
        <ns0:f>'신청원본'!I431</ns0:f>
        <ns0:v>0.05</ns0:v>
      </ns0:c>
      <ns0:c r="J431" s="18" t="n">
        <ns0:f>IF(F431="승인",IF(COUNTA('신청원본'!J431)=0,ROUND(G431*H431*(1-I431),'정책'!$C$8),'신청원본'!J431),0)</ns0:f>
        <ns0:v>1389451</ns0:v>
      </ns0:c>
      <ns0:c r="K431" t="n">
        <ns0:f>SUMIFS('출결원본'!$D$6:$D$1445,'출결원본'!$B$6:$B$1445,B431)</ns0:f>
        <ns0:v>3</ns0:v>
      </ns0:c>
      <ns0:c r="L431" t="n">
        <ns0:f>VLOOKUP(B431,'평가원본'!$B$6:$D$485,2,FALSE)</ns0:f>
        <ns0:v>67</ns0:v>
      </ns0:c>
      <ns0:c r="M431" t="n">
        <ns0:f>VLOOKUP(B431,'평가원본'!$B$6:$D$485,3,FALSE)</ns0:f>
        <ns0:v>1</ns0:v>
      </ns0:c>
      <ns0:c r="N431" t="n">
        <ns0:f>VLOOKUP(E431,'교육기준'!$B$6:$F$17,5,FALSE)</ns0:f>
        <ns0:v>80</ns0:v>
      </ns0:c>
      <ns0:c r="O431" t="n">
        <ns0:f>IF(AND(F431="승인",K431&gt;='정책'!$C$6,M431=1,L431&gt;=N431),1,0)</ns0:f>
        <ns0:v>0</ns0:v>
      </ns0:c>
    </ns0:row>
    <ns0:row r="432">
      <ns0:c r="B432" s="17" t="str">
        <ns0:f>'신청원본'!B432</ns0:f>
        <ns0:v>APP000427</ns0:v>
      </ns0:c>
      <ns0:c r="C432" s="17" t="str">
        <ns0:f>'신청원본'!C432</ns0:f>
        <ns0:v>000107</ns0:v>
      </ns0:c>
      <ns0:c r="D432" t="str">
        <ns0:f>'신청원본'!D432</ns0:f>
        <ns0:v>영업</ns0:v>
      </ns0:c>
      <ns0:c r="E432" t="str">
        <ns0:f>'신청원본'!E432</ns0:f>
        <ns0:v>C07</ns0:v>
      </ns0:c>
      <ns0:c r="F432" t="str">
        <ns0:f>'신청원본'!H432</ns0:f>
        <ns0:v>승인</ns0:v>
      </ns0:c>
      <ns0:c r="G432" s="18" t="n">
        <ns0:f>VLOOKUP(E432,'교육기준'!$B$6:$F$17,3,FALSE)</ns0:f>
        <ns0:v>205011</ns0:v>
      </ns0:c>
      <ns0:c r="H432" s="18" t="n">
        <ns0:f>'신청원본'!G432</ns0:f>
        <ns0:v>0</ns0:v>
      </ns0:c>
      <ns0:c r="I432" s="19" t="n">
        <ns0:f>'신청원본'!I432</ns0:f>
        <ns0:v>0.1</ns0:v>
      </ns0:c>
      <ns0:c r="J432" s="18" t="n">
        <ns0:f>IF(F432="승인",IF(COUNTA('신청원본'!J432)=0,ROUND(G432*H432*(1-I432),'정책'!$C$8),'신청원본'!J432),0)</ns0:f>
        <ns0:v>0</ns0:v>
      </ns0:c>
      <ns0:c r="K432" t="n">
        <ns0:f>SUMIFS('출결원본'!$D$6:$D$1445,'출결원본'!$B$6:$B$1445,B432)</ns0:f>
        <ns0:v>3</ns0:v>
      </ns0:c>
      <ns0:c r="L432" t="n">
        <ns0:f>VLOOKUP(B432,'평가원본'!$B$6:$D$485,2,FALSE)</ns0:f>
        <ns0:v>74</ns0:v>
      </ns0:c>
      <ns0:c r="M432" t="n">
        <ns0:f>VLOOKUP(B432,'평가원본'!$B$6:$D$485,3,FALSE)</ns0:f>
        <ns0:v>1</ns0:v>
      </ns0:c>
      <ns0:c r="N432" t="n">
        <ns0:f>VLOOKUP(E432,'교육기준'!$B$6:$F$17,5,FALSE)</ns0:f>
        <ns0:v>60</ns0:v>
      </ns0:c>
      <ns0:c r="O432" t="n">
        <ns0:f>IF(AND(F432="승인",K432&gt;='정책'!$C$6,M432=1,L432&gt;=N432),1,0)</ns0:f>
        <ns0:v>1</ns0:v>
      </ns0:c>
    </ns0:row>
    <ns0:row r="433">
      <ns0:c r="B433" s="17" t="str">
        <ns0:f>'신청원본'!B433</ns0:f>
        <ns0:v>APP000428</ns0:v>
      </ns0:c>
      <ns0:c r="C433" s="17" t="str">
        <ns0:f>'신청원본'!C433</ns0:f>
        <ns0:v>000108</ns0:v>
      </ns0:c>
      <ns0:c r="D433" t="str">
        <ns0:f>'신청원본'!D433</ns0:f>
        <ns0:v>지원</ns0:v>
      </ns0:c>
      <ns0:c r="E433" t="str">
        <ns0:f>'신청원본'!E433</ns0:f>
        <ns0:v>C02</ns0:v>
      </ns0:c>
      <ns0:c r="F433" t="str">
        <ns0:f>'신청원본'!H433</ns0:f>
        <ns0:v>대기</ns0:v>
      </ns0:c>
      <ns0:c r="G433" s="18" t="n">
        <ns0:f>VLOOKUP(E433,'교육기준'!$B$6:$F$17,3,FALSE)</ns0:f>
        <ns0:v>117506</ns0:v>
      </ns0:c>
      <ns0:c r="H433" s="18" t="n">
        <ns0:f>'신청원본'!G433</ns0:f>
        <ns0:v>1</ns0:v>
      </ns0:c>
      <ns0:c r="I433" s="19" t="n">
        <ns0:f>'신청원본'!I433</ns0:f>
        <ns0:v>0.125</ns0:v>
      </ns0:c>
      <ns0:c r="J433" s="18" t="n">
        <ns0:f>IF(F433="승인",IF(COUNTA('신청원본'!J433)=0,ROUND(G433*H433*(1-I433),'정책'!$C$8),'신청원본'!J433),0)</ns0:f>
        <ns0:v>0</ns0:v>
      </ns0:c>
      <ns0:c r="K433" t="n">
        <ns0:f>SUMIFS('출결원본'!$D$6:$D$1445,'출결원본'!$B$6:$B$1445,B433)</ns0:f>
        <ns0:v>3</ns0:v>
      </ns0:c>
      <ns0:c r="L433" t="n">
        <ns0:f>VLOOKUP(B433,'평가원본'!$B$6:$D$485,2,FALSE)</ns0:f>
        <ns0:v>81</ns0:v>
      </ns0:c>
      <ns0:c r="M433" t="n">
        <ns0:f>VLOOKUP(B433,'평가원본'!$B$6:$D$485,3,FALSE)</ns0:f>
        <ns0:v>1</ns0:v>
      </ns0:c>
      <ns0:c r="N433" t="n">
        <ns0:f>VLOOKUP(E433,'교육기준'!$B$6:$F$17,5,FALSE)</ns0:f>
        <ns0:v>70</ns0:v>
      </ns0:c>
      <ns0:c r="O433" t="n">
        <ns0:f>IF(AND(F433="승인",K433&gt;='정책'!$C$6,M433=1,L433&gt;=N433),1,0)</ns0:f>
        <ns0:v>0</ns0:v>
      </ns0:c>
    </ns0:row>
    <ns0:row r="434">
      <ns0:c r="B434" s="17" t="str">
        <ns0:f>'신청원본'!B434</ns0:f>
        <ns0:v>APP000429</ns0:v>
      </ns0:c>
      <ns0:c r="C434" s="17" t="str">
        <ns0:f>'신청원본'!C434</ns0:f>
        <ns0:v>000109</ns0:v>
      </ns0:c>
      <ns0:c r="D434" t="str">
        <ns0:f>'신청원본'!D434</ns0:f>
        <ns0:v>개발</ns0:v>
      </ns0:c>
      <ns0:c r="E434" t="str">
        <ns0:f>'신청원본'!E434</ns0:f>
        <ns0:v>C09</ns0:v>
      </ns0:c>
      <ns0:c r="F434" t="str">
        <ns0:f>'신청원본'!H434</ns0:f>
        <ns0:v>승인</ns0:v>
      </ns0:c>
      <ns0:c r="G434" s="18" t="n">
        <ns0:f>VLOOKUP(E434,'교육기준'!$B$6:$F$17,3,FALSE)</ns0:f>
        <ns0:v>240013</ns0:v>
      </ns0:c>
      <ns0:c r="H434" s="18" t="n">
        <ns0:f>'신청원본'!G434</ns0:f>
        <ns0:v>2</ns0:v>
      </ns0:c>
      <ns0:c r="I434" s="19" t="n">
        <ns0:f>'신청원본'!I434</ns0:f>
        <ns0:v>0</ns0:v>
      </ns0:c>
      <ns0:c r="J434" s="18" t="n">
        <ns0:f>IF(F434="승인",IF(COUNTA('신청원본'!J434)=0,ROUND(G434*H434*(1-I434),'정책'!$C$8),'신청원본'!J434),0)</ns0:f>
        <ns0:v>480026</ns0:v>
      </ns0:c>
      <ns0:c r="K434" t="n">
        <ns0:f>SUMIFS('출결원본'!$D$6:$D$1445,'출결원본'!$B$6:$B$1445,B434)</ns0:f>
        <ns0:v>3</ns0:v>
      </ns0:c>
      <ns0:c r="L434" t="n">
        <ns0:f>VLOOKUP(B434,'평가원본'!$B$6:$D$485,2,FALSE)</ns0:f>
        <ns0:v>88</ns0:v>
      </ns0:c>
      <ns0:c r="M434" t="n">
        <ns0:f>VLOOKUP(B434,'평가원본'!$B$6:$D$485,3,FALSE)</ns0:f>
        <ns0:v>1</ns0:v>
      </ns0:c>
      <ns0:c r="N434" t="n">
        <ns0:f>VLOOKUP(E434,'교육기준'!$B$6:$F$17,5,FALSE)</ns0:f>
        <ns0:v>80</ns0:v>
      </ns0:c>
      <ns0:c r="O434" t="n">
        <ns0:f>IF(AND(F434="승인",K434&gt;='정책'!$C$6,M434=1,L434&gt;=N434),1,0)</ns0:f>
        <ns0:v>1</ns0:v>
      </ns0:c>
    </ns0:row>
    <ns0:row r="435">
      <ns0:c r="B435" s="17" t="str">
        <ns0:f>'신청원본'!B435</ns0:f>
        <ns0:v>APP000430</ns0:v>
      </ns0:c>
      <ns0:c r="C435" s="17" t="str">
        <ns0:f>'신청원본'!C435</ns0:f>
        <ns0:v>000110</ns0:v>
      </ns0:c>
      <ns0:c r="D435" t="str">
        <ns0:f>'신청원본'!D435</ns0:f>
        <ns0:v>생산</ns0:v>
      </ns0:c>
      <ns0:c r="E435" t="str">
        <ns0:f>'신청원본'!E435</ns0:f>
        <ns0:v>C04</ns0:v>
      </ns0:c>
      <ns0:c r="F435" t="str">
        <ns0:f>'신청원본'!H435</ns0:f>
        <ns0:v>취소</ns0:v>
      </ns0:c>
      <ns0:c r="G435" s="18" t="n">
        <ns0:f>VLOOKUP(E435,'교육기준'!$B$6:$F$17,3,FALSE)</ns0:f>
        <ns0:v>152508</ns0:v>
      </ns0:c>
      <ns0:c r="H435" s="18" t="n">
        <ns0:f>'신청원본'!G435</ns0:f>
        <ns0:v>3</ns0:v>
      </ns0:c>
      <ns0:c r="I435" s="19" t="n">
        <ns0:f>'신청원본'!I435</ns0:f>
        <ns0:v>0.05</ns0:v>
      </ns0:c>
      <ns0:c r="J435" s="18" t="n">
        <ns0:f>IF(F435="승인",IF(COUNTA('신청원본'!J435)=0,ROUND(G435*H435*(1-I435),'정책'!$C$8),'신청원본'!J435),0)</ns0:f>
        <ns0:v>0</ns0:v>
      </ns0:c>
      <ns0:c r="K435" t="n">
        <ns0:f>SUMIFS('출결원본'!$D$6:$D$1445,'출결원본'!$B$6:$B$1445,B435)</ns0:f>
        <ns0:v>2</ns0:v>
      </ns0:c>
      <ns0:c r="L435" t="n">
        <ns0:f>VLOOKUP(B435,'평가원본'!$B$6:$D$485,2,FALSE)</ns0:f>
        <ns0:v>95</ns0:v>
      </ns0:c>
      <ns0:c r="M435" t="n">
        <ns0:f>VLOOKUP(B435,'평가원본'!$B$6:$D$485,3,FALSE)</ns0:f>
        <ns0:v>1</ns0:v>
      </ns0:c>
      <ns0:c r="N435" t="n">
        <ns0:f>VLOOKUP(E435,'교육기준'!$B$6:$F$17,5,FALSE)</ns0:f>
        <ns0:v>60</ns0:v>
      </ns0:c>
      <ns0:c r="O435" t="n">
        <ns0:f>IF(AND(F435="승인",K435&gt;='정책'!$C$6,M435=1,L435&gt;=N435),1,0)</ns0:f>
        <ns0:v>0</ns0:v>
      </ns0:c>
    </ns0:row>
    <ns0:row r="436">
      <ns0:c r="B436" s="17" t="str">
        <ns0:f>'신청원본'!B436</ns0:f>
        <ns0:v>APP000431</ns0:v>
      </ns0:c>
      <ns0:c r="C436" s="17" t="str">
        <ns0:f>'신청원본'!C436</ns0:f>
        <ns0:v>000111</ns0:v>
      </ns0:c>
      <ns0:c r="D436" t="str">
        <ns0:f>'신청원본'!D436</ns0:f>
        <ns0:v>품질</ns0:v>
      </ns0:c>
      <ns0:c r="E436" t="str">
        <ns0:f>'신청원본'!E436</ns0:f>
        <ns0:v>C11</ns0:v>
      </ns0:c>
      <ns0:c r="F436" t="str">
        <ns0:f>'신청원본'!H436</ns0:f>
        <ns0:v>승인</ns0:v>
      </ns0:c>
      <ns0:c r="G436" s="18" t="n">
        <ns0:f>VLOOKUP(E436,'교육기준'!$B$6:$F$17,3,FALSE)</ns0:f>
        <ns0:v>275015</ns0:v>
      </ns0:c>
      <ns0:c r="H436" s="18" t="n">
        <ns0:f>'신청원본'!G436</ns0:f>
        <ns0:v>4</ns0:v>
      </ns0:c>
      <ns0:c r="I436" s="19" t="n">
        <ns0:f>'신청원본'!I436</ns0:f>
        <ns0:v>0.1</ns0:v>
      </ns0:c>
      <ns0:c r="J436" s="18" t="n">
        <ns0:f>IF(F436="승인",IF(COUNTA('신청원본'!J436)=0,ROUND(G436*H436*(1-I436),'정책'!$C$8),'신청원본'!J436),0)</ns0:f>
        <ns0:v>990054</ns0:v>
      </ns0:c>
      <ns0:c r="K436" t="n">
        <ns0:f>SUMIFS('출결원본'!$D$6:$D$1445,'출결원본'!$B$6:$B$1445,B436)</ns0:f>
        <ns0:v>3</ns0:v>
      </ns0:c>
      <ns0:c r="L436" t="n">
        <ns0:f>VLOOKUP(B436,'평가원본'!$B$6:$D$485,2,FALSE)</ns0:f>
        <ns0:v>51</ns0:v>
      </ns0:c>
      <ns0:c r="M436" t="n">
        <ns0:f>VLOOKUP(B436,'평가원본'!$B$6:$D$485,3,FALSE)</ns0:f>
        <ns0:v>1</ns0:v>
      </ns0:c>
      <ns0:c r="N436" t="n">
        <ns0:f>VLOOKUP(E436,'교육기준'!$B$6:$F$17,5,FALSE)</ns0:f>
        <ns0:v>70</ns0:v>
      </ns0:c>
      <ns0:c r="O436" t="n">
        <ns0:f>IF(AND(F436="승인",K436&gt;='정책'!$C$6,M436=1,L436&gt;=N436),1,0)</ns0:f>
        <ns0:v>0</ns0:v>
      </ns0:c>
    </ns0:row>
    <ns0:row r="437">
      <ns0:c r="B437" s="17" t="str">
        <ns0:f>'신청원본'!B437</ns0:f>
        <ns0:v>APP000432</ns0:v>
      </ns0:c>
      <ns0:c r="C437" s="17" t="str">
        <ns0:f>'신청원본'!C437</ns0:f>
        <ns0:v>000112</ns0:v>
      </ns0:c>
      <ns0:c r="D437" t="str">
        <ns0:f>'신청원본'!D437</ns0:f>
        <ns0:v>기획</ns0:v>
      </ns0:c>
      <ns0:c r="E437" t="str">
        <ns0:f>'신청원본'!E437</ns0:f>
        <ns0:v>C06</ns0:v>
      </ns0:c>
      <ns0:c r="F437" t="str">
        <ns0:f>'신청원본'!H437</ns0:f>
        <ns0:v>승인</ns0:v>
      </ns0:c>
      <ns0:c r="G437" s="18" t="n">
        <ns0:f>VLOOKUP(E437,'교육기준'!$B$6:$F$17,3,FALSE)</ns0:f>
        <ns0:v>187510</ns0:v>
      </ns0:c>
      <ns0:c r="H437" s="18" t="n">
        <ns0:f>'신청원본'!G437</ns0:f>
        <ns0:v>5</ns0:v>
      </ns0:c>
      <ns0:c r="I437" s="19" t="n">
        <ns0:f>'신청원본'!I437</ns0:f>
        <ns0:v>0.125</ns0:v>
      </ns0:c>
      <ns0:c r="J437" s="18" t="n">
        <ns0:f>IF(F437="승인",IF(COUNTA('신청원본'!J437)=0,ROUND(G437*H437*(1-I437),'정책'!$C$8),'신청원본'!J437),0)</ns0:f>
        <ns0:v>820356</ns0:v>
      </ns0:c>
      <ns0:c r="K437" t="n">
        <ns0:f>SUMIFS('출결원본'!$D$6:$D$1445,'출결원본'!$B$6:$B$1445,B437)</ns0:f>
        <ns0:v>3</ns0:v>
      </ns0:c>
      <ns0:c r="L437" t="n">
        <ns0:f>VLOOKUP(B437,'평가원본'!$B$6:$D$485,2,FALSE)</ns0:f>
        <ns0:v>58</ns0:v>
      </ns0:c>
      <ns0:c r="M437" t="n">
        <ns0:f>VLOOKUP(B437,'평가원본'!$B$6:$D$485,3,FALSE)</ns0:f>
        <ns0:v>1</ns0:v>
      </ns0:c>
      <ns0:c r="N437" t="n">
        <ns0:f>VLOOKUP(E437,'교육기준'!$B$6:$F$17,5,FALSE)</ns0:f>
        <ns0:v>80</ns0:v>
      </ns0:c>
      <ns0:c r="O437" t="n">
        <ns0:f>IF(AND(F437="승인",K437&gt;='정책'!$C$6,M437=1,L437&gt;=N437),1,0)</ns0:f>
        <ns0:v>0</ns0:v>
      </ns0:c>
    </ns0:row>
    <ns0:row r="438">
      <ns0:c r="B438" s="17" t="str">
        <ns0:f>'신청원본'!B438</ns0:f>
        <ns0:v>APP000433</ns0:v>
      </ns0:c>
      <ns0:c r="C438" s="17" t="str">
        <ns0:f>'신청원본'!C438</ns0:f>
        <ns0:v>000113</ns0:v>
      </ns0:c>
      <ns0:c r="D438" t="str">
        <ns0:f>'신청원본'!D438</ns0:f>
        <ns0:v>영업</ns0:v>
      </ns0:c>
      <ns0:c r="E438" t="str">
        <ns0:f>'신청원본'!E438</ns0:f>
        <ns0:v>C01</ns0:v>
      </ns0:c>
      <ns0:c r="F438" t="str">
        <ns0:f>'신청원본'!H438</ns0:f>
        <ns0:v>승인</ns0:v>
      </ns0:c>
      <ns0:c r="G438" s="18" t="n">
        <ns0:f>VLOOKUP(E438,'교육기준'!$B$6:$F$17,3,FALSE)</ns0:f>
        <ns0:v>100005</ns0:v>
      </ns0:c>
      <ns0:c r="H438" s="18" t="n">
        <ns0:f>'신청원본'!G438</ns0:f>
        <ns0:v>0</ns0:v>
      </ns0:c>
      <ns0:c r="I438" s="19" t="n">
        <ns0:f>'신청원본'!I438</ns0:f>
        <ns0:v>0</ns0:v>
      </ns0:c>
      <ns0:c r="J438" s="18" t="n">
        <ns0:f>IF(F438="승인",IF(COUNTA('신청원본'!J438)=0,ROUND(G438*H438*(1-I438),'정책'!$C$8),'신청원본'!J438),0)</ns0:f>
        <ns0:v>0</ns0:v>
      </ns0:c>
      <ns0:c r="K438" t="n">
        <ns0:f>SUMIFS('출결원본'!$D$6:$D$1445,'출결원본'!$B$6:$B$1445,B438)</ns0:f>
        <ns0:v>2</ns0:v>
      </ns0:c>
      <ns0:c r="L438" t="n">
        <ns0:f>VLOOKUP(B438,'평가원본'!$B$6:$D$485,2,FALSE)</ns0:f>
        <ns0:v>65</ns0:v>
      </ns0:c>
      <ns0:c r="M438" t="n">
        <ns0:f>VLOOKUP(B438,'평가원본'!$B$6:$D$485,3,FALSE)</ns0:f>
        <ns0:v>1</ns0:v>
      </ns0:c>
      <ns0:c r="N438" t="n">
        <ns0:f>VLOOKUP(E438,'교육기준'!$B$6:$F$17,5,FALSE)</ns0:f>
        <ns0:v>60</ns0:v>
      </ns0:c>
      <ns0:c r="O438" t="n">
        <ns0:f>IF(AND(F438="승인",K438&gt;='정책'!$C$6,M438=1,L438&gt;=N438),1,0)</ns0:f>
        <ns0:v>0</ns0:v>
      </ns0:c>
    </ns0:row>
    <ns0:row r="439">
      <ns0:c r="B439" s="17" t="str">
        <ns0:f>'신청원본'!B439</ns0:f>
        <ns0:v>APP000434</ns0:v>
      </ns0:c>
      <ns0:c r="C439" s="17" t="str">
        <ns0:f>'신청원본'!C439</ns0:f>
        <ns0:v>000114</ns0:v>
      </ns0:c>
      <ns0:c r="D439" t="str">
        <ns0:f>'신청원본'!D439</ns0:f>
        <ns0:v>지원</ns0:v>
      </ns0:c>
      <ns0:c r="E439" t="str">
        <ns0:f>'신청원본'!E439</ns0:f>
        <ns0:v>C08</ns0:v>
      </ns0:c>
      <ns0:c r="F439" t="str">
        <ns0:f>'신청원본'!H439</ns0:f>
        <ns0:v>승인</ns0:v>
      </ns0:c>
      <ns0:c r="G439" s="18" t="n">
        <ns0:f>VLOOKUP(E439,'교육기준'!$B$6:$F$17,3,FALSE)</ns0:f>
        <ns0:v>222512</ns0:v>
      </ns0:c>
      <ns0:c r="H439" s="18" t="n">
        <ns0:f>'신청원본'!G439</ns0:f>
        <ns0:v>1</ns0:v>
      </ns0:c>
      <ns0:c r="I439" s="19" t="n">
        <ns0:f>'신청원본'!I439</ns0:f>
        <ns0:v>0.05</ns0:v>
      </ns0:c>
      <ns0:c r="J439" s="18" t="n">
        <ns0:f>IF(F439="승인",IF(COUNTA('신청원본'!J439)=0,ROUND(G439*H439*(1-I439),'정책'!$C$8),'신청원본'!J439),0)</ns0:f>
        <ns0:v>211386</ns0:v>
      </ns0:c>
      <ns0:c r="K439" t="n">
        <ns0:f>SUMIFS('출결원본'!$D$6:$D$1445,'출결원본'!$B$6:$B$1445,B439)</ns0:f>
        <ns0:v>3</ns0:v>
      </ns0:c>
      <ns0:c r="L439" t="n">
        <ns0:f>VLOOKUP(B439,'평가원본'!$B$6:$D$485,2,FALSE)</ns0:f>
        <ns0:v>72</ns0:v>
      </ns0:c>
      <ns0:c r="M439" t="n">
        <ns0:f>VLOOKUP(B439,'평가원본'!$B$6:$D$485,3,FALSE)</ns0:f>
        <ns0:v>1</ns0:v>
      </ns0:c>
      <ns0:c r="N439" t="n">
        <ns0:f>VLOOKUP(E439,'교육기준'!$B$6:$F$17,5,FALSE)</ns0:f>
        <ns0:v>70</ns0:v>
      </ns0:c>
      <ns0:c r="O439" t="n">
        <ns0:f>IF(AND(F439="승인",K439&gt;='정책'!$C$6,M439=1,L439&gt;=N439),1,0)</ns0:f>
        <ns0:v>1</ns0:v>
      </ns0:c>
    </ns0:row>
    <ns0:row r="440">
      <ns0:c r="B440" s="17" t="str">
        <ns0:f>'신청원본'!B440</ns0:f>
        <ns0:v>APP000435</ns0:v>
      </ns0:c>
      <ns0:c r="C440" s="17" t="str">
        <ns0:f>'신청원본'!C440</ns0:f>
        <ns0:v>000115</ns0:v>
      </ns0:c>
      <ns0:c r="D440" t="str">
        <ns0:f>'신청원본'!D440</ns0:f>
        <ns0:v>개발</ns0:v>
      </ns0:c>
      <ns0:c r="E440" t="str">
        <ns0:f>'신청원본'!E440</ns0:f>
        <ns0:v>C03</ns0:v>
      </ns0:c>
      <ns0:c r="F440" t="str">
        <ns0:f>'신청원본'!H440</ns0:f>
        <ns0:v>대기</ns0:v>
      </ns0:c>
      <ns0:c r="G440" s="18" t="n">
        <ns0:f>VLOOKUP(E440,'교육기준'!$B$6:$F$17,3,FALSE)</ns0:f>
        <ns0:v>135007</ns0:v>
      </ns0:c>
      <ns0:c r="H440" s="18" t="n">
        <ns0:f>'신청원본'!G440</ns0:f>
        <ns0:v>2</ns0:v>
      </ns0:c>
      <ns0:c r="I440" s="19" t="n">
        <ns0:f>'신청원본'!I440</ns0:f>
        <ns0:v>0.1</ns0:v>
      </ns0:c>
      <ns0:c r="J440" s="18" t="n">
        <ns0:f>IF(F440="승인",IF(COUNTA('신청원본'!J440)=0,ROUND(G440*H440*(1-I440),'정책'!$C$8),'신청원본'!J440),0)</ns0:f>
        <ns0:v>0</ns0:v>
      </ns0:c>
      <ns0:c r="K440" t="n">
        <ns0:f>SUMIFS('출결원본'!$D$6:$D$1445,'출결원본'!$B$6:$B$1445,B440)</ns0:f>
        <ns0:v>3</ns0:v>
      </ns0:c>
      <ns0:c r="L440" t="n">
        <ns0:f>VLOOKUP(B440,'평가원본'!$B$6:$D$485,2,FALSE)</ns0:f>
        <ns0:v>79</ns0:v>
      </ns0:c>
      <ns0:c r="M440" t="n">
        <ns0:f>VLOOKUP(B440,'평가원본'!$B$6:$D$485,3,FALSE)</ns0:f>
        <ns0:v>1</ns0:v>
      </ns0:c>
      <ns0:c r="N440" t="n">
        <ns0:f>VLOOKUP(E440,'교육기준'!$B$6:$F$17,5,FALSE)</ns0:f>
        <ns0:v>80</ns0:v>
      </ns0:c>
      <ns0:c r="O440" t="n">
        <ns0:f>IF(AND(F440="승인",K440&gt;='정책'!$C$6,M440=1,L440&gt;=N440),1,0)</ns0:f>
        <ns0:v>0</ns0:v>
      </ns0:c>
    </ns0:row>
    <ns0:row r="441">
      <ns0:c r="B441" s="17" t="str">
        <ns0:f>'신청원본'!B441</ns0:f>
        <ns0:v>APP000436</ns0:v>
      </ns0:c>
      <ns0:c r="C441" s="17" t="str">
        <ns0:f>'신청원본'!C441</ns0:f>
        <ns0:v>000116</ns0:v>
      </ns0:c>
      <ns0:c r="D441" t="str">
        <ns0:f>'신청원본'!D441</ns0:f>
        <ns0:v>생산</ns0:v>
      </ns0:c>
      <ns0:c r="E441" t="str">
        <ns0:f>'신청원본'!E441</ns0:f>
        <ns0:v>C10</ns0:v>
      </ns0:c>
      <ns0:c r="F441" t="str">
        <ns0:f>'신청원본'!H441</ns0:f>
        <ns0:v>승인</ns0:v>
      </ns0:c>
      <ns0:c r="G441" s="18" t="n">
        <ns0:f>VLOOKUP(E441,'교육기준'!$B$6:$F$17,3,FALSE)</ns0:f>
        <ns0:v>257514</ns0:v>
      </ns0:c>
      <ns0:c r="H441" s="18" t="n">
        <ns0:f>'신청원본'!G441</ns0:f>
        <ns0:v>3</ns0:v>
      </ns0:c>
      <ns0:c r="I441" s="19" t="n">
        <ns0:f>'신청원본'!I441</ns0:f>
        <ns0:v>0.125</ns0:v>
      </ns0:c>
      <ns0:c r="J441" s="18" t="n">
        <ns0:f>IF(F441="승인",IF(COUNTA('신청원본'!J441)=0,ROUND(G441*H441*(1-I441),'정책'!$C$8),'신청원본'!J441),0)</ns0:f>
        <ns0:v>675974</ns0:v>
      </ns0:c>
      <ns0:c r="K441" t="n">
        <ns0:f>SUMIFS('출결원본'!$D$6:$D$1445,'출결원본'!$B$6:$B$1445,B441)</ns0:f>
        <ns0:v>3</ns0:v>
      </ns0:c>
      <ns0:c r="L441" t="n">
        <ns0:f>VLOOKUP(B441,'평가원본'!$B$6:$D$485,2,FALSE)</ns0:f>
        <ns0:v>86</ns0:v>
      </ns0:c>
      <ns0:c r="M441" t="n">
        <ns0:f>VLOOKUP(B441,'평가원본'!$B$6:$D$485,3,FALSE)</ns0:f>
        <ns0:v>1</ns0:v>
      </ns0:c>
      <ns0:c r="N441" t="n">
        <ns0:f>VLOOKUP(E441,'교육기준'!$B$6:$F$17,5,FALSE)</ns0:f>
        <ns0:v>60</ns0:v>
      </ns0:c>
      <ns0:c r="O441" t="n">
        <ns0:f>IF(AND(F441="승인",K441&gt;='정책'!$C$6,M441=1,L441&gt;=N441),1,0)</ns0:f>
        <ns0:v>1</ns0:v>
      </ns0:c>
    </ns0:row>
    <ns0:row r="442">
      <ns0:c r="B442" s="17" t="str">
        <ns0:f>'신청원본'!B442</ns0:f>
        <ns0:v>APP000437</ns0:v>
      </ns0:c>
      <ns0:c r="C442" s="17" t="str">
        <ns0:f>'신청원본'!C442</ns0:f>
        <ns0:v>000117</ns0:v>
      </ns0:c>
      <ns0:c r="D442" t="str">
        <ns0:f>'신청원본'!D442</ns0:f>
        <ns0:v>품질</ns0:v>
      </ns0:c>
      <ns0:c r="E442" t="str">
        <ns0:f>'신청원본'!E442</ns0:f>
        <ns0:v>C05</ns0:v>
      </ns0:c>
      <ns0:c r="F442" t="str">
        <ns0:f>'신청원본'!H442</ns0:f>
        <ns0:v>승인</ns0:v>
      </ns0:c>
      <ns0:c r="G442" s="18" t="n">
        <ns0:f>VLOOKUP(E442,'교육기준'!$B$6:$F$17,3,FALSE)</ns0:f>
        <ns0:v>170009</ns0:v>
      </ns0:c>
      <ns0:c r="H442" s="18" t="n">
        <ns0:f>'신청원본'!G442</ns0:f>
        <ns0:v>4</ns0:v>
      </ns0:c>
      <ns0:c r="I442" s="19" t="n">
        <ns0:f>'신청원본'!I442</ns0:f>
        <ns0:v>0</ns0:v>
      </ns0:c>
      <ns0:c r="J442" s="18" t="n">
        <ns0:f>IF(F442="승인",IF(COUNTA('신청원본'!J442)=0,ROUND(G442*H442*(1-I442),'정책'!$C$8),'신청원본'!J442),0)</ns0:f>
        <ns0:v>680036</ns0:v>
      </ns0:c>
      <ns0:c r="K442" t="n">
        <ns0:f>SUMIFS('출결원본'!$D$6:$D$1445,'출결원본'!$B$6:$B$1445,B442)</ns0:f>
        <ns0:v>3</ns0:v>
      </ns0:c>
      <ns0:c r="L442" t="n">
        <ns0:f>VLOOKUP(B442,'평가원본'!$B$6:$D$485,2,FALSE)</ns0:f>
        <ns0:v>93</ns0:v>
      </ns0:c>
      <ns0:c r="M442" t="n">
        <ns0:f>VLOOKUP(B442,'평가원본'!$B$6:$D$485,3,FALSE)</ns0:f>
        <ns0:v>1</ns0:v>
      </ns0:c>
      <ns0:c r="N442" t="n">
        <ns0:f>VLOOKUP(E442,'교육기준'!$B$6:$F$17,5,FALSE)</ns0:f>
        <ns0:v>70</ns0:v>
      </ns0:c>
      <ns0:c r="O442" t="n">
        <ns0:f>IF(AND(F442="승인",K442&gt;='정책'!$C$6,M442=1,L442&gt;=N442),1,0)</ns0:f>
        <ns0:v>1</ns0:v>
      </ns0:c>
    </ns0:row>
    <ns0:row r="443">
      <ns0:c r="B443" s="17" t="str">
        <ns0:f>'신청원본'!B443</ns0:f>
        <ns0:v>APP000438</ns0:v>
      </ns0:c>
      <ns0:c r="C443" s="17" t="str">
        <ns0:f>'신청원본'!C443</ns0:f>
        <ns0:v>000118</ns0:v>
      </ns0:c>
      <ns0:c r="D443" t="str">
        <ns0:f>'신청원본'!D443</ns0:f>
        <ns0:v>기획</ns0:v>
      </ns0:c>
      <ns0:c r="E443" t="str">
        <ns0:f>'신청원본'!E443</ns0:f>
        <ns0:v>C12</ns0:v>
      </ns0:c>
      <ns0:c r="F443" t="str">
        <ns0:f>'신청원본'!H443</ns0:f>
        <ns0:v>승인</ns0:v>
      </ns0:c>
      <ns0:c r="G443" s="18" t="n">
        <ns0:f>VLOOKUP(E443,'교육기준'!$B$6:$F$17,3,FALSE)</ns0:f>
        <ns0:v>292516</ns0:v>
      </ns0:c>
      <ns0:c r="H443" s="18" t="n">
        <ns0:f>'신청원본'!G443</ns0:f>
        <ns0:v>5</ns0:v>
      </ns0:c>
      <ns0:c r="I443" s="19" t="n">
        <ns0:f>'신청원본'!I443</ns0:f>
        <ns0:v>0.05</ns0:v>
      </ns0:c>
      <ns0:c r="J443" s="18" t="n">
        <ns0:f>IF(F443="승인",IF(COUNTA('신청원본'!J443)=0,ROUND(G443*H443*(1-I443),'정책'!$C$8),'신청원본'!J443),0)</ns0:f>
        <ns0:v>1389451</ns0:v>
      </ns0:c>
      <ns0:c r="K443" t="n">
        <ns0:f>SUMIFS('출결원본'!$D$6:$D$1445,'출결원본'!$B$6:$B$1445,B443)</ns0:f>
        <ns0:v>3</ns0:v>
      </ns0:c>
      <ns0:c r="L443" t="n">
        <ns0:f>VLOOKUP(B443,'평가원본'!$B$6:$D$485,2,FALSE)</ns0:f>
        <ns0:v>100</ns0:v>
      </ns0:c>
      <ns0:c r="M443" t="n">
        <ns0:f>VLOOKUP(B443,'평가원본'!$B$6:$D$485,3,FALSE)</ns0:f>
        <ns0:v>0</ns0:v>
      </ns0:c>
      <ns0:c r="N443" t="n">
        <ns0:f>VLOOKUP(E443,'교육기준'!$B$6:$F$17,5,FALSE)</ns0:f>
        <ns0:v>80</ns0:v>
      </ns0:c>
      <ns0:c r="O443" t="n">
        <ns0:f>IF(AND(F443="승인",K443&gt;='정책'!$C$6,M443=1,L443&gt;=N443),1,0)</ns0:f>
        <ns0:v>0</ns0:v>
      </ns0:c>
    </ns0:row>
    <ns0:row r="444">
      <ns0:c r="B444" s="17" t="str">
        <ns0:f>'신청원본'!B444</ns0:f>
        <ns0:v>APP000439</ns0:v>
      </ns0:c>
      <ns0:c r="C444" s="17" t="str">
        <ns0:f>'신청원본'!C444</ns0:f>
        <ns0:v>000119</ns0:v>
      </ns0:c>
      <ns0:c r="D444" t="str">
        <ns0:f>'신청원본'!D444</ns0:f>
        <ns0:v>영업</ns0:v>
      </ns0:c>
      <ns0:c r="E444" t="str">
        <ns0:f>'신청원본'!E444</ns0:f>
        <ns0:v>C07</ns0:v>
      </ns0:c>
      <ns0:c r="F444" t="str">
        <ns0:f>'신청원본'!H444</ns0:f>
        <ns0:v>승인</ns0:v>
      </ns0:c>
      <ns0:c r="G444" s="18" t="n">
        <ns0:f>VLOOKUP(E444,'교육기준'!$B$6:$F$17,3,FALSE)</ns0:f>
        <ns0:v>205011</ns0:v>
      </ns0:c>
      <ns0:c r="H444" s="18" t="n">
        <ns0:f>'신청원본'!G444</ns0:f>
        <ns0:v>0</ns0:v>
      </ns0:c>
      <ns0:c r="I444" s="19" t="n">
        <ns0:f>'신청원본'!I444</ns0:f>
        <ns0:v>0.1</ns0:v>
      </ns0:c>
      <ns0:c r="J444" s="18" t="n">
        <ns0:f>IF(F444="승인",IF(COUNTA('신청원본'!J444)=0,ROUND(G444*H444*(1-I444),'정책'!$C$8),'신청원본'!J444),0)</ns0:f>
        <ns0:v>0</ns0:v>
      </ns0:c>
      <ns0:c r="K444" t="n">
        <ns0:f>SUMIFS('출결원본'!$D$6:$D$1445,'출결원본'!$B$6:$B$1445,B444)</ns0:f>
        <ns0:v>3</ns0:v>
      </ns0:c>
      <ns0:c r="L444" t="n">
        <ns0:f>VLOOKUP(B444,'평가원본'!$B$6:$D$485,2,FALSE)</ns0:f>
        <ns0:v>56</ns0:v>
      </ns0:c>
      <ns0:c r="M444" t="n">
        <ns0:f>VLOOKUP(B444,'평가원본'!$B$6:$D$485,3,FALSE)</ns0:f>
        <ns0:v>1</ns0:v>
      </ns0:c>
      <ns0:c r="N444" t="n">
        <ns0:f>VLOOKUP(E444,'교육기준'!$B$6:$F$17,5,FALSE)</ns0:f>
        <ns0:v>60</ns0:v>
      </ns0:c>
      <ns0:c r="O444" t="n">
        <ns0:f>IF(AND(F444="승인",K444&gt;='정책'!$C$6,M444=1,L444&gt;=N444),1,0)</ns0:f>
        <ns0:v>0</ns0:v>
      </ns0:c>
    </ns0:row>
    <ns0:row r="445">
      <ns0:c r="B445" s="17" t="str">
        <ns0:f>'신청원본'!B445</ns0:f>
        <ns0:v>APP000440</ns0:v>
      </ns0:c>
      <ns0:c r="C445" s="17" t="str">
        <ns0:f>'신청원본'!C445</ns0:f>
        <ns0:v>000120</ns0:v>
      </ns0:c>
      <ns0:c r="D445" t="str">
        <ns0:f>'신청원본'!D445</ns0:f>
        <ns0:v>지원</ns0:v>
      </ns0:c>
      <ns0:c r="E445" t="str">
        <ns0:f>'신청원본'!E445</ns0:f>
        <ns0:v>C02</ns0:v>
      </ns0:c>
      <ns0:c r="F445" t="str">
        <ns0:f>'신청원본'!H445</ns0:f>
        <ns0:v>승인</ns0:v>
      </ns0:c>
      <ns0:c r="G445" s="18" t="n">
        <ns0:f>VLOOKUP(E445,'교육기준'!$B$6:$F$17,3,FALSE)</ns0:f>
        <ns0:v>117506</ns0:v>
      </ns0:c>
      <ns0:c r="H445" s="18" t="n">
        <ns0:f>'신청원본'!G445</ns0:f>
        <ns0:v>1</ns0:v>
      </ns0:c>
      <ns0:c r="I445" s="19" t="n">
        <ns0:f>'신청원본'!I445</ns0:f>
        <ns0:v>0.125</ns0:v>
      </ns0:c>
      <ns0:c r="J445" s="18" t="n">
        <ns0:f>IF(F445="승인",IF(COUNTA('신청원본'!J445)=0,ROUND(G445*H445*(1-I445),'정책'!$C$8),'신청원본'!J445),0)</ns0:f>
        <ns0:v>102818</ns0:v>
      </ns0:c>
      <ns0:c r="K445" t="n">
        <ns0:f>SUMIFS('출결원본'!$D$6:$D$1445,'출결원본'!$B$6:$B$1445,B445)</ns0:f>
        <ns0:v>3</ns0:v>
      </ns0:c>
      <ns0:c r="L445" t="n">
        <ns0:f>VLOOKUP(B445,'평가원본'!$B$6:$D$485,2,FALSE)</ns0:f>
        <ns0:v>63</ns0:v>
      </ns0:c>
      <ns0:c r="M445" t="n">
        <ns0:f>VLOOKUP(B445,'평가원본'!$B$6:$D$485,3,FALSE)</ns0:f>
        <ns0:v>1</ns0:v>
      </ns0:c>
      <ns0:c r="N445" t="n">
        <ns0:f>VLOOKUP(E445,'교육기준'!$B$6:$F$17,5,FALSE)</ns0:f>
        <ns0:v>70</ns0:v>
      </ns0:c>
      <ns0:c r="O445" t="n">
        <ns0:f>IF(AND(F445="승인",K445&gt;='정책'!$C$6,M445=1,L445&gt;=N445),1,0)</ns0:f>
        <ns0:v>0</ns0:v>
      </ns0:c>
    </ns0:row>
    <ns0:row r="446">
      <ns0:c r="B446" s="17" t="str">
        <ns0:f>'신청원본'!B446</ns0:f>
        <ns0:v>APP000441</ns0:v>
      </ns0:c>
      <ns0:c r="C446" s="17" t="str">
        <ns0:f>'신청원본'!C446</ns0:f>
        <ns0:v>000121</ns0:v>
      </ns0:c>
      <ns0:c r="D446" t="str">
        <ns0:f>'신청원본'!D446</ns0:f>
        <ns0:v>개발</ns0:v>
      </ns0:c>
      <ns0:c r="E446" t="str">
        <ns0:f>'신청원본'!E446</ns0:f>
        <ns0:v>C09</ns0:v>
      </ns0:c>
      <ns0:c r="F446" t="str">
        <ns0:f>'신청원본'!H446</ns0:f>
        <ns0:v>취소</ns0:v>
      </ns0:c>
      <ns0:c r="G446" s="18" t="n">
        <ns0:f>VLOOKUP(E446,'교육기준'!$B$6:$F$17,3,FALSE)</ns0:f>
        <ns0:v>240013</ns0:v>
      </ns0:c>
      <ns0:c r="H446" s="18" t="n">
        <ns0:f>'신청원본'!G446</ns0:f>
        <ns0:v>2</ns0:v>
      </ns0:c>
      <ns0:c r="I446" s="19" t="n">
        <ns0:f>'신청원본'!I446</ns0:f>
        <ns0:v>0</ns0:v>
      </ns0:c>
      <ns0:c r="J446" s="18" t="n">
        <ns0:f>IF(F446="승인",IF(COUNTA('신청원본'!J446)=0,ROUND(G446*H446*(1-I446),'정책'!$C$8),'신청원본'!J446),0)</ns0:f>
        <ns0:v>0</ns0:v>
      </ns0:c>
      <ns0:c r="K446" t="n">
        <ns0:f>SUMIFS('출결원본'!$D$6:$D$1445,'출결원본'!$B$6:$B$1445,B446)</ns0:f>
        <ns0:v>3</ns0:v>
      </ns0:c>
      <ns0:c r="L446" t="n">
        <ns0:f>VLOOKUP(B446,'평가원본'!$B$6:$D$485,2,FALSE)</ns0:f>
        <ns0:v>70</ns0:v>
      </ns0:c>
      <ns0:c r="M446" t="n">
        <ns0:f>VLOOKUP(B446,'평가원본'!$B$6:$D$485,3,FALSE)</ns0:f>
        <ns0:v>1</ns0:v>
      </ns0:c>
      <ns0:c r="N446" t="n">
        <ns0:f>VLOOKUP(E446,'교육기준'!$B$6:$F$17,5,FALSE)</ns0:f>
        <ns0:v>80</ns0:v>
      </ns0:c>
      <ns0:c r="O446" t="n">
        <ns0:f>IF(AND(F446="승인",K446&gt;='정책'!$C$6,M446=1,L446&gt;=N446),1,0)</ns0:f>
        <ns0:v>0</ns0:v>
      </ns0:c>
    </ns0:row>
    <ns0:row r="447">
      <ns0:c r="B447" s="17" t="str">
        <ns0:f>'신청원본'!B447</ns0:f>
        <ns0:v>APP000442</ns0:v>
      </ns0:c>
      <ns0:c r="C447" s="17" t="str">
        <ns0:f>'신청원본'!C447</ns0:f>
        <ns0:v>000122</ns0:v>
      </ns0:c>
      <ns0:c r="D447" t="str">
        <ns0:f>'신청원본'!D447</ns0:f>
        <ns0:v>생산</ns0:v>
      </ns0:c>
      <ns0:c r="E447" t="str">
        <ns0:f>'신청원본'!E447</ns0:f>
        <ns0:v>C04</ns0:v>
      </ns0:c>
      <ns0:c r="F447" t="str">
        <ns0:f>'신청원본'!H447</ns0:f>
        <ns0:v>대기</ns0:v>
      </ns0:c>
      <ns0:c r="G447" s="18" t="n">
        <ns0:f>VLOOKUP(E447,'교육기준'!$B$6:$F$17,3,FALSE)</ns0:f>
        <ns0:v>152508</ns0:v>
      </ns0:c>
      <ns0:c r="H447" s="18" t="n">
        <ns0:f>'신청원본'!G447</ns0:f>
        <ns0:v>3</ns0:v>
      </ns0:c>
      <ns0:c r="I447" s="19" t="n">
        <ns0:f>'신청원본'!I447</ns0:f>
        <ns0:v>0.05</ns0:v>
      </ns0:c>
      <ns0:c r="J447" s="18" t="n">
        <ns0:f>IF(F447="승인",IF(COUNTA('신청원본'!J447)=0,ROUND(G447*H447*(1-I447),'정책'!$C$8),'신청원본'!J447),0)</ns0:f>
        <ns0:v>0</ns0:v>
      </ns0:c>
      <ns0:c r="K447" t="n">
        <ns0:f>SUMIFS('출결원본'!$D$6:$D$1445,'출결원본'!$B$6:$B$1445,B447)</ns0:f>
        <ns0:v>2</ns0:v>
      </ns0:c>
      <ns0:c r="L447" t="n">
        <ns0:f>VLOOKUP(B447,'평가원본'!$B$6:$D$485,2,FALSE)</ns0:f>
        <ns0:v>77</ns0:v>
      </ns0:c>
      <ns0:c r="M447" t="n">
        <ns0:f>VLOOKUP(B447,'평가원본'!$B$6:$D$485,3,FALSE)</ns0:f>
        <ns0:v>1</ns0:v>
      </ns0:c>
      <ns0:c r="N447" t="n">
        <ns0:f>VLOOKUP(E447,'교육기준'!$B$6:$F$17,5,FALSE)</ns0:f>
        <ns0:v>60</ns0:v>
      </ns0:c>
      <ns0:c r="O447" t="n">
        <ns0:f>IF(AND(F447="승인",K447&gt;='정책'!$C$6,M447=1,L447&gt;=N447),1,0)</ns0:f>
        <ns0:v>0</ns0:v>
      </ns0:c>
    </ns0:row>
    <ns0:row r="448">
      <ns0:c r="B448" s="17" t="str">
        <ns0:f>'신청원본'!B448</ns0:f>
        <ns0:v>APP000443</ns0:v>
      </ns0:c>
      <ns0:c r="C448" s="17" t="str">
        <ns0:f>'신청원본'!C448</ns0:f>
        <ns0:v>000123</ns0:v>
      </ns0:c>
      <ns0:c r="D448" t="str">
        <ns0:f>'신청원본'!D448</ns0:f>
        <ns0:v>품질</ns0:v>
      </ns0:c>
      <ns0:c r="E448" t="str">
        <ns0:f>'신청원본'!E448</ns0:f>
        <ns0:v>C11</ns0:v>
      </ns0:c>
      <ns0:c r="F448" t="str">
        <ns0:f>'신청원본'!H448</ns0:f>
        <ns0:v>승인</ns0:v>
      </ns0:c>
      <ns0:c r="G448" s="18" t="n">
        <ns0:f>VLOOKUP(E448,'교육기준'!$B$6:$F$17,3,FALSE)</ns0:f>
        <ns0:v>275015</ns0:v>
      </ns0:c>
      <ns0:c r="H448" s="18" t="n">
        <ns0:f>'신청원본'!G448</ns0:f>
        <ns0:v>4</ns0:v>
      </ns0:c>
      <ns0:c r="I448" s="19" t="n">
        <ns0:f>'신청원본'!I448</ns0:f>
        <ns0:v>0.1</ns0:v>
      </ns0:c>
      <ns0:c r="J448" s="18" t="n">
        <ns0:f>IF(F448="승인",IF(COUNTA('신청원본'!J448)=0,ROUND(G448*H448*(1-I448),'정책'!$C$8),'신청원본'!J448),0)</ns0:f>
        <ns0:v>990054</ns0:v>
      </ns0:c>
      <ns0:c r="K448" t="n">
        <ns0:f>SUMIFS('출결원본'!$D$6:$D$1445,'출결원본'!$B$6:$B$1445,B448)</ns0:f>
        <ns0:v>2</ns0:v>
      </ns0:c>
      <ns0:c r="L448" t="n">
        <ns0:f>VLOOKUP(B448,'평가원본'!$B$6:$D$485,2,FALSE)</ns0:f>
        <ns0:v>84</ns0:v>
      </ns0:c>
      <ns0:c r="M448" t="n">
        <ns0:f>VLOOKUP(B448,'평가원본'!$B$6:$D$485,3,FALSE)</ns0:f>
        <ns0:v>1</ns0:v>
      </ns0:c>
      <ns0:c r="N448" t="n">
        <ns0:f>VLOOKUP(E448,'교육기준'!$B$6:$F$17,5,FALSE)</ns0:f>
        <ns0:v>70</ns0:v>
      </ns0:c>
      <ns0:c r="O448" t="n">
        <ns0:f>IF(AND(F448="승인",K448&gt;='정책'!$C$6,M448=1,L448&gt;=N448),1,0)</ns0:f>
        <ns0:v>0</ns0:v>
      </ns0:c>
    </ns0:row>
    <ns0:row r="449">
      <ns0:c r="B449" s="17" t="str">
        <ns0:f>'신청원본'!B449</ns0:f>
        <ns0:v>APP000444</ns0:v>
      </ns0:c>
      <ns0:c r="C449" s="17" t="str">
        <ns0:f>'신청원본'!C449</ns0:f>
        <ns0:v>000124</ns0:v>
      </ns0:c>
      <ns0:c r="D449" t="str">
        <ns0:f>'신청원본'!D449</ns0:f>
        <ns0:v>기획</ns0:v>
      </ns0:c>
      <ns0:c r="E449" t="str">
        <ns0:f>'신청원본'!E449</ns0:f>
        <ns0:v>C06</ns0:v>
      </ns0:c>
      <ns0:c r="F449" t="str">
        <ns0:f>'신청원본'!H449</ns0:f>
        <ns0:v>승인</ns0:v>
      </ns0:c>
      <ns0:c r="G449" s="18" t="n">
        <ns0:f>VLOOKUP(E449,'교육기준'!$B$6:$F$17,3,FALSE)</ns0:f>
        <ns0:v>187510</ns0:v>
      </ns0:c>
      <ns0:c r="H449" s="18" t="n">
        <ns0:f>'신청원본'!G449</ns0:f>
        <ns0:v>5</ns0:v>
      </ns0:c>
      <ns0:c r="I449" s="19" t="n">
        <ns0:f>'신청원본'!I449</ns0:f>
        <ns0:v>0.125</ns0:v>
      </ns0:c>
      <ns0:c r="J449" s="18" t="n">
        <ns0:f>IF(F449="승인",IF(COUNTA('신청원본'!J449)=0,ROUND(G449*H449*(1-I449),'정책'!$C$8),'신청원본'!J449),0)</ns0:f>
        <ns0:v>820356</ns0:v>
      </ns0:c>
      <ns0:c r="K449" t="n">
        <ns0:f>SUMIFS('출결원본'!$D$6:$D$1445,'출결원본'!$B$6:$B$1445,B449)</ns0:f>
        <ns0:v>3</ns0:v>
      </ns0:c>
      <ns0:c r="L449" t="n">
        <ns0:f>VLOOKUP(B449,'평가원본'!$B$6:$D$485,2,FALSE)</ns0:f>
        <ns0:v>91</ns0:v>
      </ns0:c>
      <ns0:c r="M449" t="n">
        <ns0:f>VLOOKUP(B449,'평가원본'!$B$6:$D$485,3,FALSE)</ns0:f>
        <ns0:v>1</ns0:v>
      </ns0:c>
      <ns0:c r="N449" t="n">
        <ns0:f>VLOOKUP(E449,'교육기준'!$B$6:$F$17,5,FALSE)</ns0:f>
        <ns0:v>80</ns0:v>
      </ns0:c>
      <ns0:c r="O449" t="n">
        <ns0:f>IF(AND(F449="승인",K449&gt;='정책'!$C$6,M449=1,L449&gt;=N449),1,0)</ns0:f>
        <ns0:v>1</ns0:v>
      </ns0:c>
    </ns0:row>
    <ns0:row r="450">
      <ns0:c r="B450" s="17" t="str">
        <ns0:f>'신청원본'!B450</ns0:f>
        <ns0:v>APP000445</ns0:v>
      </ns0:c>
      <ns0:c r="C450" s="17" t="str">
        <ns0:f>'신청원본'!C450</ns0:f>
        <ns0:v>000125</ns0:v>
      </ns0:c>
      <ns0:c r="D450" t="str">
        <ns0:f>'신청원본'!D450</ns0:f>
        <ns0:v>영업</ns0:v>
      </ns0:c>
      <ns0:c r="E450" t="str">
        <ns0:f>'신청원본'!E450</ns0:f>
        <ns0:v>C01</ns0:v>
      </ns0:c>
      <ns0:c r="F450" t="str">
        <ns0:f>'신청원본'!H450</ns0:f>
        <ns0:v>승인</ns0:v>
      </ns0:c>
      <ns0:c r="G450" s="18" t="n">
        <ns0:f>VLOOKUP(E450,'교육기준'!$B$6:$F$17,3,FALSE)</ns0:f>
        <ns0:v>100005</ns0:v>
      </ns0:c>
      <ns0:c r="H450" s="18" t="n">
        <ns0:f>'신청원본'!G450</ns0:f>
        <ns0:v>0</ns0:v>
      </ns0:c>
      <ns0:c r="I450" s="19" t="n">
        <ns0:f>'신청원본'!I450</ns0:f>
        <ns0:v>0</ns0:v>
      </ns0:c>
      <ns0:c r="J450" s="18" t="n">
        <ns0:f>IF(F450="승인",IF(COUNTA('신청원본'!J450)=0,ROUND(G450*H450*(1-I450),'정책'!$C$8),'신청원본'!J450),0)</ns0:f>
        <ns0:v>0</ns0:v>
      </ns0:c>
      <ns0:c r="K450" t="n">
        <ns0:f>SUMIFS('출결원본'!$D$6:$D$1445,'출결원본'!$B$6:$B$1445,B450)</ns0:f>
        <ns0:v>3</ns0:v>
      </ns0:c>
      <ns0:c r="L450" t="n">
        <ns0:f>VLOOKUP(B450,'평가원본'!$B$6:$D$485,2,FALSE)</ns0:f>
        <ns0:v>98</ns0:v>
      </ns0:c>
      <ns0:c r="M450" t="n">
        <ns0:f>VLOOKUP(B450,'평가원본'!$B$6:$D$485,3,FALSE)</ns0:f>
        <ns0:v>1</ns0:v>
      </ns0:c>
      <ns0:c r="N450" t="n">
        <ns0:f>VLOOKUP(E450,'교육기준'!$B$6:$F$17,5,FALSE)</ns0:f>
        <ns0:v>60</ns0:v>
      </ns0:c>
      <ns0:c r="O450" t="n">
        <ns0:f>IF(AND(F450="승인",K450&gt;='정책'!$C$6,M450=1,L450&gt;=N450),1,0)</ns0:f>
        <ns0:v>1</ns0:v>
      </ns0:c>
    </ns0:row>
    <ns0:row r="451">
      <ns0:c r="B451" s="17" t="str">
        <ns0:f>'신청원본'!B451</ns0:f>
        <ns0:v>APP000446</ns0:v>
      </ns0:c>
      <ns0:c r="C451" s="17" t="str">
        <ns0:f>'신청원본'!C451</ns0:f>
        <ns0:v>000126</ns0:v>
      </ns0:c>
      <ns0:c r="D451" t="str">
        <ns0:f>'신청원본'!D451</ns0:f>
        <ns0:v>지원</ns0:v>
      </ns0:c>
      <ns0:c r="E451" t="str">
        <ns0:f>'신청원본'!E451</ns0:f>
        <ns0:v>C08</ns0:v>
      </ns0:c>
      <ns0:c r="F451" t="str">
        <ns0:f>'신청원본'!H451</ns0:f>
        <ns0:v>승인</ns0:v>
      </ns0:c>
      <ns0:c r="G451" s="18" t="n">
        <ns0:f>VLOOKUP(E451,'교육기준'!$B$6:$F$17,3,FALSE)</ns0:f>
        <ns0:v>222512</ns0:v>
      </ns0:c>
      <ns0:c r="H451" s="18" t="n">
        <ns0:f>'신청원본'!G451</ns0:f>
        <ns0:v>1</ns0:v>
      </ns0:c>
      <ns0:c r="I451" s="19" t="n">
        <ns0:f>'신청원본'!I451</ns0:f>
        <ns0:v>0.05</ns0:v>
      </ns0:c>
      <ns0:c r="J451" s="18" t="n">
        <ns0:f>IF(F451="승인",IF(COUNTA('신청원본'!J451)=0,ROUND(G451*H451*(1-I451),'정책'!$C$8),'신청원본'!J451),0)</ns0:f>
        <ns0:v>211386</ns0:v>
      </ns0:c>
      <ns0:c r="K451" t="n">
        <ns0:f>SUMIFS('출결원본'!$D$6:$D$1445,'출결원본'!$B$6:$B$1445,B451)</ns0:f>
        <ns0:v>3</ns0:v>
      </ns0:c>
      <ns0:c r="L451" t="n">
        <ns0:f>VLOOKUP(B451,'평가원본'!$B$6:$D$485,2,FALSE)</ns0:f>
        <ns0:v>54</ns0:v>
      </ns0:c>
      <ns0:c r="M451" t="n">
        <ns0:f>VLOOKUP(B451,'평가원본'!$B$6:$D$485,3,FALSE)</ns0:f>
        <ns0:v>1</ns0:v>
      </ns0:c>
      <ns0:c r="N451" t="n">
        <ns0:f>VLOOKUP(E451,'교육기준'!$B$6:$F$17,5,FALSE)</ns0:f>
        <ns0:v>70</ns0:v>
      </ns0:c>
      <ns0:c r="O451" t="n">
        <ns0:f>IF(AND(F451="승인",K451&gt;='정책'!$C$6,M451=1,L451&gt;=N451),1,0)</ns0:f>
        <ns0:v>0</ns0:v>
      </ns0:c>
    </ns0:row>
    <ns0:row r="452">
      <ns0:c r="B452" s="17" t="str">
        <ns0:f>'신청원본'!B452</ns0:f>
        <ns0:v>APP000447</ns0:v>
      </ns0:c>
      <ns0:c r="C452" s="17" t="str">
        <ns0:f>'신청원본'!C452</ns0:f>
        <ns0:v>000127</ns0:v>
      </ns0:c>
      <ns0:c r="D452" t="str">
        <ns0:f>'신청원본'!D452</ns0:f>
        <ns0:v>개발</ns0:v>
      </ns0:c>
      <ns0:c r="E452" t="str">
        <ns0:f>'신청원본'!E452</ns0:f>
        <ns0:v>C03</ns0:v>
      </ns0:c>
      <ns0:c r="F452" t="str">
        <ns0:f>'신청원본'!H452</ns0:f>
        <ns0:v>승인</ns0:v>
      </ns0:c>
      <ns0:c r="G452" s="18" t="n">
        <ns0:f>VLOOKUP(E452,'교육기준'!$B$6:$F$17,3,FALSE)</ns0:f>
        <ns0:v>135007</ns0:v>
      </ns0:c>
      <ns0:c r="H452" s="18" t="n">
        <ns0:f>'신청원본'!G452</ns0:f>
        <ns0:v>2</ns0:v>
      </ns0:c>
      <ns0:c r="I452" s="19" t="n">
        <ns0:f>'신청원본'!I452</ns0:f>
        <ns0:v>0.1</ns0:v>
      </ns0:c>
      <ns0:c r="J452" s="18" t="n">
        <ns0:f>IF(F452="승인",IF(COUNTA('신청원본'!J452)=0,ROUND(G452*H452*(1-I452),'정책'!$C$8),'신청원본'!J452),0)</ns0:f>
        <ns0:v>243013</ns0:v>
      </ns0:c>
      <ns0:c r="K452" t="n">
        <ns0:f>SUMIFS('출결원본'!$D$6:$D$1445,'출결원본'!$B$6:$B$1445,B452)</ns0:f>
        <ns0:v>3</ns0:v>
      </ns0:c>
      <ns0:c r="L452" t="n">
        <ns0:f>VLOOKUP(B452,'평가원본'!$B$6:$D$485,2,FALSE)</ns0:f>
        <ns0:v>61</ns0:v>
      </ns0:c>
      <ns0:c r="M452" t="n">
        <ns0:f>VLOOKUP(B452,'평가원본'!$B$6:$D$485,3,FALSE)</ns0:f>
        <ns0:v>1</ns0:v>
      </ns0:c>
      <ns0:c r="N452" t="n">
        <ns0:f>VLOOKUP(E452,'교육기준'!$B$6:$F$17,5,FALSE)</ns0:f>
        <ns0:v>80</ns0:v>
      </ns0:c>
      <ns0:c r="O452" t="n">
        <ns0:f>IF(AND(F452="승인",K452&gt;='정책'!$C$6,M452=1,L452&gt;=N452),1,0)</ns0:f>
        <ns0:v>0</ns0:v>
      </ns0:c>
    </ns0:row>
    <ns0:row r="453">
      <ns0:c r="B453" s="17" t="str">
        <ns0:f>'신청원본'!B453</ns0:f>
        <ns0:v>APP000448</ns0:v>
      </ns0:c>
      <ns0:c r="C453" s="17" t="str">
        <ns0:f>'신청원본'!C453</ns0:f>
        <ns0:v>000128</ns0:v>
      </ns0:c>
      <ns0:c r="D453" t="str">
        <ns0:f>'신청원본'!D453</ns0:f>
        <ns0:v>생산</ns0:v>
      </ns0:c>
      <ns0:c r="E453" t="str">
        <ns0:f>'신청원본'!E453</ns0:f>
        <ns0:v>C10</ns0:v>
      </ns0:c>
      <ns0:c r="F453" t="str">
        <ns0:f>'신청원본'!H453</ns0:f>
        <ns0:v>승인</ns0:v>
      </ns0:c>
      <ns0:c r="G453" s="18" t="n">
        <ns0:f>VLOOKUP(E453,'교육기준'!$B$6:$F$17,3,FALSE)</ns0:f>
        <ns0:v>257514</ns0:v>
      </ns0:c>
      <ns0:c r="H453" s="18" t="n">
        <ns0:f>'신청원본'!G453</ns0:f>
        <ns0:v>3</ns0:v>
      </ns0:c>
      <ns0:c r="I453" s="19" t="n">
        <ns0:f>'신청원본'!I453</ns0:f>
        <ns0:v>0.125</ns0:v>
      </ns0:c>
      <ns0:c r="J453" s="18" t="n">
        <ns0:f>IF(F453="승인",IF(COUNTA('신청원본'!J453)=0,ROUND(G453*H453*(1-I453),'정책'!$C$8),'신청원본'!J453),0)</ns0:f>
        <ns0:v>675974</ns0:v>
      </ns0:c>
      <ns0:c r="K453" t="n">
        <ns0:f>SUMIFS('출결원본'!$D$6:$D$1445,'출결원본'!$B$6:$B$1445,B453)</ns0:f>
        <ns0:v>3</ns0:v>
      </ns0:c>
      <ns0:c r="L453" t="n">
        <ns0:f>VLOOKUP(B453,'평가원본'!$B$6:$D$485,2,FALSE)</ns0:f>
        <ns0:v>68</ns0:v>
      </ns0:c>
      <ns0:c r="M453" t="n">
        <ns0:f>VLOOKUP(B453,'평가원본'!$B$6:$D$485,3,FALSE)</ns0:f>
        <ns0:v>1</ns0:v>
      </ns0:c>
      <ns0:c r="N453" t="n">
        <ns0:f>VLOOKUP(E453,'교육기준'!$B$6:$F$17,5,FALSE)</ns0:f>
        <ns0:v>60</ns0:v>
      </ns0:c>
      <ns0:c r="O453" t="n">
        <ns0:f>IF(AND(F453="승인",K453&gt;='정책'!$C$6,M453=1,L453&gt;=N453),1,0)</ns0:f>
        <ns0:v>1</ns0:v>
      </ns0:c>
    </ns0:row>
    <ns0:row r="454">
      <ns0:c r="B454" s="17" t="str">
        <ns0:f>'신청원본'!B454</ns0:f>
        <ns0:v>APP000449</ns0:v>
      </ns0:c>
      <ns0:c r="C454" s="17" t="str">
        <ns0:f>'신청원본'!C454</ns0:f>
        <ns0:v>000129</ns0:v>
      </ns0:c>
      <ns0:c r="D454" t="str">
        <ns0:f>'신청원본'!D454</ns0:f>
        <ns0:v>품질</ns0:v>
      </ns0:c>
      <ns0:c r="E454" t="str">
        <ns0:f>'신청원본'!E454</ns0:f>
        <ns0:v>C05</ns0:v>
      </ns0:c>
      <ns0:c r="F454" t="str">
        <ns0:f>'신청원본'!H454</ns0:f>
        <ns0:v>대기</ns0:v>
      </ns0:c>
      <ns0:c r="G454" s="18" t="n">
        <ns0:f>VLOOKUP(E454,'교육기준'!$B$6:$F$17,3,FALSE)</ns0:f>
        <ns0:v>170009</ns0:v>
      </ns0:c>
      <ns0:c r="H454" s="18" t="n">
        <ns0:f>'신청원본'!G454</ns0:f>
        <ns0:v>4</ns0:v>
      </ns0:c>
      <ns0:c r="I454" s="19" t="n">
        <ns0:f>'신청원본'!I454</ns0:f>
        <ns0:v>0</ns0:v>
      </ns0:c>
      <ns0:c r="J454" s="18" t="n">
        <ns0:f>IF(F454="승인",IF(COUNTA('신청원본'!J454)=0,ROUND(G454*H454*(1-I454),'정책'!$C$8),'신청원본'!J454),0)</ns0:f>
        <ns0:v>0</ns0:v>
      </ns0:c>
      <ns0:c r="K454" t="n">
        <ns0:f>SUMIFS('출결원본'!$D$6:$D$1445,'출결원본'!$B$6:$B$1445,B454)</ns0:f>
        <ns0:v>3</ns0:v>
      </ns0:c>
      <ns0:c r="L454" t="n">
        <ns0:f>VLOOKUP(B454,'평가원본'!$B$6:$D$485,2,FALSE)</ns0:f>
        <ns0:v>75</ns0:v>
      </ns0:c>
      <ns0:c r="M454" t="n">
        <ns0:f>VLOOKUP(B454,'평가원본'!$B$6:$D$485,3,FALSE)</ns0:f>
        <ns0:v>1</ns0:v>
      </ns0:c>
      <ns0:c r="N454" t="n">
        <ns0:f>VLOOKUP(E454,'교육기준'!$B$6:$F$17,5,FALSE)</ns0:f>
        <ns0:v>70</ns0:v>
      </ns0:c>
      <ns0:c r="O454" t="n">
        <ns0:f>IF(AND(F454="승인",K454&gt;='정책'!$C$6,M454=1,L454&gt;=N454),1,0)</ns0:f>
        <ns0:v>0</ns0:v>
      </ns0:c>
    </ns0:row>
    <ns0:row r="455">
      <ns0:c r="B455" s="17" t="str">
        <ns0:f>'신청원본'!B455</ns0:f>
        <ns0:v>APP000450</ns0:v>
      </ns0:c>
      <ns0:c r="C455" s="17" t="str">
        <ns0:f>'신청원본'!C455</ns0:f>
        <ns0:v>000130</ns0:v>
      </ns0:c>
      <ns0:c r="D455" t="str">
        <ns0:f>'신청원본'!D455</ns0:f>
        <ns0:v>기획</ns0:v>
      </ns0:c>
      <ns0:c r="E455" t="str">
        <ns0:f>'신청원본'!E455</ns0:f>
        <ns0:v>C12</ns0:v>
      </ns0:c>
      <ns0:c r="F455" t="str">
        <ns0:f>'신청원본'!H455</ns0:f>
        <ns0:v>승인</ns0:v>
      </ns0:c>
      <ns0:c r="G455" s="18" t="n">
        <ns0:f>VLOOKUP(E455,'교육기준'!$B$6:$F$17,3,FALSE)</ns0:f>
        <ns0:v>292516</ns0:v>
      </ns0:c>
      <ns0:c r="H455" s="18" t="n">
        <ns0:f>'신청원본'!G455</ns0:f>
        <ns0:v>5</ns0:v>
      </ns0:c>
      <ns0:c r="I455" s="19" t="n">
        <ns0:f>'신청원본'!I455</ns0:f>
        <ns0:v>0.05</ns0:v>
      </ns0:c>
      <ns0:c r="J455" s="18" t="n">
        <ns0:f>IF(F455="승인",IF(COUNTA('신청원본'!J455)=0,ROUND(G455*H455*(1-I455),'정책'!$C$8),'신청원본'!J455),0)</ns0:f>
        <ns0:v>1389451</ns0:v>
      </ns0:c>
      <ns0:c r="K455" t="n">
        <ns0:f>SUMIFS('출결원본'!$D$6:$D$1445,'출결원본'!$B$6:$B$1445,B455)</ns0:f>
        <ns0:v>3</ns0:v>
      </ns0:c>
      <ns0:c r="L455" t="n">
        <ns0:f>VLOOKUP(B455,'평가원본'!$B$6:$D$485,2,FALSE)</ns0:f>
        <ns0:v>82</ns0:v>
      </ns0:c>
      <ns0:c r="M455" t="n">
        <ns0:f>VLOOKUP(B455,'평가원본'!$B$6:$D$485,3,FALSE)</ns0:f>
        <ns0:v>1</ns0:v>
      </ns0:c>
      <ns0:c r="N455" t="n">
        <ns0:f>VLOOKUP(E455,'교육기준'!$B$6:$F$17,5,FALSE)</ns0:f>
        <ns0:v>80</ns0:v>
      </ns0:c>
      <ns0:c r="O455" t="n">
        <ns0:f>IF(AND(F455="승인",K455&gt;='정책'!$C$6,M455=1,L455&gt;=N455),1,0)</ns0:f>
        <ns0:v>1</ns0:v>
      </ns0:c>
    </ns0:row>
    <ns0:row r="456">
      <ns0:c r="B456" s="17" t="str">
        <ns0:f>'신청원본'!B456</ns0:f>
        <ns0:v>APP000451</ns0:v>
      </ns0:c>
      <ns0:c r="C456" s="17" t="str">
        <ns0:f>'신청원본'!C456</ns0:f>
        <ns0:v>000131</ns0:v>
      </ns0:c>
      <ns0:c r="D456" t="str">
        <ns0:f>'신청원본'!D456</ns0:f>
        <ns0:v>영업</ns0:v>
      </ns0:c>
      <ns0:c r="E456" t="str">
        <ns0:f>'신청원본'!E456</ns0:f>
        <ns0:v>C07</ns0:v>
      </ns0:c>
      <ns0:c r="F456" t="str">
        <ns0:f>'신청원본'!H456</ns0:f>
        <ns0:v>승인</ns0:v>
      </ns0:c>
      <ns0:c r="G456" s="18" t="n">
        <ns0:f>VLOOKUP(E456,'교육기준'!$B$6:$F$17,3,FALSE)</ns0:f>
        <ns0:v>205011</ns0:v>
      </ns0:c>
      <ns0:c r="H456" s="18" t="n">
        <ns0:f>'신청원본'!G456</ns0:f>
        <ns0:v>0</ns0:v>
      </ns0:c>
      <ns0:c r="I456" s="19" t="n">
        <ns0:f>'신청원본'!I456</ns0:f>
        <ns0:v>0.1</ns0:v>
      </ns0:c>
      <ns0:c r="J456" s="18" t="n">
        <ns0:f>IF(F456="승인",IF(COUNTA('신청원본'!J456)=0,ROUND(G456*H456*(1-I456),'정책'!$C$8),'신청원본'!J456),0)</ns0:f>
        <ns0:v>0</ns0:v>
      </ns0:c>
      <ns0:c r="K456" t="n">
        <ns0:f>SUMIFS('출결원본'!$D$6:$D$1445,'출결원본'!$B$6:$B$1445,B456)</ns0:f>
        <ns0:v>2</ns0:v>
      </ns0:c>
      <ns0:c r="L456" t="n">
        <ns0:f>VLOOKUP(B456,'평가원본'!$B$6:$D$485,2,FALSE)</ns0:f>
        <ns0:v>89</ns0:v>
      </ns0:c>
      <ns0:c r="M456" t="n">
        <ns0:f>VLOOKUP(B456,'평가원본'!$B$6:$D$485,3,FALSE)</ns0:f>
        <ns0:v>1</ns0:v>
      </ns0:c>
      <ns0:c r="N456" t="n">
        <ns0:f>VLOOKUP(E456,'교육기준'!$B$6:$F$17,5,FALSE)</ns0:f>
        <ns0:v>60</ns0:v>
      </ns0:c>
      <ns0:c r="O456" t="n">
        <ns0:f>IF(AND(F456="승인",K456&gt;='정책'!$C$6,M456=1,L456&gt;=N456),1,0)</ns0:f>
        <ns0:v>0</ns0:v>
      </ns0:c>
    </ns0:row>
    <ns0:row r="457">
      <ns0:c r="B457" s="17" t="str">
        <ns0:f>'신청원본'!B457</ns0:f>
        <ns0:v>APP000452</ns0:v>
      </ns0:c>
      <ns0:c r="C457" s="17" t="str">
        <ns0:f>'신청원본'!C457</ns0:f>
        <ns0:v>000132</ns0:v>
      </ns0:c>
      <ns0:c r="D457" t="str">
        <ns0:f>'신청원본'!D457</ns0:f>
        <ns0:v>지원</ns0:v>
      </ns0:c>
      <ns0:c r="E457" t="str">
        <ns0:f>'신청원본'!E457</ns0:f>
        <ns0:v>C02</ns0:v>
      </ns0:c>
      <ns0:c r="F457" t="str">
        <ns0:f>'신청원본'!H457</ns0:f>
        <ns0:v>취소</ns0:v>
      </ns0:c>
      <ns0:c r="G457" s="18" t="n">
        <ns0:f>VLOOKUP(E457,'교육기준'!$B$6:$F$17,3,FALSE)</ns0:f>
        <ns0:v>117506</ns0:v>
      </ns0:c>
      <ns0:c r="H457" s="18" t="n">
        <ns0:f>'신청원본'!G457</ns0:f>
        <ns0:v>1</ns0:v>
      </ns0:c>
      <ns0:c r="I457" s="19" t="n">
        <ns0:f>'신청원본'!I457</ns0:f>
        <ns0:v>0.125</ns0:v>
      </ns0:c>
      <ns0:c r="J457" s="18" t="n">
        <ns0:f>IF(F457="승인",IF(COUNTA('신청원본'!J457)=0,ROUND(G457*H457*(1-I457),'정책'!$C$8),'신청원본'!J457),0)</ns0:f>
        <ns0:v>0</ns0:v>
      </ns0:c>
      <ns0:c r="K457" t="n">
        <ns0:f>SUMIFS('출결원본'!$D$6:$D$1445,'출결원본'!$B$6:$B$1445,B457)</ns0:f>
        <ns0:v>3</ns0:v>
      </ns0:c>
      <ns0:c r="L457" t="n">
        <ns0:f>VLOOKUP(B457,'평가원본'!$B$6:$D$485,2,FALSE)</ns0:f>
        <ns0:v>96</ns0:v>
      </ns0:c>
      <ns0:c r="M457" t="n">
        <ns0:f>VLOOKUP(B457,'평가원본'!$B$6:$D$485,3,FALSE)</ns0:f>
        <ns0:v>1</ns0:v>
      </ns0:c>
      <ns0:c r="N457" t="n">
        <ns0:f>VLOOKUP(E457,'교육기준'!$B$6:$F$17,5,FALSE)</ns0:f>
        <ns0:v>70</ns0:v>
      </ns0:c>
      <ns0:c r="O457" t="n">
        <ns0:f>IF(AND(F457="승인",K457&gt;='정책'!$C$6,M457=1,L457&gt;=N457),1,0)</ns0:f>
        <ns0:v>0</ns0:v>
      </ns0:c>
    </ns0:row>
    <ns0:row r="458">
      <ns0:c r="B458" s="17" t="str">
        <ns0:f>'신청원본'!B458</ns0:f>
        <ns0:v>APP000453</ns0:v>
      </ns0:c>
      <ns0:c r="C458" s="17" t="str">
        <ns0:f>'신청원본'!C458</ns0:f>
        <ns0:v>000133</ns0:v>
      </ns0:c>
      <ns0:c r="D458" t="str">
        <ns0:f>'신청원본'!D458</ns0:f>
        <ns0:v>개발</ns0:v>
      </ns0:c>
      <ns0:c r="E458" t="str">
        <ns0:f>'신청원본'!E458</ns0:f>
        <ns0:v>C09</ns0:v>
      </ns0:c>
      <ns0:c r="F458" t="str">
        <ns0:f>'신청원본'!H458</ns0:f>
        <ns0:v>승인</ns0:v>
      </ns0:c>
      <ns0:c r="G458" s="18" t="n">
        <ns0:f>VLOOKUP(E458,'교육기준'!$B$6:$F$17,3,FALSE)</ns0:f>
        <ns0:v>240013</ns0:v>
      </ns0:c>
      <ns0:c r="H458" s="18" t="n">
        <ns0:f>'신청원본'!G458</ns0:f>
        <ns0:v>2</ns0:v>
      </ns0:c>
      <ns0:c r="I458" s="19" t="n">
        <ns0:f>'신청원본'!I458</ns0:f>
        <ns0:v>0</ns0:v>
      </ns0:c>
      <ns0:c r="J458" s="18" t="n">
        <ns0:f>IF(F458="승인",IF(COUNTA('신청원본'!J458)=0,ROUND(G458*H458*(1-I458),'정책'!$C$8),'신청원본'!J458),0)</ns0:f>
        <ns0:v>480026</ns0:v>
      </ns0:c>
      <ns0:c r="K458" t="n">
        <ns0:f>SUMIFS('출결원본'!$D$6:$D$1445,'출결원본'!$B$6:$B$1445,B458)</ns0:f>
        <ns0:v>3</ns0:v>
      </ns0:c>
      <ns0:c r="L458" t="n">
        <ns0:f>VLOOKUP(B458,'평가원본'!$B$6:$D$485,2,FALSE)</ns0:f>
        <ns0:v>52</ns0:v>
      </ns0:c>
      <ns0:c r="M458" t="n">
        <ns0:f>VLOOKUP(B458,'평가원본'!$B$6:$D$485,3,FALSE)</ns0:f>
        <ns0:v>1</ns0:v>
      </ns0:c>
      <ns0:c r="N458" t="n">
        <ns0:f>VLOOKUP(E458,'교육기준'!$B$6:$F$17,5,FALSE)</ns0:f>
        <ns0:v>80</ns0:v>
      </ns0:c>
      <ns0:c r="O458" t="n">
        <ns0:f>IF(AND(F458="승인",K458&gt;='정책'!$C$6,M458=1,L458&gt;=N458),1,0)</ns0:f>
        <ns0:v>0</ns0:v>
      </ns0:c>
    </ns0:row>
    <ns0:row r="459">
      <ns0:c r="B459" s="17" t="str">
        <ns0:f>'신청원본'!B459</ns0:f>
        <ns0:v>APP000454</ns0:v>
      </ns0:c>
      <ns0:c r="C459" s="17" t="str">
        <ns0:f>'신청원본'!C459</ns0:f>
        <ns0:v>000134</ns0:v>
      </ns0:c>
      <ns0:c r="D459" t="str">
        <ns0:f>'신청원본'!D459</ns0:f>
        <ns0:v>생산</ns0:v>
      </ns0:c>
      <ns0:c r="E459" t="str">
        <ns0:f>'신청원본'!E459</ns0:f>
        <ns0:v>C04</ns0:v>
      </ns0:c>
      <ns0:c r="F459" t="str">
        <ns0:f>'신청원본'!H459</ns0:f>
        <ns0:v>승인</ns0:v>
      </ns0:c>
      <ns0:c r="G459" s="18" t="n">
        <ns0:f>VLOOKUP(E459,'교육기준'!$B$6:$F$17,3,FALSE)</ns0:f>
        <ns0:v>152508</ns0:v>
      </ns0:c>
      <ns0:c r="H459" s="18" t="n">
        <ns0:f>'신청원본'!G459</ns0:f>
        <ns0:v>3</ns0:v>
      </ns0:c>
      <ns0:c r="I459" s="19" t="n">
        <ns0:f>'신청원본'!I459</ns0:f>
        <ns0:v>0.05</ns0:v>
      </ns0:c>
      <ns0:c r="J459" s="18" t="n">
        <ns0:f>IF(F459="승인",IF(COUNTA('신청원본'!J459)=0,ROUND(G459*H459*(1-I459),'정책'!$C$8),'신청원본'!J459),0)</ns0:f>
        <ns0:v>434648</ns0:v>
      </ns0:c>
      <ns0:c r="K459" t="n">
        <ns0:f>SUMIFS('출결원본'!$D$6:$D$1445,'출결원본'!$B$6:$B$1445,B459)</ns0:f>
        <ns0:v>3</ns0:v>
      </ns0:c>
      <ns0:c r="L459" t="n">
        <ns0:f>VLOOKUP(B459,'평가원본'!$B$6:$D$485,2,FALSE)</ns0:f>
        <ns0:v>59</ns0:v>
      </ns0:c>
      <ns0:c r="M459" t="n">
        <ns0:f>VLOOKUP(B459,'평가원본'!$B$6:$D$485,3,FALSE)</ns0:f>
        <ns0:v>1</ns0:v>
      </ns0:c>
      <ns0:c r="N459" t="n">
        <ns0:f>VLOOKUP(E459,'교육기준'!$B$6:$F$17,5,FALSE)</ns0:f>
        <ns0:v>60</ns0:v>
      </ns0:c>
      <ns0:c r="O459" t="n">
        <ns0:f>IF(AND(F459="승인",K459&gt;='정책'!$C$6,M459=1,L459&gt;=N459),1,0)</ns0:f>
        <ns0:v>0</ns0:v>
      </ns0:c>
    </ns0:row>
    <ns0:row r="460">
      <ns0:c r="B460" s="17" t="str">
        <ns0:f>'신청원본'!B460</ns0:f>
        <ns0:v>APP000455</ns0:v>
      </ns0:c>
      <ns0:c r="C460" s="17" t="str">
        <ns0:f>'신청원본'!C460</ns0:f>
        <ns0:v>000135</ns0:v>
      </ns0:c>
      <ns0:c r="D460" t="str">
        <ns0:f>'신청원본'!D460</ns0:f>
        <ns0:v>품질</ns0:v>
      </ns0:c>
      <ns0:c r="E460" t="str">
        <ns0:f>'신청원본'!E460</ns0:f>
        <ns0:v>C11</ns0:v>
      </ns0:c>
      <ns0:c r="F460" t="str">
        <ns0:f>'신청원본'!H460</ns0:f>
        <ns0:v>승인</ns0:v>
      </ns0:c>
      <ns0:c r="G460" s="18" t="n">
        <ns0:f>VLOOKUP(E460,'교육기준'!$B$6:$F$17,3,FALSE)</ns0:f>
        <ns0:v>275015</ns0:v>
      </ns0:c>
      <ns0:c r="H460" s="18" t="n">
        <ns0:f>'신청원본'!G460</ns0:f>
        <ns0:v>4</ns0:v>
      </ns0:c>
      <ns0:c r="I460" s="19" t="n">
        <ns0:f>'신청원본'!I460</ns0:f>
        <ns0:v>0.1</ns0:v>
      </ns0:c>
      <ns0:c r="J460" s="18" t="n">
        <ns0:f>IF(F460="승인",IF(COUNTA('신청원본'!J460)=0,ROUND(G460*H460*(1-I460),'정책'!$C$8),'신청원본'!J460),0)</ns0:f>
        <ns0:v>990054</ns0:v>
      </ns0:c>
      <ns0:c r="K460" t="n">
        <ns0:f>SUMIFS('출결원본'!$D$6:$D$1445,'출결원본'!$B$6:$B$1445,B460)</ns0:f>
        <ns0:v>3</ns0:v>
      </ns0:c>
      <ns0:c r="L460" t="n">
        <ns0:f>VLOOKUP(B460,'평가원본'!$B$6:$D$485,2,FALSE)</ns0:f>
        <ns0:v>66</ns0:v>
      </ns0:c>
      <ns0:c r="M460" t="n">
        <ns0:f>VLOOKUP(B460,'평가원본'!$B$6:$D$485,3,FALSE)</ns0:f>
        <ns0:v>1</ns0:v>
      </ns0:c>
      <ns0:c r="N460" t="n">
        <ns0:f>VLOOKUP(E460,'교육기준'!$B$6:$F$17,5,FALSE)</ns0:f>
        <ns0:v>70</ns0:v>
      </ns0:c>
      <ns0:c r="O460" t="n">
        <ns0:f>IF(AND(F460="승인",K460&gt;='정책'!$C$6,M460=1,L460&gt;=N460),1,0)</ns0:f>
        <ns0:v>0</ns0:v>
      </ns0:c>
    </ns0:row>
    <ns0:row r="461">
      <ns0:c r="B461" s="17" t="str">
        <ns0:f>'신청원본'!B461</ns0:f>
        <ns0:v>APP000456</ns0:v>
      </ns0:c>
      <ns0:c r="C461" s="17" t="str">
        <ns0:f>'신청원본'!C461</ns0:f>
        <ns0:v>000136</ns0:v>
      </ns0:c>
      <ns0:c r="D461" t="str">
        <ns0:f>'신청원본'!D461</ns0:f>
        <ns0:v>기획</ns0:v>
      </ns0:c>
      <ns0:c r="E461" t="str">
        <ns0:f>'신청원본'!E461</ns0:f>
        <ns0:v>C06</ns0:v>
      </ns0:c>
      <ns0:c r="F461" t="str">
        <ns0:f>'신청원본'!H461</ns0:f>
        <ns0:v>대기</ns0:v>
      </ns0:c>
      <ns0:c r="G461" s="18" t="n">
        <ns0:f>VLOOKUP(E461,'교육기준'!$B$6:$F$17,3,FALSE)</ns0:f>
        <ns0:v>187510</ns0:v>
      </ns0:c>
      <ns0:c r="H461" s="18" t="n">
        <ns0:f>'신청원본'!G461</ns0:f>
        <ns0:v>5</ns0:v>
      </ns0:c>
      <ns0:c r="I461" s="19" t="n">
        <ns0:f>'신청원본'!I461</ns0:f>
        <ns0:v>0.125</ns0:v>
      </ns0:c>
      <ns0:c r="J461" s="18" t="n">
        <ns0:f>IF(F461="승인",IF(COUNTA('신청원본'!J461)=0,ROUND(G461*H461*(1-I461),'정책'!$C$8),'신청원본'!J461),0)</ns0:f>
        <ns0:v>0</ns0:v>
      </ns0:c>
      <ns0:c r="K461" t="n">
        <ns0:f>SUMIFS('출결원본'!$D$6:$D$1445,'출결원본'!$B$6:$B$1445,B461)</ns0:f>
        <ns0:v>2</ns0:v>
      </ns0:c>
      <ns0:c r="L461" t="n">
        <ns0:f>VLOOKUP(B461,'평가원본'!$B$6:$D$485,2,FALSE)</ns0:f>
        <ns0:v>73</ns0:v>
      </ns0:c>
      <ns0:c r="M461" t="n">
        <ns0:f>VLOOKUP(B461,'평가원본'!$B$6:$D$485,3,FALSE)</ns0:f>
        <ns0:v>1</ns0:v>
      </ns0:c>
      <ns0:c r="N461" t="n">
        <ns0:f>VLOOKUP(E461,'교육기준'!$B$6:$F$17,5,FALSE)</ns0:f>
        <ns0:v>80</ns0:v>
      </ns0:c>
      <ns0:c r="O461" t="n">
        <ns0:f>IF(AND(F461="승인",K461&gt;='정책'!$C$6,M461=1,L461&gt;=N461),1,0)</ns0:f>
        <ns0:v>0</ns0:v>
      </ns0:c>
    </ns0:row>
    <ns0:row r="462">
      <ns0:c r="B462" s="17" t="str">
        <ns0:f>'신청원본'!B462</ns0:f>
        <ns0:v>APP000457</ns0:v>
      </ns0:c>
      <ns0:c r="C462" s="17" t="str">
        <ns0:f>'신청원본'!C462</ns0:f>
        <ns0:v>000137</ns0:v>
      </ns0:c>
      <ns0:c r="D462" t="str">
        <ns0:f>'신청원본'!D462</ns0:f>
        <ns0:v>영업</ns0:v>
      </ns0:c>
      <ns0:c r="E462" t="str">
        <ns0:f>'신청원본'!E462</ns0:f>
        <ns0:v>C01</ns0:v>
      </ns0:c>
      <ns0:c r="F462" t="str">
        <ns0:f>'신청원본'!H462</ns0:f>
        <ns0:v>승인</ns0:v>
      </ns0:c>
      <ns0:c r="G462" s="18" t="n">
        <ns0:f>VLOOKUP(E462,'교육기준'!$B$6:$F$17,3,FALSE)</ns0:f>
        <ns0:v>100005</ns0:v>
      </ns0:c>
      <ns0:c r="H462" s="18" t="n">
        <ns0:f>'신청원본'!G462</ns0:f>
        <ns0:v>0</ns0:v>
      </ns0:c>
      <ns0:c r="I462" s="19" t="n">
        <ns0:f>'신청원본'!I462</ns0:f>
        <ns0:v>0</ns0:v>
      </ns0:c>
      <ns0:c r="J462" s="18" t="n">
        <ns0:f>IF(F462="승인",IF(COUNTA('신청원본'!J462)=0,ROUND(G462*H462*(1-I462),'정책'!$C$8),'신청원본'!J462),0)</ns0:f>
        <ns0:v>0</ns0:v>
      </ns0:c>
      <ns0:c r="K462" t="n">
        <ns0:f>SUMIFS('출결원본'!$D$6:$D$1445,'출결원본'!$B$6:$B$1445,B462)</ns0:f>
        <ns0:v>3</ns0:v>
      </ns0:c>
      <ns0:c r="L462" t="n">
        <ns0:f>VLOOKUP(B462,'평가원본'!$B$6:$D$485,2,FALSE)</ns0:f>
        <ns0:v>80</ns0:v>
      </ns0:c>
      <ns0:c r="M462" t="n">
        <ns0:f>VLOOKUP(B462,'평가원본'!$B$6:$D$485,3,FALSE)</ns0:f>
        <ns0:v>0</ns0:v>
      </ns0:c>
      <ns0:c r="N462" t="n">
        <ns0:f>VLOOKUP(E462,'교육기준'!$B$6:$F$17,5,FALSE)</ns0:f>
        <ns0:v>60</ns0:v>
      </ns0:c>
      <ns0:c r="O462" t="n">
        <ns0:f>IF(AND(F462="승인",K462&gt;='정책'!$C$6,M462=1,L462&gt;=N462),1,0)</ns0:f>
        <ns0:v>0</ns0:v>
      </ns0:c>
    </ns0:row>
    <ns0:row r="463">
      <ns0:c r="B463" s="17" t="str">
        <ns0:f>'신청원본'!B463</ns0:f>
        <ns0:v>APP000458</ns0:v>
      </ns0:c>
      <ns0:c r="C463" s="17" t="str">
        <ns0:f>'신청원본'!C463</ns0:f>
        <ns0:v>000138</ns0:v>
      </ns0:c>
      <ns0:c r="D463" t="str">
        <ns0:f>'신청원본'!D463</ns0:f>
        <ns0:v>지원</ns0:v>
      </ns0:c>
      <ns0:c r="E463" t="str">
        <ns0:f>'신청원본'!E463</ns0:f>
        <ns0:v>C08</ns0:v>
      </ns0:c>
      <ns0:c r="F463" t="str">
        <ns0:f>'신청원본'!H463</ns0:f>
        <ns0:v>승인</ns0:v>
      </ns0:c>
      <ns0:c r="G463" s="18" t="n">
        <ns0:f>VLOOKUP(E463,'교육기준'!$B$6:$F$17,3,FALSE)</ns0:f>
        <ns0:v>222512</ns0:v>
      </ns0:c>
      <ns0:c r="H463" s="18" t="n">
        <ns0:f>'신청원본'!G463</ns0:f>
        <ns0:v>1</ns0:v>
      </ns0:c>
      <ns0:c r="I463" s="19" t="n">
        <ns0:f>'신청원본'!I463</ns0:f>
        <ns0:v>0.05</ns0:v>
      </ns0:c>
      <ns0:c r="J463" s="18" t="n">
        <ns0:f>IF(F463="승인",IF(COUNTA('신청원본'!J463)=0,ROUND(G463*H463*(1-I463),'정책'!$C$8),'신청원본'!J463),0)</ns0:f>
        <ns0:v>211386</ns0:v>
      </ns0:c>
      <ns0:c r="K463" t="n">
        <ns0:f>SUMIFS('출결원본'!$D$6:$D$1445,'출결원본'!$B$6:$B$1445,B463)</ns0:f>
        <ns0:v>3</ns0:v>
      </ns0:c>
      <ns0:c r="L463" t="n">
        <ns0:f>VLOOKUP(B463,'평가원본'!$B$6:$D$485,2,FALSE)</ns0:f>
        <ns0:v>87</ns0:v>
      </ns0:c>
      <ns0:c r="M463" t="n">
        <ns0:f>VLOOKUP(B463,'평가원본'!$B$6:$D$485,3,FALSE)</ns0:f>
        <ns0:v>1</ns0:v>
      </ns0:c>
      <ns0:c r="N463" t="n">
        <ns0:f>VLOOKUP(E463,'교육기준'!$B$6:$F$17,5,FALSE)</ns0:f>
        <ns0:v>70</ns0:v>
      </ns0:c>
      <ns0:c r="O463" t="n">
        <ns0:f>IF(AND(F463="승인",K463&gt;='정책'!$C$6,M463=1,L463&gt;=N463),1,0)</ns0:f>
        <ns0:v>1</ns0:v>
      </ns0:c>
    </ns0:row>
    <ns0:row r="464">
      <ns0:c r="B464" s="17" t="str">
        <ns0:f>'신청원본'!B464</ns0:f>
        <ns0:v>APP000459</ns0:v>
      </ns0:c>
      <ns0:c r="C464" s="17" t="str">
        <ns0:f>'신청원본'!C464</ns0:f>
        <ns0:v>000139</ns0:v>
      </ns0:c>
      <ns0:c r="D464" t="str">
        <ns0:f>'신청원본'!D464</ns0:f>
        <ns0:v>개발</ns0:v>
      </ns0:c>
      <ns0:c r="E464" t="str">
        <ns0:f>'신청원본'!E464</ns0:f>
        <ns0:v>C03</ns0:v>
      </ns0:c>
      <ns0:c r="F464" t="str">
        <ns0:f>'신청원본'!H464</ns0:f>
        <ns0:v>승인</ns0:v>
      </ns0:c>
      <ns0:c r="G464" s="18" t="n">
        <ns0:f>VLOOKUP(E464,'교육기준'!$B$6:$F$17,3,FALSE)</ns0:f>
        <ns0:v>135007</ns0:v>
      </ns0:c>
      <ns0:c r="H464" s="18" t="n">
        <ns0:f>'신청원본'!G464</ns0:f>
        <ns0:v>2</ns0:v>
      </ns0:c>
      <ns0:c r="I464" s="19" t="n">
        <ns0:f>'신청원본'!I464</ns0:f>
        <ns0:v>0.1</ns0:v>
      </ns0:c>
      <ns0:c r="J464" s="18" t="n">
        <ns0:f>IF(F464="승인",IF(COUNTA('신청원본'!J464)=0,ROUND(G464*H464*(1-I464),'정책'!$C$8),'신청원본'!J464),0)</ns0:f>
        <ns0:v>243013</ns0:v>
      </ns0:c>
      <ns0:c r="K464" t="n">
        <ns0:f>SUMIFS('출결원본'!$D$6:$D$1445,'출결원본'!$B$6:$B$1445,B464)</ns0:f>
        <ns0:v>3</ns0:v>
      </ns0:c>
      <ns0:c r="L464" t="n">
        <ns0:f>VLOOKUP(B464,'평가원본'!$B$6:$D$485,2,FALSE)</ns0:f>
        <ns0:v>94</ns0:v>
      </ns0:c>
      <ns0:c r="M464" t="n">
        <ns0:f>VLOOKUP(B464,'평가원본'!$B$6:$D$485,3,FALSE)</ns0:f>
        <ns0:v>1</ns0:v>
      </ns0:c>
      <ns0:c r="N464" t="n">
        <ns0:f>VLOOKUP(E464,'교육기준'!$B$6:$F$17,5,FALSE)</ns0:f>
        <ns0:v>80</ns0:v>
      </ns0:c>
      <ns0:c r="O464" t="n">
        <ns0:f>IF(AND(F464="승인",K464&gt;='정책'!$C$6,M464=1,L464&gt;=N464),1,0)</ns0:f>
        <ns0:v>1</ns0:v>
      </ns0:c>
    </ns0:row>
    <ns0:row r="465">
      <ns0:c r="B465" s="17" t="str">
        <ns0:f>'신청원본'!B465</ns0:f>
        <ns0:v>APP000460</ns0:v>
      </ns0:c>
      <ns0:c r="C465" s="17" t="str">
        <ns0:f>'신청원본'!C465</ns0:f>
        <ns0:v>000140</ns0:v>
      </ns0:c>
      <ns0:c r="D465" t="str">
        <ns0:f>'신청원본'!D465</ns0:f>
        <ns0:v>생산</ns0:v>
      </ns0:c>
      <ns0:c r="E465" t="str">
        <ns0:f>'신청원본'!E465</ns0:f>
        <ns0:v>C10</ns0:v>
      </ns0:c>
      <ns0:c r="F465" t="str">
        <ns0:f>'신청원본'!H465</ns0:f>
        <ns0:v>승인</ns0:v>
      </ns0:c>
      <ns0:c r="G465" s="18" t="n">
        <ns0:f>VLOOKUP(E465,'교육기준'!$B$6:$F$17,3,FALSE)</ns0:f>
        <ns0:v>257514</ns0:v>
      </ns0:c>
      <ns0:c r="H465" s="18" t="n">
        <ns0:f>'신청원본'!G465</ns0:f>
        <ns0:v>3</ns0:v>
      </ns0:c>
      <ns0:c r="I465" s="19" t="n">
        <ns0:f>'신청원본'!I465</ns0:f>
        <ns0:v>0.125</ns0:v>
      </ns0:c>
      <ns0:c r="J465" s="18" t="n">
        <ns0:f>IF(F465="승인",IF(COUNTA('신청원본'!J465)=0,ROUND(G465*H465*(1-I465),'정책'!$C$8),'신청원본'!J465),0)</ns0:f>
        <ns0:v>675974</ns0:v>
      </ns0:c>
      <ns0:c r="K465" t="n">
        <ns0:f>SUMIFS('출결원본'!$D$6:$D$1445,'출결원본'!$B$6:$B$1445,B465)</ns0:f>
        <ns0:v>2</ns0:v>
      </ns0:c>
      <ns0:c r="L465" t="n">
        <ns0:f>VLOOKUP(B465,'평가원본'!$B$6:$D$485,2,FALSE)</ns0:f>
        <ns0:v>50</ns0:v>
      </ns0:c>
      <ns0:c r="M465" t="n">
        <ns0:f>VLOOKUP(B465,'평가원본'!$B$6:$D$485,3,FALSE)</ns0:f>
        <ns0:v>1</ns0:v>
      </ns0:c>
      <ns0:c r="N465" t="n">
        <ns0:f>VLOOKUP(E465,'교육기준'!$B$6:$F$17,5,FALSE)</ns0:f>
        <ns0:v>60</ns0:v>
      </ns0:c>
      <ns0:c r="O465" t="n">
        <ns0:f>IF(AND(F465="승인",K465&gt;='정책'!$C$6,M465=1,L465&gt;=N465),1,0)</ns0:f>
        <ns0:v>0</ns0:v>
      </ns0:c>
    </ns0:row>
    <ns0:row r="466">
      <ns0:c r="B466" s="17" t="str">
        <ns0:f>'신청원본'!B466</ns0:f>
        <ns0:v>APP000461</ns0:v>
      </ns0:c>
      <ns0:c r="C466" s="17" t="str">
        <ns0:f>'신청원본'!C466</ns0:f>
        <ns0:v>000141</ns0:v>
      </ns0:c>
      <ns0:c r="D466" t="str">
        <ns0:f>'신청원본'!D466</ns0:f>
        <ns0:v>품질</ns0:v>
      </ns0:c>
      <ns0:c r="E466" t="str">
        <ns0:f>'신청원본'!E466</ns0:f>
        <ns0:v>C05</ns0:v>
      </ns0:c>
      <ns0:c r="F466" t="str">
        <ns0:f>'신청원본'!H466</ns0:f>
        <ns0:v>승인</ns0:v>
      </ns0:c>
      <ns0:c r="G466" s="18" t="n">
        <ns0:f>VLOOKUP(E466,'교육기준'!$B$6:$F$17,3,FALSE)</ns0:f>
        <ns0:v>170009</ns0:v>
      </ns0:c>
      <ns0:c r="H466" s="18" t="n">
        <ns0:f>'신청원본'!G466</ns0:f>
        <ns0:v>4</ns0:v>
      </ns0:c>
      <ns0:c r="I466" s="19" t="n">
        <ns0:f>'신청원본'!I466</ns0:f>
        <ns0:v>0</ns0:v>
      </ns0:c>
      <ns0:c r="J466" s="18" t="n">
        <ns0:f>IF(F466="승인",IF(COUNTA('신청원본'!J466)=0,ROUND(G466*H466*(1-I466),'정책'!$C$8),'신청원본'!J466),0)</ns0:f>
        <ns0:v>680036</ns0:v>
      </ns0:c>
      <ns0:c r="K466" t="n">
        <ns0:f>SUMIFS('출결원본'!$D$6:$D$1445,'출결원본'!$B$6:$B$1445,B466)</ns0:f>
        <ns0:v>3</ns0:v>
      </ns0:c>
      <ns0:c r="L466" t="n">
        <ns0:f>VLOOKUP(B466,'평가원본'!$B$6:$D$485,2,FALSE)</ns0:f>
        <ns0:v>57</ns0:v>
      </ns0:c>
      <ns0:c r="M466" t="n">
        <ns0:f>VLOOKUP(B466,'평가원본'!$B$6:$D$485,3,FALSE)</ns0:f>
        <ns0:v>1</ns0:v>
      </ns0:c>
      <ns0:c r="N466" t="n">
        <ns0:f>VLOOKUP(E466,'교육기준'!$B$6:$F$17,5,FALSE)</ns0:f>
        <ns0:v>70</ns0:v>
      </ns0:c>
      <ns0:c r="O466" t="n">
        <ns0:f>IF(AND(F466="승인",K466&gt;='정책'!$C$6,M466=1,L466&gt;=N466),1,0)</ns0:f>
        <ns0:v>0</ns0:v>
      </ns0:c>
    </ns0:row>
    <ns0:row r="467">
      <ns0:c r="B467" s="17" t="str">
        <ns0:f>'신청원본'!B467</ns0:f>
        <ns0:v>APP000462</ns0:v>
      </ns0:c>
      <ns0:c r="C467" s="17" t="str">
        <ns0:f>'신청원본'!C467</ns0:f>
        <ns0:v>000142</ns0:v>
      </ns0:c>
      <ns0:c r="D467" t="str">
        <ns0:f>'신청원본'!D467</ns0:f>
        <ns0:v>기획</ns0:v>
      </ns0:c>
      <ns0:c r="E467" t="str">
        <ns0:f>'신청원본'!E467</ns0:f>
        <ns0:v>C12</ns0:v>
      </ns0:c>
      <ns0:c r="F467" t="str">
        <ns0:f>'신청원본'!H467</ns0:f>
        <ns0:v>승인</ns0:v>
      </ns0:c>
      <ns0:c r="G467" s="18" t="n">
        <ns0:f>VLOOKUP(E467,'교육기준'!$B$6:$F$17,3,FALSE)</ns0:f>
        <ns0:v>292516</ns0:v>
      </ns0:c>
      <ns0:c r="H467" s="18" t="n">
        <ns0:f>'신청원본'!G467</ns0:f>
        <ns0:v>5</ns0:v>
      </ns0:c>
      <ns0:c r="I467" s="19" t="n">
        <ns0:f>'신청원본'!I467</ns0:f>
        <ns0:v>0.05</ns0:v>
      </ns0:c>
      <ns0:c r="J467" s="18" t="n">
        <ns0:f>IF(F467="승인",IF(COUNTA('신청원본'!J467)=0,ROUND(G467*H467*(1-I467),'정책'!$C$8),'신청원본'!J467),0)</ns0:f>
        <ns0:v>1389451</ns0:v>
      </ns0:c>
      <ns0:c r="K467" t="n">
        <ns0:f>SUMIFS('출결원본'!$D$6:$D$1445,'출결원본'!$B$6:$B$1445,B467)</ns0:f>
        <ns0:v>3</ns0:v>
      </ns0:c>
      <ns0:c r="L467" t="n">
        <ns0:f>VLOOKUP(B467,'평가원본'!$B$6:$D$485,2,FALSE)</ns0:f>
        <ns0:v>64</ns0:v>
      </ns0:c>
      <ns0:c r="M467" t="n">
        <ns0:f>VLOOKUP(B467,'평가원본'!$B$6:$D$485,3,FALSE)</ns0:f>
        <ns0:v>1</ns0:v>
      </ns0:c>
      <ns0:c r="N467" t="n">
        <ns0:f>VLOOKUP(E467,'교육기준'!$B$6:$F$17,5,FALSE)</ns0:f>
        <ns0:v>80</ns0:v>
      </ns0:c>
      <ns0:c r="O467" t="n">
        <ns0:f>IF(AND(F467="승인",K467&gt;='정책'!$C$6,M467=1,L467&gt;=N467),1,0)</ns0:f>
        <ns0:v>0</ns0:v>
      </ns0:c>
    </ns0:row>
    <ns0:row r="468">
      <ns0:c r="B468" s="17" t="str">
        <ns0:f>'신청원본'!B468</ns0:f>
        <ns0:v>APP000463</ns0:v>
      </ns0:c>
      <ns0:c r="C468" s="17" t="str">
        <ns0:f>'신청원본'!C468</ns0:f>
        <ns0:v>000143</ns0:v>
      </ns0:c>
      <ns0:c r="D468" t="str">
        <ns0:f>'신청원본'!D468</ns0:f>
        <ns0:v>영업</ns0:v>
      </ns0:c>
      <ns0:c r="E468" t="str">
        <ns0:f>'신청원본'!E468</ns0:f>
        <ns0:v>C07</ns0:v>
      </ns0:c>
      <ns0:c r="F468" t="str">
        <ns0:f>'신청원본'!H468</ns0:f>
        <ns0:v>취소</ns0:v>
      </ns0:c>
      <ns0:c r="G468" s="18" t="n">
        <ns0:f>VLOOKUP(E468,'교육기준'!$B$6:$F$17,3,FALSE)</ns0:f>
        <ns0:v>205011</ns0:v>
      </ns0:c>
      <ns0:c r="H468" s="18" t="n">
        <ns0:f>'신청원본'!G468</ns0:f>
        <ns0:v>0</ns0:v>
      </ns0:c>
      <ns0:c r="I468" s="19" t="n">
        <ns0:f>'신청원본'!I468</ns0:f>
        <ns0:v>0.1</ns0:v>
      </ns0:c>
      <ns0:c r="J468" s="18" t="n">
        <ns0:f>IF(F468="승인",IF(COUNTA('신청원본'!J468)=0,ROUND(G468*H468*(1-I468),'정책'!$C$8),'신청원본'!J468),0)</ns0:f>
        <ns0:v>0</ns0:v>
      </ns0:c>
      <ns0:c r="K468" t="n">
        <ns0:f>SUMIFS('출결원본'!$D$6:$D$1445,'출결원본'!$B$6:$B$1445,B468)</ns0:f>
        <ns0:v>3</ns0:v>
      </ns0:c>
      <ns0:c r="L468" t="n">
        <ns0:f>VLOOKUP(B468,'평가원본'!$B$6:$D$485,2,FALSE)</ns0:f>
        <ns0:v>71</ns0:v>
      </ns0:c>
      <ns0:c r="M468" t="n">
        <ns0:f>VLOOKUP(B468,'평가원본'!$B$6:$D$485,3,FALSE)</ns0:f>
        <ns0:v>1</ns0:v>
      </ns0:c>
      <ns0:c r="N468" t="n">
        <ns0:f>VLOOKUP(E468,'교육기준'!$B$6:$F$17,5,FALSE)</ns0:f>
        <ns0:v>60</ns0:v>
      </ns0:c>
      <ns0:c r="O468" t="n">
        <ns0:f>IF(AND(F468="승인",K468&gt;='정책'!$C$6,M468=1,L468&gt;=N468),1,0)</ns0:f>
        <ns0:v>0</ns0:v>
      </ns0:c>
    </ns0:row>
    <ns0:row r="469">
      <ns0:c r="B469" s="17" t="str">
        <ns0:f>'신청원본'!B469</ns0:f>
        <ns0:v>APP000464</ns0:v>
      </ns0:c>
      <ns0:c r="C469" s="17" t="str">
        <ns0:f>'신청원본'!C469</ns0:f>
        <ns0:v>000144</ns0:v>
      </ns0:c>
      <ns0:c r="D469" t="str">
        <ns0:f>'신청원본'!D469</ns0:f>
        <ns0:v>지원</ns0:v>
      </ns0:c>
      <ns0:c r="E469" t="str">
        <ns0:f>'신청원본'!E469</ns0:f>
        <ns0:v>C02</ns0:v>
      </ns0:c>
      <ns0:c r="F469" t="str">
        <ns0:f>'신청원본'!H469</ns0:f>
        <ns0:v>승인</ns0:v>
      </ns0:c>
      <ns0:c r="G469" s="18" t="n">
        <ns0:f>VLOOKUP(E469,'교육기준'!$B$6:$F$17,3,FALSE)</ns0:f>
        <ns0:v>117506</ns0:v>
      </ns0:c>
      <ns0:c r="H469" s="18" t="n">
        <ns0:f>'신청원본'!G469</ns0:f>
        <ns0:v>1</ns0:v>
      </ns0:c>
      <ns0:c r="I469" s="19" t="n">
        <ns0:f>'신청원본'!I469</ns0:f>
        <ns0:v>0.125</ns0:v>
      </ns0:c>
      <ns0:c r="J469" s="18" t="n">
        <ns0:f>IF(F469="승인",IF(COUNTA('신청원본'!J469)=0,ROUND(G469*H469*(1-I469),'정책'!$C$8),'신청원본'!J469),0)</ns0:f>
        <ns0:v>102818</ns0:v>
      </ns0:c>
      <ns0:c r="K469" t="n">
        <ns0:f>SUMIFS('출결원본'!$D$6:$D$1445,'출결원본'!$B$6:$B$1445,B469)</ns0:f>
        <ns0:v>3</ns0:v>
      </ns0:c>
      <ns0:c r="L469" t="n">
        <ns0:f>VLOOKUP(B469,'평가원본'!$B$6:$D$485,2,FALSE)</ns0:f>
        <ns0:v>78</ns0:v>
      </ns0:c>
      <ns0:c r="M469" t="n">
        <ns0:f>VLOOKUP(B469,'평가원본'!$B$6:$D$485,3,FALSE)</ns0:f>
        <ns0:v>1</ns0:v>
      </ns0:c>
      <ns0:c r="N469" t="n">
        <ns0:f>VLOOKUP(E469,'교육기준'!$B$6:$F$17,5,FALSE)</ns0:f>
        <ns0:v>70</ns0:v>
      </ns0:c>
      <ns0:c r="O469" t="n">
        <ns0:f>IF(AND(F469="승인",K469&gt;='정책'!$C$6,M469=1,L469&gt;=N469),1,0)</ns0:f>
        <ns0:v>1</ns0:v>
      </ns0:c>
    </ns0:row>
    <ns0:row r="470">
      <ns0:c r="B470" s="17" t="str">
        <ns0:f>'신청원본'!B470</ns0:f>
        <ns0:v>APP000465</ns0:v>
      </ns0:c>
      <ns0:c r="C470" s="17" t="str">
        <ns0:f>'신청원본'!C470</ns0:f>
        <ns0:v>000145</ns0:v>
      </ns0:c>
      <ns0:c r="D470" t="str">
        <ns0:f>'신청원본'!D470</ns0:f>
        <ns0:v>개발</ns0:v>
      </ns0:c>
      <ns0:c r="E470" t="str">
        <ns0:f>'신청원본'!E470</ns0:f>
        <ns0:v>C09</ns0:v>
      </ns0:c>
      <ns0:c r="F470" t="str">
        <ns0:f>'신청원본'!H470</ns0:f>
        <ns0:v>승인</ns0:v>
      </ns0:c>
      <ns0:c r="G470" s="18" t="n">
        <ns0:f>VLOOKUP(E470,'교육기준'!$B$6:$F$17,3,FALSE)</ns0:f>
        <ns0:v>240013</ns0:v>
      </ns0:c>
      <ns0:c r="H470" s="18" t="n">
        <ns0:f>'신청원본'!G470</ns0:f>
        <ns0:v>2</ns0:v>
      </ns0:c>
      <ns0:c r="I470" s="19" t="n">
        <ns0:f>'신청원본'!I470</ns0:f>
        <ns0:v>0</ns0:v>
      </ns0:c>
      <ns0:c r="J470" s="18" t="n">
        <ns0:f>IF(F470="승인",IF(COUNTA('신청원본'!J470)=0,ROUND(G470*H470*(1-I470),'정책'!$C$8),'신청원본'!J470),0)</ns0:f>
        <ns0:v>480026</ns0:v>
      </ns0:c>
      <ns0:c r="K470" t="n">
        <ns0:f>SUMIFS('출결원본'!$D$6:$D$1445,'출결원본'!$B$6:$B$1445,B470)</ns0:f>
        <ns0:v>3</ns0:v>
      </ns0:c>
      <ns0:c r="L470" t="n">
        <ns0:f>VLOOKUP(B470,'평가원본'!$B$6:$D$485,2,FALSE)</ns0:f>
        <ns0:v>85</ns0:v>
      </ns0:c>
      <ns0:c r="M470" t="n">
        <ns0:f>VLOOKUP(B470,'평가원본'!$B$6:$D$485,3,FALSE)</ns0:f>
        <ns0:v>1</ns0:v>
      </ns0:c>
      <ns0:c r="N470" t="n">
        <ns0:f>VLOOKUP(E470,'교육기준'!$B$6:$F$17,5,FALSE)</ns0:f>
        <ns0:v>80</ns0:v>
      </ns0:c>
      <ns0:c r="O470" t="n">
        <ns0:f>IF(AND(F470="승인",K470&gt;='정책'!$C$6,M470=1,L470&gt;=N470),1,0)</ns0:f>
        <ns0:v>1</ns0:v>
      </ns0:c>
    </ns0:row>
    <ns0:row r="471">
      <ns0:c r="B471" s="17" t="str">
        <ns0:f>'신청원본'!B471</ns0:f>
        <ns0:v>APP000466</ns0:v>
      </ns0:c>
      <ns0:c r="C471" s="17" t="str">
        <ns0:f>'신청원본'!C471</ns0:f>
        <ns0:v>000146</ns0:v>
      </ns0:c>
      <ns0:c r="D471" t="str">
        <ns0:f>'신청원본'!D471</ns0:f>
        <ns0:v>생산</ns0:v>
      </ns0:c>
      <ns0:c r="E471" t="str">
        <ns0:f>'신청원본'!E471</ns0:f>
        <ns0:v>C04</ns0:v>
      </ns0:c>
      <ns0:c r="F471" t="str">
        <ns0:f>'신청원본'!H471</ns0:f>
        <ns0:v>승인</ns0:v>
      </ns0:c>
      <ns0:c r="G471" s="18" t="n">
        <ns0:f>VLOOKUP(E471,'교육기준'!$B$6:$F$17,3,FALSE)</ns0:f>
        <ns0:v>152508</ns0:v>
      </ns0:c>
      <ns0:c r="H471" s="18" t="n">
        <ns0:f>'신청원본'!G471</ns0:f>
        <ns0:v>3</ns0:v>
      </ns0:c>
      <ns0:c r="I471" s="19" t="n">
        <ns0:f>'신청원본'!I471</ns0:f>
        <ns0:v>0.05</ns0:v>
      </ns0:c>
      <ns0:c r="J471" s="18" t="n">
        <ns0:f>IF(F471="승인",IF(COUNTA('신청원본'!J471)=0,ROUND(G471*H471*(1-I471),'정책'!$C$8),'신청원본'!J471),0)</ns0:f>
        <ns0:v>434648</ns0:v>
      </ns0:c>
      <ns0:c r="K471" t="n">
        <ns0:f>SUMIFS('출결원본'!$D$6:$D$1445,'출결원본'!$B$6:$B$1445,B471)</ns0:f>
        <ns0:v>3</ns0:v>
      </ns0:c>
      <ns0:c r="L471" t="n">
        <ns0:f>VLOOKUP(B471,'평가원본'!$B$6:$D$485,2,FALSE)</ns0:f>
        <ns0:v>92</ns0:v>
      </ns0:c>
      <ns0:c r="M471" t="n">
        <ns0:f>VLOOKUP(B471,'평가원본'!$B$6:$D$485,3,FALSE)</ns0:f>
        <ns0:v>1</ns0:v>
      </ns0:c>
      <ns0:c r="N471" t="n">
        <ns0:f>VLOOKUP(E471,'교육기준'!$B$6:$F$17,5,FALSE)</ns0:f>
        <ns0:v>60</ns0:v>
      </ns0:c>
      <ns0:c r="O471" t="n">
        <ns0:f>IF(AND(F471="승인",K471&gt;='정책'!$C$6,M471=1,L471&gt;=N471),1,0)</ns0:f>
        <ns0:v>1</ns0:v>
      </ns0:c>
    </ns0:row>
    <ns0:row r="472">
      <ns0:c r="B472" s="17" t="str">
        <ns0:f>'신청원본'!B472</ns0:f>
        <ns0:v>APP000467</ns0:v>
      </ns0:c>
      <ns0:c r="C472" s="17" t="str">
        <ns0:f>'신청원본'!C472</ns0:f>
        <ns0:v>000147</ns0:v>
      </ns0:c>
      <ns0:c r="D472" t="str">
        <ns0:f>'신청원본'!D472</ns0:f>
        <ns0:v>품질</ns0:v>
      </ns0:c>
      <ns0:c r="E472" t="str">
        <ns0:f>'신청원본'!E472</ns0:f>
        <ns0:v>C11</ns0:v>
      </ns0:c>
      <ns0:c r="F472" t="str">
        <ns0:f>'신청원본'!H472</ns0:f>
        <ns0:v>승인</ns0:v>
      </ns0:c>
      <ns0:c r="G472" s="18" t="n">
        <ns0:f>VLOOKUP(E472,'교육기준'!$B$6:$F$17,3,FALSE)</ns0:f>
        <ns0:v>275015</ns0:v>
      </ns0:c>
      <ns0:c r="H472" s="18" t="n">
        <ns0:f>'신청원본'!G472</ns0:f>
        <ns0:v>4</ns0:v>
      </ns0:c>
      <ns0:c r="I472" s="19" t="n">
        <ns0:f>'신청원본'!I472</ns0:f>
        <ns0:v>0.1</ns0:v>
      </ns0:c>
      <ns0:c r="J472" s="18" t="n">
        <ns0:f>IF(F472="승인",IF(COUNTA('신청원본'!J472)=0,ROUND(G472*H472*(1-I472),'정책'!$C$8),'신청원본'!J472),0)</ns0:f>
        <ns0:v>990054</ns0:v>
      </ns0:c>
      <ns0:c r="K472" t="n">
        <ns0:f>SUMIFS('출결원본'!$D$6:$D$1445,'출결원본'!$B$6:$B$1445,B472)</ns0:f>
        <ns0:v>3</ns0:v>
      </ns0:c>
      <ns0:c r="L472" t="n">
        <ns0:f>VLOOKUP(B472,'평가원본'!$B$6:$D$485,2,FALSE)</ns0:f>
        <ns0:v>99</ns0:v>
      </ns0:c>
      <ns0:c r="M472" t="n">
        <ns0:f>VLOOKUP(B472,'평가원본'!$B$6:$D$485,3,FALSE)</ns0:f>
        <ns0:v>1</ns0:v>
      </ns0:c>
      <ns0:c r="N472" t="n">
        <ns0:f>VLOOKUP(E472,'교육기준'!$B$6:$F$17,5,FALSE)</ns0:f>
        <ns0:v>70</ns0:v>
      </ns0:c>
      <ns0:c r="O472" t="n">
        <ns0:f>IF(AND(F472="승인",K472&gt;='정책'!$C$6,M472=1,L472&gt;=N472),1,0)</ns0:f>
        <ns0:v>1</ns0:v>
      </ns0:c>
    </ns0:row>
    <ns0:row r="473">
      <ns0:c r="B473" s="17" t="str">
        <ns0:f>'신청원본'!B473</ns0:f>
        <ns0:v>APP000468</ns0:v>
      </ns0:c>
      <ns0:c r="C473" s="17" t="str">
        <ns0:f>'신청원본'!C473</ns0:f>
        <ns0:v>000148</ns0:v>
      </ns0:c>
      <ns0:c r="D473" t="str">
        <ns0:f>'신청원본'!D473</ns0:f>
        <ns0:v>기획</ns0:v>
      </ns0:c>
      <ns0:c r="E473" t="str">
        <ns0:f>'신청원본'!E473</ns0:f>
        <ns0:v>C06</ns0:v>
      </ns0:c>
      <ns0:c r="F473" t="str">
        <ns0:f>'신청원본'!H473</ns0:f>
        <ns0:v>승인</ns0:v>
      </ns0:c>
      <ns0:c r="G473" s="18" t="n">
        <ns0:f>VLOOKUP(E473,'교육기준'!$B$6:$F$17,3,FALSE)</ns0:f>
        <ns0:v>187510</ns0:v>
      </ns0:c>
      <ns0:c r="H473" s="18" t="n">
        <ns0:f>'신청원본'!G473</ns0:f>
        <ns0:v>5</ns0:v>
      </ns0:c>
      <ns0:c r="I473" s="19" t="n">
        <ns0:f>'신청원본'!I473</ns0:f>
        <ns0:v>0.125</ns0:v>
      </ns0:c>
      <ns0:c r="J473" s="18" t="n">
        <ns0:f>IF(F473="승인",IF(COUNTA('신청원본'!J473)=0,ROUND(G473*H473*(1-I473),'정책'!$C$8),'신청원본'!J473),0)</ns0:f>
        <ns0:v>820356</ns0:v>
      </ns0:c>
      <ns0:c r="K473" t="n">
        <ns0:f>SUMIFS('출결원본'!$D$6:$D$1445,'출결원본'!$B$6:$B$1445,B473)</ns0:f>
        <ns0:v>3</ns0:v>
      </ns0:c>
      <ns0:c r="L473" t="n">
        <ns0:f>VLOOKUP(B473,'평가원본'!$B$6:$D$485,2,FALSE)</ns0:f>
        <ns0:v>55</ns0:v>
      </ns0:c>
      <ns0:c r="M473" t="n">
        <ns0:f>VLOOKUP(B473,'평가원본'!$B$6:$D$485,3,FALSE)</ns0:f>
        <ns0:v>1</ns0:v>
      </ns0:c>
      <ns0:c r="N473" t="n">
        <ns0:f>VLOOKUP(E473,'교육기준'!$B$6:$F$17,5,FALSE)</ns0:f>
        <ns0:v>80</ns0:v>
      </ns0:c>
      <ns0:c r="O473" t="n">
        <ns0:f>IF(AND(F473="승인",K473&gt;='정책'!$C$6,M473=1,L473&gt;=N473),1,0)</ns0:f>
        <ns0:v>0</ns0:v>
      </ns0:c>
    </ns0:row>
    <ns0:row r="474">
      <ns0:c r="B474" s="17" t="str">
        <ns0:f>'신청원본'!B474</ns0:f>
        <ns0:v>APP000469</ns0:v>
      </ns0:c>
      <ns0:c r="C474" s="17" t="str">
        <ns0:f>'신청원본'!C474</ns0:f>
        <ns0:v>000149</ns0:v>
      </ns0:c>
      <ns0:c r="D474" t="str">
        <ns0:f>'신청원본'!D474</ns0:f>
        <ns0:v>영업</ns0:v>
      </ns0:c>
      <ns0:c r="E474" t="str">
        <ns0:f>'신청원본'!E474</ns0:f>
        <ns0:v>C01</ns0:v>
      </ns0:c>
      <ns0:c r="F474" t="str">
        <ns0:f>'신청원본'!H474</ns0:f>
        <ns0:v>승인</ns0:v>
      </ns0:c>
      <ns0:c r="G474" s="18" t="n">
        <ns0:f>VLOOKUP(E474,'교육기준'!$B$6:$F$17,3,FALSE)</ns0:f>
        <ns0:v>100005</ns0:v>
      </ns0:c>
      <ns0:c r="H474" s="18" t="n">
        <ns0:f>'신청원본'!G474</ns0:f>
        <ns0:v>0</ns0:v>
      </ns0:c>
      <ns0:c r="I474" s="19" t="n">
        <ns0:f>'신청원본'!I474</ns0:f>
        <ns0:v>0</ns0:v>
      </ns0:c>
      <ns0:c r="J474" s="18" t="n">
        <ns0:f>IF(F474="승인",IF(COUNTA('신청원본'!J474)=0,ROUND(G474*H474*(1-I474),'정책'!$C$8),'신청원본'!J474),0)</ns0:f>
        <ns0:v>0</ns0:v>
      </ns0:c>
      <ns0:c r="K474" t="n">
        <ns0:f>SUMIFS('출결원본'!$D$6:$D$1445,'출결원본'!$B$6:$B$1445,B474)</ns0:f>
        <ns0:v>1</ns0:v>
      </ns0:c>
      <ns0:c r="L474" t="n">
        <ns0:f>VLOOKUP(B474,'평가원본'!$B$6:$D$485,2,FALSE)</ns0:f>
        <ns0:v>62</ns0:v>
      </ns0:c>
      <ns0:c r="M474" t="n">
        <ns0:f>VLOOKUP(B474,'평가원본'!$B$6:$D$485,3,FALSE)</ns0:f>
        <ns0:v>1</ns0:v>
      </ns0:c>
      <ns0:c r="N474" t="n">
        <ns0:f>VLOOKUP(E474,'교육기준'!$B$6:$F$17,5,FALSE)</ns0:f>
        <ns0:v>60</ns0:v>
      </ns0:c>
      <ns0:c r="O474" t="n">
        <ns0:f>IF(AND(F474="승인",K474&gt;='정책'!$C$6,M474=1,L474&gt;=N474),1,0)</ns0:f>
        <ns0:v>0</ns0:v>
      </ns0:c>
    </ns0:row>
    <ns0:row r="475">
      <ns0:c r="B475" s="17" t="str">
        <ns0:f>'신청원본'!B475</ns0:f>
        <ns0:v>APP000470</ns0:v>
      </ns0:c>
      <ns0:c r="C475" s="17" t="str">
        <ns0:f>'신청원본'!C475</ns0:f>
        <ns0:v>000150</ns0:v>
      </ns0:c>
      <ns0:c r="D475" t="str">
        <ns0:f>'신청원본'!D475</ns0:f>
        <ns0:v>지원</ns0:v>
      </ns0:c>
      <ns0:c r="E475" t="str">
        <ns0:f>'신청원본'!E475</ns0:f>
        <ns0:v>C08</ns0:v>
      </ns0:c>
      <ns0:c r="F475" t="str">
        <ns0:f>'신청원본'!H475</ns0:f>
        <ns0:v>대기</ns0:v>
      </ns0:c>
      <ns0:c r="G475" s="18" t="n">
        <ns0:f>VLOOKUP(E475,'교육기준'!$B$6:$F$17,3,FALSE)</ns0:f>
        <ns0:v>222512</ns0:v>
      </ns0:c>
      <ns0:c r="H475" s="18" t="n">
        <ns0:f>'신청원본'!G475</ns0:f>
        <ns0:v>1</ns0:v>
      </ns0:c>
      <ns0:c r="I475" s="19" t="n">
        <ns0:f>'신청원본'!I475</ns0:f>
        <ns0:v>0.05</ns0:v>
      </ns0:c>
      <ns0:c r="J475" s="18" t="n">
        <ns0:f>IF(F475="승인",IF(COUNTA('신청원본'!J475)=0,ROUND(G475*H475*(1-I475),'정책'!$C$8),'신청원본'!J475),0)</ns0:f>
        <ns0:v>0</ns0:v>
      </ns0:c>
      <ns0:c r="K475" t="n">
        <ns0:f>SUMIFS('출결원본'!$D$6:$D$1445,'출결원본'!$B$6:$B$1445,B475)</ns0:f>
        <ns0:v>3</ns0:v>
      </ns0:c>
      <ns0:c r="L475" t="n">
        <ns0:f>VLOOKUP(B475,'평가원본'!$B$6:$D$485,2,FALSE)</ns0:f>
        <ns0:v>69</ns0:v>
      </ns0:c>
      <ns0:c r="M475" t="n">
        <ns0:f>VLOOKUP(B475,'평가원본'!$B$6:$D$485,3,FALSE)</ns0:f>
        <ns0:v>1</ns0:v>
      </ns0:c>
      <ns0:c r="N475" t="n">
        <ns0:f>VLOOKUP(E475,'교육기준'!$B$6:$F$17,5,FALSE)</ns0:f>
        <ns0:v>70</ns0:v>
      </ns0:c>
      <ns0:c r="O475" t="n">
        <ns0:f>IF(AND(F475="승인",K475&gt;='정책'!$C$6,M475=1,L475&gt;=N475),1,0)</ns0:f>
        <ns0:v>0</ns0:v>
      </ns0:c>
    </ns0:row>
    <ns0:row r="476">
      <ns0:c r="B476" s="17" t="str">
        <ns0:f>'신청원본'!B476</ns0:f>
        <ns0:v>APP000471</ns0:v>
      </ns0:c>
      <ns0:c r="C476" s="17" t="str">
        <ns0:f>'신청원본'!C476</ns0:f>
        <ns0:v>000151</ns0:v>
      </ns0:c>
      <ns0:c r="D476" t="str">
        <ns0:f>'신청원본'!D476</ns0:f>
        <ns0:v>개발</ns0:v>
      </ns0:c>
      <ns0:c r="E476" t="str">
        <ns0:f>'신청원본'!E476</ns0:f>
        <ns0:v>C03</ns0:v>
      </ns0:c>
      <ns0:c r="F476" t="str">
        <ns0:f>'신청원본'!H476</ns0:f>
        <ns0:v>승인</ns0:v>
      </ns0:c>
      <ns0:c r="G476" s="18" t="n">
        <ns0:f>VLOOKUP(E476,'교육기준'!$B$6:$F$17,3,FALSE)</ns0:f>
        <ns0:v>135007</ns0:v>
      </ns0:c>
      <ns0:c r="H476" s="18" t="n">
        <ns0:f>'신청원본'!G476</ns0:f>
        <ns0:v>2</ns0:v>
      </ns0:c>
      <ns0:c r="I476" s="19" t="n">
        <ns0:f>'신청원본'!I476</ns0:f>
        <ns0:v>0.1</ns0:v>
      </ns0:c>
      <ns0:c r="J476" s="18" t="n">
        <ns0:f>IF(F476="승인",IF(COUNTA('신청원본'!J476)=0,ROUND(G476*H476*(1-I476),'정책'!$C$8),'신청원본'!J476),0)</ns0:f>
        <ns0:v>243013</ns0:v>
      </ns0:c>
      <ns0:c r="K476" t="n">
        <ns0:f>SUMIFS('출결원본'!$D$6:$D$1445,'출결원본'!$B$6:$B$1445,B476)</ns0:f>
        <ns0:v>3</ns0:v>
      </ns0:c>
      <ns0:c r="L476" t="n">
        <ns0:f>VLOOKUP(B476,'평가원본'!$B$6:$D$485,2,FALSE)</ns0:f>
        <ns0:v>76</ns0:v>
      </ns0:c>
      <ns0:c r="M476" t="n">
        <ns0:f>VLOOKUP(B476,'평가원본'!$B$6:$D$485,3,FALSE)</ns0:f>
        <ns0:v>1</ns0:v>
      </ns0:c>
      <ns0:c r="N476" t="n">
        <ns0:f>VLOOKUP(E476,'교육기준'!$B$6:$F$17,5,FALSE)</ns0:f>
        <ns0:v>80</ns0:v>
      </ns0:c>
      <ns0:c r="O476" t="n">
        <ns0:f>IF(AND(F476="승인",K476&gt;='정책'!$C$6,M476=1,L476&gt;=N476),1,0)</ns0:f>
        <ns0:v>0</ns0:v>
      </ns0:c>
    </ns0:row>
    <ns0:row r="477">
      <ns0:c r="B477" s="17" t="str">
        <ns0:f>'신청원본'!B477</ns0:f>
        <ns0:v>APP000472</ns0:v>
      </ns0:c>
      <ns0:c r="C477" s="17" t="str">
        <ns0:f>'신청원본'!C477</ns0:f>
        <ns0:v>000152</ns0:v>
      </ns0:c>
      <ns0:c r="D477" t="str">
        <ns0:f>'신청원본'!D477</ns0:f>
        <ns0:v>생산</ns0:v>
      </ns0:c>
      <ns0:c r="E477" t="str">
        <ns0:f>'신청원본'!E477</ns0:f>
        <ns0:v>C10</ns0:v>
      </ns0:c>
      <ns0:c r="F477" t="str">
        <ns0:f>'신청원본'!H477</ns0:f>
        <ns0:v>승인</ns0:v>
      </ns0:c>
      <ns0:c r="G477" s="18" t="n">
        <ns0:f>VLOOKUP(E477,'교육기준'!$B$6:$F$17,3,FALSE)</ns0:f>
        <ns0:v>257514</ns0:v>
      </ns0:c>
      <ns0:c r="H477" s="18" t="n">
        <ns0:f>'신청원본'!G477</ns0:f>
        <ns0:v>3</ns0:v>
      </ns0:c>
      <ns0:c r="I477" s="19" t="n">
        <ns0:f>'신청원본'!I477</ns0:f>
        <ns0:v>0.125</ns0:v>
      </ns0:c>
      <ns0:c r="J477" s="18" t="n">
        <ns0:f>IF(F477="승인",IF(COUNTA('신청원본'!J477)=0,ROUND(G477*H477*(1-I477),'정책'!$C$8),'신청원본'!J477),0)</ns0:f>
        <ns0:v>675974</ns0:v>
      </ns0:c>
      <ns0:c r="K477" t="n">
        <ns0:f>SUMIFS('출결원본'!$D$6:$D$1445,'출결원본'!$B$6:$B$1445,B477)</ns0:f>
        <ns0:v>3</ns0:v>
      </ns0:c>
      <ns0:c r="L477" t="n">
        <ns0:f>VLOOKUP(B477,'평가원본'!$B$6:$D$485,2,FALSE)</ns0:f>
        <ns0:v>83</ns0:v>
      </ns0:c>
      <ns0:c r="M477" t="n">
        <ns0:f>VLOOKUP(B477,'평가원본'!$B$6:$D$485,3,FALSE)</ns0:f>
        <ns0:v>1</ns0:v>
      </ns0:c>
      <ns0:c r="N477" t="n">
        <ns0:f>VLOOKUP(E477,'교육기준'!$B$6:$F$17,5,FALSE)</ns0:f>
        <ns0:v>60</ns0:v>
      </ns0:c>
      <ns0:c r="O477" t="n">
        <ns0:f>IF(AND(F477="승인",K477&gt;='정책'!$C$6,M477=1,L477&gt;=N477),1,0)</ns0:f>
        <ns0:v>1</ns0:v>
      </ns0:c>
    </ns0:row>
    <ns0:row r="478">
      <ns0:c r="B478" s="17" t="str">
        <ns0:f>'신청원본'!B478</ns0:f>
        <ns0:v>APP000473</ns0:v>
      </ns0:c>
      <ns0:c r="C478" s="17" t="str">
        <ns0:f>'신청원본'!C478</ns0:f>
        <ns0:v>000153</ns0:v>
      </ns0:c>
      <ns0:c r="D478" t="str">
        <ns0:f>'신청원본'!D478</ns0:f>
        <ns0:v>품질</ns0:v>
      </ns0:c>
      <ns0:c r="E478" t="str">
        <ns0:f>'신청원본'!E478</ns0:f>
        <ns0:v>C05</ns0:v>
      </ns0:c>
      <ns0:c r="F478" t="str">
        <ns0:f>'신청원본'!H478</ns0:f>
        <ns0:v>승인</ns0:v>
      </ns0:c>
      <ns0:c r="G478" s="18" t="n">
        <ns0:f>VLOOKUP(E478,'교육기준'!$B$6:$F$17,3,FALSE)</ns0:f>
        <ns0:v>170009</ns0:v>
      </ns0:c>
      <ns0:c r="H478" s="18" t="n">
        <ns0:f>'신청원본'!G478</ns0:f>
        <ns0:v>4</ns0:v>
      </ns0:c>
      <ns0:c r="I478" s="19" t="n">
        <ns0:f>'신청원본'!I478</ns0:f>
        <ns0:v>0</ns0:v>
      </ns0:c>
      <ns0:c r="J478" s="18" t="n">
        <ns0:f>IF(F478="승인",IF(COUNTA('신청원본'!J478)=0,ROUND(G478*H478*(1-I478),'정책'!$C$8),'신청원본'!J478),0)</ns0:f>
        <ns0:v>680036</ns0:v>
      </ns0:c>
      <ns0:c r="K478" t="n">
        <ns0:f>SUMIFS('출결원본'!$D$6:$D$1445,'출결원본'!$B$6:$B$1445,B478)</ns0:f>
        <ns0:v>3</ns0:v>
      </ns0:c>
      <ns0:c r="L478" t="n">
        <ns0:f>VLOOKUP(B478,'평가원본'!$B$6:$D$485,2,FALSE)</ns0:f>
        <ns0:v>90</ns0:v>
      </ns0:c>
      <ns0:c r="M478" t="n">
        <ns0:f>VLOOKUP(B478,'평가원본'!$B$6:$D$485,3,FALSE)</ns0:f>
        <ns0:v>1</ns0:v>
      </ns0:c>
      <ns0:c r="N478" t="n">
        <ns0:f>VLOOKUP(E478,'교육기준'!$B$6:$F$17,5,FALSE)</ns0:f>
        <ns0:v>70</ns0:v>
      </ns0:c>
      <ns0:c r="O478" t="n">
        <ns0:f>IF(AND(F478="승인",K478&gt;='정책'!$C$6,M478=1,L478&gt;=N478),1,0)</ns0:f>
        <ns0:v>1</ns0:v>
      </ns0:c>
    </ns0:row>
    <ns0:row r="479">
      <ns0:c r="B479" s="17" t="str">
        <ns0:f>'신청원본'!B479</ns0:f>
        <ns0:v>APP000474</ns0:v>
      </ns0:c>
      <ns0:c r="C479" s="17" t="str">
        <ns0:f>'신청원본'!C479</ns0:f>
        <ns0:v>000154</ns0:v>
      </ns0:c>
      <ns0:c r="D479" t="str">
        <ns0:f>'신청원본'!D479</ns0:f>
        <ns0:v>기획</ns0:v>
      </ns0:c>
      <ns0:c r="E479" t="str">
        <ns0:f>'신청원본'!E479</ns0:f>
        <ns0:v>C12</ns0:v>
      </ns0:c>
      <ns0:c r="F479" t="str">
        <ns0:f>'신청원본'!H479</ns0:f>
        <ns0:v>취소</ns0:v>
      </ns0:c>
      <ns0:c r="G479" s="18" t="n">
        <ns0:f>VLOOKUP(E479,'교육기준'!$B$6:$F$17,3,FALSE)</ns0:f>
        <ns0:v>292516</ns0:v>
      </ns0:c>
      <ns0:c r="H479" s="18" t="n">
        <ns0:f>'신청원본'!G479</ns0:f>
        <ns0:v>5</ns0:v>
      </ns0:c>
      <ns0:c r="I479" s="19" t="n">
        <ns0:f>'신청원본'!I479</ns0:f>
        <ns0:v>0.05</ns0:v>
      </ns0:c>
      <ns0:c r="J479" s="18" t="n">
        <ns0:f>IF(F479="승인",IF(COUNTA('신청원본'!J479)=0,ROUND(G479*H479*(1-I479),'정책'!$C$8),'신청원본'!J479),0)</ns0:f>
        <ns0:v>0</ns0:v>
      </ns0:c>
      <ns0:c r="K479" t="n">
        <ns0:f>SUMIFS('출결원본'!$D$6:$D$1445,'출결원본'!$B$6:$B$1445,B479)</ns0:f>
        <ns0:v>3</ns0:v>
      </ns0:c>
      <ns0:c r="L479" t="n">
        <ns0:f>VLOOKUP(B479,'평가원본'!$B$6:$D$485,2,FALSE)</ns0:f>
        <ns0:v>97</ns0:v>
      </ns0:c>
      <ns0:c r="M479" t="n">
        <ns0:f>VLOOKUP(B479,'평가원본'!$B$6:$D$485,3,FALSE)</ns0:f>
        <ns0:v>1</ns0:v>
      </ns0:c>
      <ns0:c r="N479" t="n">
        <ns0:f>VLOOKUP(E479,'교육기준'!$B$6:$F$17,5,FALSE)</ns0:f>
        <ns0:v>80</ns0:v>
      </ns0:c>
      <ns0:c r="O479" t="n">
        <ns0:f>IF(AND(F479="승인",K479&gt;='정책'!$C$6,M479=1,L479&gt;=N479),1,0)</ns0:f>
        <ns0:v>0</ns0:v>
      </ns0:c>
    </ns0:row>
    <ns0:row r="480">
      <ns0:c r="B480" s="17" t="str">
        <ns0:f>'신청원본'!B480</ns0:f>
        <ns0:v>APP000475</ns0:v>
      </ns0:c>
      <ns0:c r="C480" s="17" t="str">
        <ns0:f>'신청원본'!C480</ns0:f>
        <ns0:v>000155</ns0:v>
      </ns0:c>
      <ns0:c r="D480" t="str">
        <ns0:f>'신청원본'!D480</ns0:f>
        <ns0:v>영업</ns0:v>
      </ns0:c>
      <ns0:c r="E480" t="str">
        <ns0:f>'신청원본'!E480</ns0:f>
        <ns0:v>C07</ns0:v>
      </ns0:c>
      <ns0:c r="F480" t="str">
        <ns0:f>'신청원본'!H480</ns0:f>
        <ns0:v>승인</ns0:v>
      </ns0:c>
      <ns0:c r="G480" s="18" t="n">
        <ns0:f>VLOOKUP(E480,'교육기준'!$B$6:$F$17,3,FALSE)</ns0:f>
        <ns0:v>205011</ns0:v>
      </ns0:c>
      <ns0:c r="H480" s="18" t="n">
        <ns0:f>'신청원본'!G480</ns0:f>
        <ns0:v>0</ns0:v>
      </ns0:c>
      <ns0:c r="I480" s="19" t="n">
        <ns0:f>'신청원본'!I480</ns0:f>
        <ns0:v>0.1</ns0:v>
      </ns0:c>
      <ns0:c r="J480" s="18" t="n">
        <ns0:f>IF(F480="승인",IF(COUNTA('신청원본'!J480)=0,ROUND(G480*H480*(1-I480),'정책'!$C$8),'신청원본'!J480),0)</ns0:f>
        <ns0:v>12345</ns0:v>
      </ns0:c>
      <ns0:c r="K480" t="n">
        <ns0:f>SUMIFS('출결원본'!$D$6:$D$1445,'출결원본'!$B$6:$B$1445,B480)</ns0:f>
        <ns0:v>3</ns0:v>
      </ns0:c>
      <ns0:c r="L480" t="n">
        <ns0:f>VLOOKUP(B480,'평가원본'!$B$6:$D$485,2,FALSE)</ns0:f>
        <ns0:v>53</ns0:v>
      </ns0:c>
      <ns0:c r="M480" t="n">
        <ns0:f>VLOOKUP(B480,'평가원본'!$B$6:$D$485,3,FALSE)</ns0:f>
        <ns0:v>1</ns0:v>
      </ns0:c>
      <ns0:c r="N480" t="n">
        <ns0:f>VLOOKUP(E480,'교육기준'!$B$6:$F$17,5,FALSE)</ns0:f>
        <ns0:v>60</ns0:v>
      </ns0:c>
      <ns0:c r="O480" t="n">
        <ns0:f>IF(AND(F480="승인",K480&gt;='정책'!$C$6,M480=1,L480&gt;=N480),1,0)</ns0:f>
        <ns0:v>0</ns0:v>
      </ns0:c>
    </ns0:row>
    <ns0:row r="481">
      <ns0:c r="B481" s="17" t="str">
        <ns0:f>'신청원본'!B481</ns0:f>
        <ns0:v>APP000476</ns0:v>
      </ns0:c>
      <ns0:c r="C481" s="17" t="str">
        <ns0:f>'신청원본'!C481</ns0:f>
        <ns0:v>000156</ns0:v>
      </ns0:c>
      <ns0:c r="D481" t="str">
        <ns0:f>'신청원본'!D481</ns0:f>
        <ns0:v>지원</ns0:v>
      </ns0:c>
      <ns0:c r="E481" t="str">
        <ns0:f>'신청원본'!E481</ns0:f>
        <ns0:v>C02</ns0:v>
      </ns0:c>
      <ns0:c r="F481" t="str">
        <ns0:f>'신청원본'!H481</ns0:f>
        <ns0:v>승인</ns0:v>
      </ns0:c>
      <ns0:c r="G481" s="18" t="n">
        <ns0:f>VLOOKUP(E481,'교육기준'!$B$6:$F$17,3,FALSE)</ns0:f>
        <ns0:v>117506</ns0:v>
      </ns0:c>
      <ns0:c r="H481" s="18" t="n">
        <ns0:f>'신청원본'!G481</ns0:f>
        <ns0:v>1</ns0:v>
      </ns0:c>
      <ns0:c r="I481" s="19" t="n">
        <ns0:f>'신청원본'!I481</ns0:f>
        <ns0:v>0.125</ns0:v>
      </ns0:c>
      <ns0:c r="J481" s="18" t="n">
        <ns0:f>IF(F481="승인",IF(COUNTA('신청원본'!J481)=0,ROUND(G481*H481*(1-I481),'정책'!$C$8),'신청원본'!J481),0)</ns0:f>
        <ns0:v>102818</ns0:v>
      </ns0:c>
      <ns0:c r="K481" t="n">
        <ns0:f>SUMIFS('출결원본'!$D$6:$D$1445,'출결원본'!$B$6:$B$1445,B481)</ns0:f>
        <ns0:v>3</ns0:v>
      </ns0:c>
      <ns0:c r="L481" t="n">
        <ns0:f>VLOOKUP(B481,'평가원본'!$B$6:$D$485,2,FALSE)</ns0:f>
        <ns0:v>60</ns0:v>
      </ns0:c>
      <ns0:c r="M481" t="n">
        <ns0:f>VLOOKUP(B481,'평가원본'!$B$6:$D$485,3,FALSE)</ns0:f>
        <ns0:v>0</ns0:v>
      </ns0:c>
      <ns0:c r="N481" t="n">
        <ns0:f>VLOOKUP(E481,'교육기준'!$B$6:$F$17,5,FALSE)</ns0:f>
        <ns0:v>70</ns0:v>
      </ns0:c>
      <ns0:c r="O481" t="n">
        <ns0:f>IF(AND(F481="승인",K481&gt;='정책'!$C$6,M481=1,L481&gt;=N481),1,0)</ns0:f>
        <ns0:v>0</ns0:v>
      </ns0:c>
    </ns0:row>
    <ns0:row r="482">
      <ns0:c r="B482" s="17" t="str">
        <ns0:f>'신청원본'!B482</ns0:f>
        <ns0:v>APP000477</ns0:v>
      </ns0:c>
      <ns0:c r="C482" s="17" t="str">
        <ns0:f>'신청원본'!C482</ns0:f>
        <ns0:v>000157</ns0:v>
      </ns0:c>
      <ns0:c r="D482" t="str">
        <ns0:f>'신청원본'!D482</ns0:f>
        <ns0:v>개발</ns0:v>
      </ns0:c>
      <ns0:c r="E482" t="str">
        <ns0:f>'신청원본'!E482</ns0:f>
        <ns0:v>C09</ns0:v>
      </ns0:c>
      <ns0:c r="F482" t="str">
        <ns0:f>'신청원본'!H482</ns0:f>
        <ns0:v>대기</ns0:v>
      </ns0:c>
      <ns0:c r="G482" s="18" t="n">
        <ns0:f>VLOOKUP(E482,'교육기준'!$B$6:$F$17,3,FALSE)</ns0:f>
        <ns0:v>240013</ns0:v>
      </ns0:c>
      <ns0:c r="H482" s="18" t="n">
        <ns0:f>'신청원본'!G482</ns0:f>
        <ns0:v>2</ns0:v>
      </ns0:c>
      <ns0:c r="I482" s="19" t="n">
        <ns0:f>'신청원본'!I482</ns0:f>
        <ns0:v>0</ns0:v>
      </ns0:c>
      <ns0:c r="J482" s="18" t="n">
        <ns0:f>IF(F482="승인",IF(COUNTA('신청원본'!J482)=0,ROUND(G482*H482*(1-I482),'정책'!$C$8),'신청원본'!J482),0)</ns0:f>
        <ns0:v>0</ns0:v>
      </ns0:c>
      <ns0:c r="K482" t="n">
        <ns0:f>SUMIFS('출결원본'!$D$6:$D$1445,'출결원본'!$B$6:$B$1445,B482)</ns0:f>
        <ns0:v>3</ns0:v>
      </ns0:c>
      <ns0:c r="L482" t="n">
        <ns0:f>VLOOKUP(B482,'평가원본'!$B$6:$D$485,2,FALSE)</ns0:f>
        <ns0:v>67</ns0:v>
      </ns0:c>
      <ns0:c r="M482" t="n">
        <ns0:f>VLOOKUP(B482,'평가원본'!$B$6:$D$485,3,FALSE)</ns0:f>
        <ns0:v>1</ns0:v>
      </ns0:c>
      <ns0:c r="N482" t="n">
        <ns0:f>VLOOKUP(E482,'교육기준'!$B$6:$F$17,5,FALSE)</ns0:f>
        <ns0:v>80</ns0:v>
      </ns0:c>
      <ns0:c r="O482" t="n">
        <ns0:f>IF(AND(F482="승인",K482&gt;='정책'!$C$6,M482=1,L482&gt;=N482),1,0)</ns0:f>
        <ns0:v>0</ns0:v>
      </ns0:c>
    </ns0:row>
    <ns0:row r="483">
      <ns0:c r="B483" s="17" t="str">
        <ns0:f>'신청원본'!B483</ns0:f>
        <ns0:v>APP000478</ns0:v>
      </ns0:c>
      <ns0:c r="C483" s="17" t="str">
        <ns0:f>'신청원본'!C483</ns0:f>
        <ns0:v>000158</ns0:v>
      </ns0:c>
      <ns0:c r="D483" t="str">
        <ns0:f>'신청원본'!D483</ns0:f>
        <ns0:v>생산</ns0:v>
      </ns0:c>
      <ns0:c r="E483" t="str">
        <ns0:f>'신청원본'!E483</ns0:f>
        <ns0:v>C04</ns0:v>
      </ns0:c>
      <ns0:c r="F483" t="str">
        <ns0:f>'신청원본'!H483</ns0:f>
        <ns0:v>승인</ns0:v>
      </ns0:c>
      <ns0:c r="G483" s="18" t="n">
        <ns0:f>VLOOKUP(E483,'교육기준'!$B$6:$F$17,3,FALSE)</ns0:f>
        <ns0:v>152508</ns0:v>
      </ns0:c>
      <ns0:c r="H483" s="18" t="n">
        <ns0:f>'신청원본'!G483</ns0:f>
        <ns0:v>3</ns0:v>
      </ns0:c>
      <ns0:c r="I483" s="19" t="n">
        <ns0:f>'신청원본'!I483</ns0:f>
        <ns0:v>0.05</ns0:v>
      </ns0:c>
      <ns0:c r="J483" s="18" t="n">
        <ns0:f>IF(F483="승인",IF(COUNTA('신청원본'!J483)=0,ROUND(G483*H483*(1-I483),'정책'!$C$8),'신청원본'!J483),0)</ns0:f>
        <ns0:v>0</ns0:v>
      </ns0:c>
      <ns0:c r="K483" t="n">
        <ns0:f>SUMIFS('출결원본'!$D$6:$D$1445,'출결원본'!$B$6:$B$1445,B483)</ns0:f>
        <ns0:v>2</ns0:v>
      </ns0:c>
      <ns0:c r="L483" t="n">
        <ns0:f>VLOOKUP(B483,'평가원본'!$B$6:$D$485,2,FALSE)</ns0:f>
        <ns0:v>74</ns0:v>
      </ns0:c>
      <ns0:c r="M483" t="n">
        <ns0:f>VLOOKUP(B483,'평가원본'!$B$6:$D$485,3,FALSE)</ns0:f>
        <ns0:v>1</ns0:v>
      </ns0:c>
      <ns0:c r="N483" t="n">
        <ns0:f>VLOOKUP(E483,'교육기준'!$B$6:$F$17,5,FALSE)</ns0:f>
        <ns0:v>60</ns0:v>
      </ns0:c>
      <ns0:c r="O483" t="n">
        <ns0:f>IF(AND(F483="승인",K483&gt;='정책'!$C$6,M483=1,L483&gt;=N483),1,0)</ns0:f>
        <ns0:v>0</ns0:v>
      </ns0:c>
    </ns0:row>
    <ns0:row r="484">
      <ns0:c r="B484" s="17" t="str">
        <ns0:f>'신청원본'!B484</ns0:f>
        <ns0:v>APP000479</ns0:v>
      </ns0:c>
      <ns0:c r="C484" s="17" t="str">
        <ns0:f>'신청원본'!C484</ns0:f>
        <ns0:v>000159</ns0:v>
      </ns0:c>
      <ns0:c r="D484" t="str">
        <ns0:f>'신청원본'!D484</ns0:f>
        <ns0:v>품질</ns0:v>
      </ns0:c>
      <ns0:c r="E484" t="str">
        <ns0:f>'신청원본'!E484</ns0:f>
        <ns0:v>C11</ns0:v>
      </ns0:c>
      <ns0:c r="F484" t="str">
        <ns0:f>'신청원본'!H484</ns0:f>
        <ns0:v>승인</ns0:v>
      </ns0:c>
      <ns0:c r="G484" s="18" t="n">
        <ns0:f>VLOOKUP(E484,'교육기준'!$B$6:$F$17,3,FALSE)</ns0:f>
        <ns0:v>275015</ns0:v>
      </ns0:c>
      <ns0:c r="H484" s="18" t="n">
        <ns0:f>'신청원본'!G484</ns0:f>
        <ns0:v>4</ns0:v>
      </ns0:c>
      <ns0:c r="I484" s="19" t="n">
        <ns0:f>'신청원본'!I484</ns0:f>
        <ns0:v>0.1</ns0:v>
      </ns0:c>
      <ns0:c r="J484" s="18" t="n">
        <ns0:f>IF(F484="승인",IF(COUNTA('신청원본'!J484)=0,ROUND(G484*H484*(1-I484),'정책'!$C$8),'신청원본'!J484),0)</ns0:f>
        <ns0:v>990054</ns0:v>
      </ns0:c>
      <ns0:c r="K484" t="n">
        <ns0:f>SUMIFS('출결원본'!$D$6:$D$1445,'출결원본'!$B$6:$B$1445,B484)</ns0:f>
        <ns0:v>3</ns0:v>
      </ns0:c>
      <ns0:c r="L484" t="n">
        <ns0:f>VLOOKUP(B484,'평가원본'!$B$6:$D$485,2,FALSE)</ns0:f>
        <ns0:v>81</ns0:v>
      </ns0:c>
      <ns0:c r="M484" t="n">
        <ns0:f>VLOOKUP(B484,'평가원본'!$B$6:$D$485,3,FALSE)</ns0:f>
        <ns0:v>1</ns0:v>
      </ns0:c>
      <ns0:c r="N484" t="n">
        <ns0:f>VLOOKUP(E484,'교육기준'!$B$6:$F$17,5,FALSE)</ns0:f>
        <ns0:v>70</ns0:v>
      </ns0:c>
      <ns0:c r="O484" t="n">
        <ns0:f>IF(AND(F484="승인",K484&gt;='정책'!$C$6,M484=1,L484&gt;=N484),1,0)</ns0:f>
        <ns0:v>1</ns0:v>
      </ns0:c>
    </ns0:row>
    <ns0:row r="485">
      <ns0:c r="B485" s="17" t="str">
        <ns0:f>'신청원본'!B485</ns0:f>
        <ns0:v>APP000480</ns0:v>
      </ns0:c>
      <ns0:c r="C485" s="17" t="str">
        <ns0:f>'신청원본'!C485</ns0:f>
        <ns0:v>000160</ns0:v>
      </ns0:c>
      <ns0:c r="D485" t="str">
        <ns0:f>'신청원본'!D485</ns0:f>
        <ns0:v>기획</ns0:v>
      </ns0:c>
      <ns0:c r="E485" t="str">
        <ns0:f>'신청원본'!E485</ns0:f>
        <ns0:v>C06</ns0:v>
      </ns0:c>
      <ns0:c r="F485" t="str">
        <ns0:f>'신청원본'!H485</ns0:f>
        <ns0:v>승인</ns0:v>
      </ns0:c>
      <ns0:c r="G485" s="18" t="n">
        <ns0:f>VLOOKUP(E485,'교육기준'!$B$6:$F$17,3,FALSE)</ns0:f>
        <ns0:v>187510</ns0:v>
      </ns0:c>
      <ns0:c r="H485" s="18" t="n">
        <ns0:f>'신청원본'!G485</ns0:f>
        <ns0:v>5</ns0:v>
      </ns0:c>
      <ns0:c r="I485" s="19" t="n">
        <ns0:f>'신청원본'!I485</ns0:f>
        <ns0:v>0.125</ns0:v>
      </ns0:c>
      <ns0:c r="J485" s="18" t="n">
        <ns0:f>IF(F485="승인",IF(COUNTA('신청원본'!J485)=0,ROUND(G485*H485*(1-I485),'정책'!$C$8),'신청원본'!J485),0)</ns0:f>
      </ns0:c>
      <ns0:c r="K485" t="n">
        <ns0:f>SUMIFS('출결원본'!$D$6:$D$1445,'출결원본'!$B$6:$B$1445,B485)</ns0:f>
        <ns0:v>3</ns0:v>
      </ns0:c>
      <ns0:c r="L485" t="n">
        <ns0:f>VLOOKUP(B485,'평가원본'!$B$6:$D$485,2,FALSE)</ns0:f>
        <ns0:v>88</ns0:v>
      </ns0:c>
      <ns0:c r="M485" t="n">
        <ns0:f>VLOOKUP(B485,'평가원본'!$B$6:$D$485,3,FALSE)</ns0:f>
        <ns0:v>1</ns0:v>
      </ns0:c>
      <ns0:c r="N485" t="n">
        <ns0:f>VLOOKUP(E485,'교육기준'!$B$6:$F$17,5,FALSE)</ns0:f>
        <ns0:v>80</ns0:v>
      </ns0:c>
      <ns0:c r="O485" t="n">
        <ns0:f>IF(AND(F485="승인",K485&gt;=RequiredAttendance,M485=1,L485&gt;=N485),1,0)</ns0:f>
        <ns0:v>1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2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  <ns0:col min="12" max="12" hidden="1" width="26" customWidth="1"/>
  </ns0:cols>
  <ns0:sheetData>
    <ns0:row r="1" ht="24" customHeight="1">
      <ns0:c r="A1" s="2"/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  <ns0:c r="O1" s="2"/>
      <ns0:c r="P1" s="2"/>
    </ns0:row>
    <ns0:row r="2" ht="24" customHeight="1">
      <ns0:c r="A2" s="2"/>
      <ns0:c r="B2" s="3" t="str">
        <ns0:v>신청원본 (가상 시험 자료)</ns0:v>
      </ns0:c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  <ns0:c r="O2" s="2"/>
      <ns0:c r="P2" s="2"/>
    </ns0:row>
    <ns0:row r="3" ht="24" customHeight="1">
      <ns0:c r="A3" s="2"/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  <ns0:c r="O3" s="2"/>
      <ns0:c r="P3" s="2"/>
    </ns0:row>
    <ns0:row r="4" ht="24" customHeight="1">
      <ns0:c r="A4" s="2"/>
      <ns0:c r="B4" s="2"/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  <ns0:c r="O4" s="2"/>
      <ns0:c r="P4" s="2"/>
    </ns0:row>
    <ns0:row r="5" ht="23" customHeight="1">
      <ns0:c r="A5" s="2"/>
      <ns0:c r="B5" s="6" t="str">
        <ns0:v>신청ID</ns0:v>
      </ns0:c>
      <ns0:c r="C5" s="6" t="str">
        <ns0:v>사번</ns0:v>
      </ns0:c>
      <ns0:c r="D5" s="6" t="str">
        <ns0:v>부서</ns0:v>
      </ns0:c>
      <ns0:c r="E5" s="6" t="str">
        <ns0:v>과정코드</ns0:v>
      </ns0:c>
      <ns0:c r="F5" s="6" t="str">
        <ns0:v>교육일</ns0:v>
      </ns0:c>
      <ns0:c r="G5" s="6" t="str">
        <ns0:v>수량</ns0:v>
      </ns0:c>
      <ns0:c r="H5" s="6" t="str">
        <ns0:v>상태</ns0:v>
      </ns0:c>
      <ns0:c r="I5" s="6" t="str">
        <ns0:v>할인율</ns0:v>
      </ns0:c>
      <ns0:c r="J5" s="6" t="str">
        <ns0:v>수동금액</ns0:v>
      </ns0:c>
      <ns0:c r="K5" s="6" t="str">
        <ns0:v>갱신순번</ns0:v>
      </ns0:c>
      <ns0:c r="L5" s="6" t="str">
        <ns0:v>메모</ns0:v>
      </ns0:c>
      <ns0:c r="M5" s="6" t="str">
        <ns0:v>회차</ns0:v>
      </ns0:c>
      <ns0:c r="N5" s="2"/>
      <ns0:c r="O5" s="2"/>
      <ns0:c r="P5" s="2"/>
    </ns0:row>
    <ns0:row r="6" ht="23" customHeight="1">
      <ns0:c r="A6" s="2"/>
      <ns0:c r="B6" s="9" t="str">
        <ns0:v>APP000001</ns0:v>
      </ns0:c>
      <ns0:c r="C6" s="9" t="str">
        <ns0:v>000001</ns0:v>
      </ns0:c>
      <ns0:c r="D6" s="2" t="str">
        <ns0:v>개발</ns0:v>
      </ns0:c>
      <ns0:c r="E6" s="2" t="str">
        <ns0:v>C01</ns0:v>
      </ns0:c>
      <ns0:c r="F6" s="11" t="d">
        <ns0:v>2026-10-01T00:00:00.000Z</ns0:v>
      </ns0:c>
      <ns0:c r="G6" s="2" t="n">
        <ns0:v>0</ns0:v>
      </ns0:c>
      <ns0:c r="H6" s="2" t="str">
        <ns0:v>취소</ns0:v>
      </ns0:c>
      <ns0:c r="I6" s="13" t="n">
        <ns0:v>0</ns0:v>
      </ns0:c>
      <ns0:c r="J6" s="15" t="n">
        <ns0:v>0</ns0:v>
      </ns0:c>
      <ns0:c r="K6" s="2" t="n">
        <ns0:v>1</ns0:v>
      </ns0:c>
      <ns0:c r="L6" s="2" t="str">
        <ns0:v>0원 수동금액 유지</ns0:v>
      </ns0:c>
      <ns0:c r="M6" s="2" t="str">
        <ns0:v>A</ns0:v>
      </ns0:c>
      <ns0:c r="N6" s="2"/>
      <ns0:c r="O6" s="2"/>
      <ns0:c r="P6" s="2"/>
    </ns0:row>
    <ns0:row r="7" ht="23" customHeight="1">
      <ns0:c r="A7" s="2"/>
      <ns0:c r="B7" s="9" t="str">
        <ns0:v>APP000002</ns0:v>
      </ns0:c>
      <ns0:c r="C7" s="9" t="str">
        <ns0:v>000002</ns0:v>
      </ns0:c>
      <ns0:c r="D7" s="2" t="str">
        <ns0:v>생산</ns0:v>
      </ns0:c>
      <ns0:c r="E7" s="2" t="str">
        <ns0:v>C08</ns0:v>
      </ns0:c>
      <ns0:c r="F7" s="11" t="d">
        <ns0:v>2026-10-02T00:00:00.000Z</ns0:v>
      </ns0:c>
      <ns0:c r="G7" s="2" t="n">
        <ns0:v>1</ns0:v>
      </ns0:c>
      <ns0:c r="H7" s="2" t="str">
        <ns0:v>승인</ns0:v>
      </ns0:c>
      <ns0:c r="I7" s="13" t="n">
        <ns0:v>0.05</ns0:v>
      </ns0:c>
      <ns0:c r="J7" s="15"/>
      <ns0:c r="K7" s="2" t="n">
        <ns0:v>1</ns0:v>
      </ns0:c>
      <ns0:c r="L7" s="2"/>
      <ns0:c r="M7" s="2" t="str">
        <ns0:v>A</ns0:v>
      </ns0:c>
      <ns0:c r="N7" s="2"/>
      <ns0:c r="O7" s="2"/>
      <ns0:c r="P7" s="2"/>
    </ns0:row>
    <ns0:row r="8" ht="23" customHeight="1">
      <ns0:c r="A8" s="2"/>
      <ns0:c r="B8" s="9" t="str">
        <ns0:v>APP000003</ns0:v>
      </ns0:c>
      <ns0:c r="C8" s="9" t="str">
        <ns0:v>000003</ns0:v>
      </ns0:c>
      <ns0:c r="D8" s="2" t="str">
        <ns0:v>품질</ns0:v>
      </ns0:c>
      <ns0:c r="E8" s="2" t="str">
        <ns0:v>C03</ns0:v>
      </ns0:c>
      <ns0:c r="F8" s="11" t="d">
        <ns0:v>2026-10-03T00:00:00.000Z</ns0:v>
      </ns0:c>
      <ns0:c r="G8" s="2" t="n">
        <ns0:v>2</ns0:v>
      </ns0:c>
      <ns0:c r="H8" s="2" t="str">
        <ns0:v>승인</ns0:v>
      </ns0:c>
      <ns0:c r="I8" s="13" t="n">
        <ns0:v>0.1</ns0:v>
      </ns0:c>
      <ns0:c r="J8" s="15"/>
      <ns0:c r="K8" s="2" t="n">
        <ns0:v>1</ns0:v>
      </ns0:c>
      <ns0:c r="L8" s="2"/>
      <ns0:c r="M8" s="2" t="str">
        <ns0:v>A</ns0:v>
      </ns0:c>
      <ns0:c r="N8" s="2"/>
      <ns0:c r="O8" s="2"/>
      <ns0:c r="P8" s="2"/>
    </ns0:row>
    <ns0:row r="9" ht="23" customHeight="1">
      <ns0:c r="A9" s="2"/>
      <ns0:c r="B9" s="9" t="str">
        <ns0:v>APP000004</ns0:v>
      </ns0:c>
      <ns0:c r="C9" s="9" t="str">
        <ns0:v>000004</ns0:v>
      </ns0:c>
      <ns0:c r="D9" s="2" t="str">
        <ns0:v>기획</ns0:v>
      </ns0:c>
      <ns0:c r="E9" s="2" t="str">
        <ns0:v>C10</ns0:v>
      </ns0:c>
      <ns0:c r="F9" s="11" t="d">
        <ns0:v>2026-10-04T00:00:00.000Z</ns0:v>
      </ns0:c>
      <ns0:c r="G9" s="2" t="n">
        <ns0:v>3</ns0:v>
      </ns0:c>
      <ns0:c r="H9" s="2" t="str">
        <ns0:v>승인</ns0:v>
      </ns0:c>
      <ns0:c r="I9" s="13" t="n">
        <ns0:v>0.125</ns0:v>
      </ns0:c>
      <ns0:c r="J9" s="15"/>
      <ns0:c r="K9" s="2" t="n">
        <ns0:v>1</ns0:v>
      </ns0:c>
      <ns0:c r="L9" s="2"/>
      <ns0:c r="M9" s="2" t="str">
        <ns0:v>A</ns0:v>
      </ns0:c>
      <ns0:c r="N9" s="2"/>
      <ns0:c r="O9" s="2"/>
      <ns0:c r="P9" s="2"/>
    </ns0:row>
    <ns0:row r="10" ht="23" customHeight="1">
      <ns0:c r="A10" s="2"/>
      <ns0:c r="B10" s="9" t="str">
        <ns0:v>APP000005</ns0:v>
      </ns0:c>
      <ns0:c r="C10" s="9" t="str">
        <ns0:v>000005</ns0:v>
      </ns0:c>
      <ns0:c r="D10" s="2" t="str">
        <ns0:v>영업</ns0:v>
      </ns0:c>
      <ns0:c r="E10" s="2" t="str">
        <ns0:v>C05</ns0:v>
      </ns0:c>
      <ns0:c r="F10" s="11" t="d">
        <ns0:v>2026-10-05T00:00:00.000Z</ns0:v>
      </ns0:c>
      <ns0:c r="G10" s="2" t="n">
        <ns0:v>4</ns0:v>
      </ns0:c>
      <ns0:c r="H10" s="2" t="str">
        <ns0:v>승인</ns0:v>
      </ns0:c>
      <ns0:c r="I10" s="13" t="n">
        <ns0:v>0</ns0:v>
      </ns0:c>
      <ns0:c r="J10" s="15"/>
      <ns0:c r="K10" s="2" t="n">
        <ns0:v>1</ns0:v>
      </ns0:c>
      <ns0:c r="L10" s="2"/>
      <ns0:c r="M10" s="2" t="str">
        <ns0:v>A</ns0:v>
      </ns0:c>
      <ns0:c r="N10" s="2"/>
      <ns0:c r="O10" s="2"/>
      <ns0:c r="P10" s="2"/>
    </ns0:row>
    <ns0:row r="11" ht="23" customHeight="1">
      <ns0:c r="A11" s="2"/>
      <ns0:c r="B11" s="9" t="str">
        <ns0:v>APP000006</ns0:v>
      </ns0:c>
      <ns0:c r="C11" s="9" t="str">
        <ns0:v>000006</ns0:v>
      </ns0:c>
      <ns0:c r="D11" s="2" t="str">
        <ns0:v>지원</ns0:v>
      </ns0:c>
      <ns0:c r="E11" s="2" t="str">
        <ns0:v>C12</ns0:v>
      </ns0:c>
      <ns0:c r="F11" s="11" t="d">
        <ns0:v>2026-10-06T00:00:00.000Z</ns0:v>
      </ns0:c>
      <ns0:c r="G11" s="2" t="n">
        <ns0:v>5</ns0:v>
      </ns0:c>
      <ns0:c r="H11" s="2" t="str">
        <ns0:v>승인</ns0:v>
      </ns0:c>
      <ns0:c r="I11" s="13" t="n">
        <ns0:v>0.05</ns0:v>
      </ns0:c>
      <ns0:c r="J11" s="15"/>
      <ns0:c r="K11" s="2" t="n">
        <ns0:v>1</ns0:v>
      </ns0:c>
      <ns0:c r="L11" s="2"/>
      <ns0:c r="M11" s="2" t="str">
        <ns0:v>A</ns0:v>
      </ns0:c>
      <ns0:c r="N11" s="2"/>
      <ns0:c r="O11" s="2"/>
      <ns0:c r="P11" s="2"/>
    </ns0:row>
    <ns0:row r="12" ht="23" customHeight="1" hidden="1">
      <ns0:c r="A12" s="2"/>
      <ns0:c r="B12" s="9" t="str">
        <ns0:v>APP000007</ns0:v>
      </ns0:c>
      <ns0:c r="C12" s="9" t="str">
        <ns0:v>000007</ns0:v>
      </ns0:c>
      <ns0:c r="D12" s="2" t="str">
        <ns0:v>개발</ns0:v>
      </ns0:c>
      <ns0:c r="E12" s="2" t="str">
        <ns0:v>C07</ns0:v>
      </ns0:c>
      <ns0:c r="F12" s="11" t="d">
        <ns0:v>2026-10-07T00:00:00.000Z</ns0:v>
      </ns0:c>
      <ns0:c r="G12" s="2" t="n">
        <ns0:v>0</ns0:v>
      </ns0:c>
      <ns0:c r="H12" s="2" t="str">
        <ns0:v>승인</ns0:v>
      </ns0:c>
      <ns0:c r="I12" s="13" t="n">
        <ns0:v>0.1</ns0:v>
      </ns0:c>
      <ns0:c r="J12" s="15"/>
      <ns0:c r="K12" s="2" t="n">
        <ns0:v>1</ns0:v>
      </ns0:c>
      <ns0:c r="L12" s="2"/>
      <ns0:c r="M12" s="2" t="str">
        <ns0:v>A</ns0:v>
      </ns0:c>
      <ns0:c r="N12" s="2"/>
      <ns0:c r="O12" s="2"/>
      <ns0:c r="P12" s="2"/>
    </ns0:row>
    <ns0:row r="13" ht="23" customHeight="1">
      <ns0:c r="A13" s="2"/>
      <ns0:c r="B13" s="9" t="str">
        <ns0:v>APP000008</ns0:v>
      </ns0:c>
      <ns0:c r="C13" s="9" t="str">
        <ns0:v>000008</ns0:v>
      </ns0:c>
      <ns0:c r="D13" s="2" t="str">
        <ns0:v>생산</ns0:v>
      </ns0:c>
      <ns0:c r="E13" s="2" t="str">
        <ns0:v>C02</ns0:v>
      </ns0:c>
      <ns0:c r="F13" s="11" t="d">
        <ns0:v>2026-10-08T00:00:00.000Z</ns0:v>
      </ns0:c>
      <ns0:c r="G13" s="2" t="n">
        <ns0:v>1</ns0:v>
      </ns0:c>
      <ns0:c r="H13" s="2" t="str">
        <ns0:v>대기</ns0:v>
      </ns0:c>
      <ns0:c r="I13" s="13" t="n">
        <ns0:v>0.125</ns0:v>
      </ns0:c>
      <ns0:c r="J13" s="15"/>
      <ns0:c r="K13" s="2" t="n">
        <ns0:v>1</ns0:v>
      </ns0:c>
      <ns0:c r="L13" s="2"/>
      <ns0:c r="M13" s="2" t="str">
        <ns0:v>A</ns0:v>
      </ns0:c>
      <ns0:c r="N13" s="2"/>
      <ns0:c r="O13" s="2"/>
      <ns0:c r="P13" s="2"/>
    </ns0:row>
    <ns0:row r="14" ht="23" customHeight="1">
      <ns0:c r="A14" s="2"/>
      <ns0:c r="B14" s="9" t="str">
        <ns0:v>APP000009</ns0:v>
      </ns0:c>
      <ns0:c r="C14" s="9" t="str">
        <ns0:v>000009</ns0:v>
      </ns0:c>
      <ns0:c r="D14" s="2" t="str">
        <ns0:v>품질</ns0:v>
      </ns0:c>
      <ns0:c r="E14" s="2" t="str">
        <ns0:v>C09</ns0:v>
      </ns0:c>
      <ns0:c r="F14" s="11" t="d">
        <ns0:v>2026-10-09T00:00:00.000Z</ns0:v>
      </ns0:c>
      <ns0:c r="G14" s="2" t="n">
        <ns0:v>2</ns0:v>
      </ns0:c>
      <ns0:c r="H14" s="2" t="str">
        <ns0:v>승인</ns0:v>
      </ns0:c>
      <ns0:c r="I14" s="13" t="n">
        <ns0:v>0</ns0:v>
      </ns0:c>
      <ns0:c r="J14" s="15"/>
      <ns0:c r="K14" s="2" t="n">
        <ns0:v>1</ns0:v>
      </ns0:c>
      <ns0:c r="L14" s="2"/>
      <ns0:c r="M14" s="2" t="str">
        <ns0:v>A</ns0:v>
      </ns0:c>
      <ns0:c r="N14" s="2"/>
      <ns0:c r="O14" s="2"/>
      <ns0:c r="P14" s="2"/>
    </ns0:row>
    <ns0:row r="15" ht="23" customHeight="1">
      <ns0:c r="A15" s="2"/>
      <ns0:c r="B15" s="9" t="str">
        <ns0:v>APP000010</ns0:v>
      </ns0:c>
      <ns0:c r="C15" s="9" t="str">
        <ns0:v>000010</ns0:v>
      </ns0:c>
      <ns0:c r="D15" s="2" t="str">
        <ns0:v>기획</ns0:v>
      </ns0:c>
      <ns0:c r="E15" s="2" t="str">
        <ns0:v>C04</ns0:v>
      </ns0:c>
      <ns0:c r="F15" s="11" t="d">
        <ns0:v>2026-10-10T00:00:00.000Z</ns0:v>
      </ns0:c>
      <ns0:c r="G15" s="2" t="n">
        <ns0:v>3</ns0:v>
      </ns0:c>
      <ns0:c r="H15" s="2" t="str">
        <ns0:v>승인</ns0:v>
      </ns0:c>
      <ns0:c r="I15" s="13" t="n">
        <ns0:v>0.05</ns0:v>
      </ns0:c>
      <ns0:c r="J15" s="15"/>
      <ns0:c r="K15" s="2" t="n">
        <ns0:v>1</ns0:v>
      </ns0:c>
      <ns0:c r="L15" s="2"/>
      <ns0:c r="M15" s="2" t="str">
        <ns0:v>A</ns0:v>
      </ns0:c>
      <ns0:c r="N15" s="2"/>
      <ns0:c r="O15" s="2"/>
      <ns0:c r="P15" s="2"/>
    </ns0:row>
    <ns0:row r="16" ht="23" customHeight="1">
      <ns0:c r="A16" s="2"/>
      <ns0:c r="B16" s="9" t="str">
        <ns0:v>APP000011</ns0:v>
      </ns0:c>
      <ns0:c r="C16" s="9" t="str">
        <ns0:v>000011</ns0:v>
      </ns0:c>
      <ns0:c r="D16" s="2" t="str">
        <ns0:v>영업</ns0:v>
      </ns0:c>
      <ns0:c r="E16" s="2" t="str">
        <ns0:v>C11</ns0:v>
      </ns0:c>
      <ns0:c r="F16" s="11" t="d">
        <ns0:v>2026-10-11T00:00:00.000Z</ns0:v>
      </ns0:c>
      <ns0:c r="G16" s="2" t="n">
        <ns0:v>4</ns0:v>
      </ns0:c>
      <ns0:c r="H16" s="2" t="str">
        <ns0:v>승인</ns0:v>
      </ns0:c>
      <ns0:c r="I16" s="13" t="n">
        <ns0:v>0.1</ns0:v>
      </ns0:c>
      <ns0:c r="J16" s="15"/>
      <ns0:c r="K16" s="2" t="n">
        <ns0:v>1</ns0:v>
      </ns0:c>
      <ns0:c r="L16" s="2"/>
      <ns0:c r="M16" s="2" t="str">
        <ns0:v>A</ns0:v>
      </ns0:c>
      <ns0:c r="N16" s="2"/>
      <ns0:c r="O16" s="2"/>
      <ns0:c r="P16" s="2"/>
    </ns0:row>
    <ns0:row r="17" ht="23" customHeight="1">
      <ns0:c r="A17" s="2"/>
      <ns0:c r="B17" s="9" t="str">
        <ns0:v>APP000012</ns0:v>
      </ns0:c>
      <ns0:c r="C17" s="9" t="str">
        <ns0:v>000012</ns0:v>
      </ns0:c>
      <ns0:c r="D17" s="2" t="str">
        <ns0:v>지원</ns0:v>
      </ns0:c>
      <ns0:c r="E17" s="2" t="str">
        <ns0:v>C06</ns0:v>
      </ns0:c>
      <ns0:c r="F17" s="11" t="d">
        <ns0:v>2026-10-12T00:00:00.000Z</ns0:v>
      </ns0:c>
      <ns0:c r="G17" s="2" t="n">
        <ns0:v>5</ns0:v>
      </ns0:c>
      <ns0:c r="H17" s="2" t="str">
        <ns0:v>취소</ns0:v>
      </ns0:c>
      <ns0:c r="I17" s="13" t="n">
        <ns0:v>0.125</ns0:v>
      </ns0:c>
      <ns0:c r="J17" s="15"/>
      <ns0:c r="K17" s="2" t="n">
        <ns0:v>1</ns0:v>
      </ns0:c>
      <ns0:c r="L17" s="2"/>
      <ns0:c r="M17" s="2" t="str">
        <ns0:v>A</ns0:v>
      </ns0:c>
      <ns0:c r="N17" s="2"/>
      <ns0:c r="O17" s="2"/>
      <ns0:c r="P17" s="2"/>
    </ns0:row>
    <ns0:row r="18" ht="23" customHeight="1">
      <ns0:c r="A18" s="2"/>
      <ns0:c r="B18" s="9" t="str">
        <ns0:v>APP000013</ns0:v>
      </ns0:c>
      <ns0:c r="C18" s="9" t="str">
        <ns0:v>000013</ns0:v>
      </ns0:c>
      <ns0:c r="D18" s="2" t="str">
        <ns0:v>개발</ns0:v>
      </ns0:c>
      <ns0:c r="E18" s="2" t="str">
        <ns0:v>C01</ns0:v>
      </ns0:c>
      <ns0:c r="F18" s="11" t="d">
        <ns0:v>2026-10-13T00:00:00.000Z</ns0:v>
      </ns0:c>
      <ns0:c r="G18" s="2" t="n">
        <ns0:v>0</ns0:v>
      </ns0:c>
      <ns0:c r="H18" s="2" t="str">
        <ns0:v>승인</ns0:v>
      </ns0:c>
      <ns0:c r="I18" s="13" t="n">
        <ns0:v>0</ns0:v>
      </ns0:c>
      <ns0:c r="J18" s="15"/>
      <ns0:c r="K18" s="2" t="n">
        <ns0:v>1</ns0:v>
      </ns0:c>
      <ns0:c r="L18" s="2"/>
      <ns0:c r="M18" s="2" t="str">
        <ns0:v>A</ns0:v>
      </ns0:c>
      <ns0:c r="N18" s="2"/>
      <ns0:c r="O18" s="2"/>
      <ns0:c r="P18" s="2"/>
    </ns0:row>
    <ns0:row r="19" ht="23" customHeight="1">
      <ns0:c r="A19" s="2"/>
      <ns0:c r="B19" s="9" t="str">
        <ns0:v>APP000014</ns0:v>
      </ns0:c>
      <ns0:c r="C19" s="9" t="str">
        <ns0:v>000014</ns0:v>
      </ns0:c>
      <ns0:c r="D19" s="2" t="str">
        <ns0:v>생산</ns0:v>
      </ns0:c>
      <ns0:c r="E19" s="2" t="str">
        <ns0:v>C08</ns0:v>
      </ns0:c>
      <ns0:c r="F19" s="11" t="d">
        <ns0:v>2026-10-14T00:00:00.000Z</ns0:v>
      </ns0:c>
      <ns0:c r="G19" s="2" t="n">
        <ns0:v>1</ns0:v>
      </ns0:c>
      <ns0:c r="H19" s="2" t="str">
        <ns0:v>승인</ns0:v>
      </ns0:c>
      <ns0:c r="I19" s="13" t="n">
        <ns0:v>0.05</ns0:v>
      </ns0:c>
      <ns0:c r="J19" s="15"/>
      <ns0:c r="K19" s="2" t="n">
        <ns0:v>1</ns0:v>
      </ns0:c>
      <ns0:c r="L19" s="2"/>
      <ns0:c r="M19" s="2" t="str">
        <ns0:v>A</ns0:v>
      </ns0:c>
      <ns0:c r="N19" s="2"/>
      <ns0:c r="O19" s="2"/>
      <ns0:c r="P19" s="2"/>
    </ns0:row>
    <ns0:row r="20" ht="23" customHeight="1">
      <ns0:c r="A20" s="2"/>
      <ns0:c r="B20" s="9" t="str">
        <ns0:v>APP000015</ns0:v>
      </ns0:c>
      <ns0:c r="C20" s="9" t="str">
        <ns0:v>000015</ns0:v>
      </ns0:c>
      <ns0:c r="D20" s="2" t="str">
        <ns0:v>품질</ns0:v>
      </ns0:c>
      <ns0:c r="E20" s="2" t="str">
        <ns0:v>C03</ns0:v>
      </ns0:c>
      <ns0:c r="F20" s="11" t="d">
        <ns0:v>2026-10-15T00:00:00.000Z</ns0:v>
      </ns0:c>
      <ns0:c r="G20" s="2" t="n">
        <ns0:v>2</ns0:v>
      </ns0:c>
      <ns0:c r="H20" s="2" t="str">
        <ns0:v>대기</ns0:v>
      </ns0:c>
      <ns0:c r="I20" s="13" t="n">
        <ns0:v>0.1</ns0:v>
      </ns0:c>
      <ns0:c r="J20" s="15"/>
      <ns0:c r="K20" s="2" t="n">
        <ns0:v>1</ns0:v>
      </ns0:c>
      <ns0:c r="L20" s="2"/>
      <ns0:c r="M20" s="2" t="str">
        <ns0:v>A</ns0:v>
      </ns0:c>
      <ns0:c r="N20" s="2"/>
      <ns0:c r="O20" s="2"/>
      <ns0:c r="P20" s="2"/>
    </ns0:row>
    <ns0:row r="21" ht="23" customHeight="1">
      <ns0:c r="A21" s="2"/>
      <ns0:c r="B21" s="9" t="str">
        <ns0:v>APP000016</ns0:v>
      </ns0:c>
      <ns0:c r="C21" s="9" t="str">
        <ns0:v>000016</ns0:v>
      </ns0:c>
      <ns0:c r="D21" s="2" t="str">
        <ns0:v>기획</ns0:v>
      </ns0:c>
      <ns0:c r="E21" s="2" t="str">
        <ns0:v>C10</ns0:v>
      </ns0:c>
      <ns0:c r="F21" s="11" t="d">
        <ns0:v>2026-10-16T00:00:00.000Z</ns0:v>
      </ns0:c>
      <ns0:c r="G21" s="2" t="n">
        <ns0:v>3</ns0:v>
      </ns0:c>
      <ns0:c r="H21" s="2" t="str">
        <ns0:v>승인</ns0:v>
      </ns0:c>
      <ns0:c r="I21" s="13" t="n">
        <ns0:v>0.125</ns0:v>
      </ns0:c>
      <ns0:c r="J21" s="15"/>
      <ns0:c r="K21" s="2" t="n">
        <ns0:v>1</ns0:v>
      </ns0:c>
      <ns0:c r="L21" s="2"/>
      <ns0:c r="M21" s="2" t="str">
        <ns0:v>A</ns0:v>
      </ns0:c>
      <ns0:c r="N21" s="2"/>
      <ns0:c r="O21" s="2"/>
      <ns0:c r="P21" s="2"/>
    </ns0:row>
    <ns0:row r="22" ht="23" customHeight="1">
      <ns0:c r="A22" s="2"/>
      <ns0:c r="B22" s="9" t="str">
        <ns0:v>APP000017</ns0:v>
      </ns0:c>
      <ns0:c r="C22" s="9" t="str">
        <ns0:v>000017</ns0:v>
      </ns0:c>
      <ns0:c r="D22" s="2" t="str">
        <ns0:v>영업</ns0:v>
      </ns0:c>
      <ns0:c r="E22" s="2" t="str">
        <ns0:v>C05</ns0:v>
      </ns0:c>
      <ns0:c r="F22" s="11" t="d">
        <ns0:v>2026-10-17T00:00:00.000Z</ns0:v>
      </ns0:c>
      <ns0:c r="G22" s="2" t="n">
        <ns0:v>4</ns0:v>
      </ns0:c>
      <ns0:c r="H22" s="2" t="str">
        <ns0:v>승인</ns0:v>
      </ns0:c>
      <ns0:c r="I22" s="13" t="n">
        <ns0:v>0</ns0:v>
      </ns0:c>
      <ns0:c r="J22" s="15"/>
      <ns0:c r="K22" s="2" t="n">
        <ns0:v>1</ns0:v>
      </ns0:c>
      <ns0:c r="L22" s="2"/>
      <ns0:c r="M22" s="2" t="str">
        <ns0:v>A</ns0:v>
      </ns0:c>
      <ns0:c r="N22" s="2"/>
      <ns0:c r="O22" s="2"/>
      <ns0:c r="P22" s="2"/>
    </ns0:row>
    <ns0:row r="23" ht="23" customHeight="1">
      <ns0:c r="A23" s="2"/>
      <ns0:c r="B23" s="9" t="str">
        <ns0:v>APP000018</ns0:v>
      </ns0:c>
      <ns0:c r="C23" s="9" t="str">
        <ns0:v>000018</ns0:v>
      </ns0:c>
      <ns0:c r="D23" s="2" t="str">
        <ns0:v>지원</ns0:v>
      </ns0:c>
      <ns0:c r="E23" s="2" t="str">
        <ns0:v>C12</ns0:v>
      </ns0:c>
      <ns0:c r="F23" s="11" t="d">
        <ns0:v>2026-10-18T00:00:00.000Z</ns0:v>
      </ns0:c>
      <ns0:c r="G23" s="2" t="n">
        <ns0:v>5</ns0:v>
      </ns0:c>
      <ns0:c r="H23" s="2" t="str">
        <ns0:v>승인</ns0:v>
      </ns0:c>
      <ns0:c r="I23" s="13" t="n">
        <ns0:v>0.05</ns0:v>
      </ns0:c>
      <ns0:c r="J23" s="15"/>
      <ns0:c r="K23" s="2" t="n">
        <ns0:v>1</ns0:v>
      </ns0:c>
      <ns0:c r="L23" s="2"/>
      <ns0:c r="M23" s="2" t="str">
        <ns0:v>A</ns0:v>
      </ns0:c>
      <ns0:c r="N23" s="2"/>
      <ns0:c r="O23" s="2"/>
      <ns0:c r="P23" s="2"/>
    </ns0:row>
    <ns0:row r="24" ht="23" customHeight="1">
      <ns0:c r="A24" s="2"/>
      <ns0:c r="B24" s="9" t="str">
        <ns0:v>APP000019</ns0:v>
      </ns0:c>
      <ns0:c r="C24" s="9" t="str">
        <ns0:v>000019</ns0:v>
      </ns0:c>
      <ns0:c r="D24" s="2" t="str">
        <ns0:v>개발</ns0:v>
      </ns0:c>
      <ns0:c r="E24" s="2" t="str">
        <ns0:v>C07</ns0:v>
      </ns0:c>
      <ns0:c r="F24" s="11" t="d">
        <ns0:v>2026-10-19T00:00:00.000Z</ns0:v>
      </ns0:c>
      <ns0:c r="G24" s="2" t="n">
        <ns0:v>0</ns0:v>
      </ns0:c>
      <ns0:c r="H24" s="2" t="str">
        <ns0:v>승인</ns0:v>
      </ns0:c>
      <ns0:c r="I24" s="13" t="n">
        <ns0:v>0.1</ns0:v>
      </ns0:c>
      <ns0:c r="J24" s="15"/>
      <ns0:c r="K24" s="2" t="n">
        <ns0:v>1</ns0:v>
      </ns0:c>
      <ns0:c r="L24" s="2"/>
      <ns0:c r="M24" s="2" t="str">
        <ns0:v>A</ns0:v>
      </ns0:c>
      <ns0:c r="N24" s="2"/>
      <ns0:c r="O24" s="2"/>
      <ns0:c r="P24" s="2"/>
    </ns0:row>
    <ns0:row r="25" ht="23" customHeight="1">
      <ns0:c r="B25" s="10" t="str">
        <ns0:v>APP000020</ns0:v>
      </ns0:c>
      <ns0:c r="C25" s="10" t="str">
        <ns0:v>000020</ns0:v>
      </ns0:c>
      <ns0:c r="D25" s="8" t="str">
        <ns0:v>생산</ns0:v>
      </ns0:c>
      <ns0:c r="E25" s="8" t="str">
        <ns0:v>C02</ns0:v>
      </ns0:c>
      <ns0:c r="F25" s="12" t="d">
        <ns0:v>2026-10-20T00:00:00.000Z</ns0:v>
      </ns0:c>
      <ns0:c r="G25" s="8" t="n">
        <ns0:v>1</ns0:v>
      </ns0:c>
      <ns0:c r="H25" s="8" t="str">
        <ns0:v>승인</ns0:v>
      </ns0:c>
      <ns0:c r="I25" s="14" t="n">
        <ns0:v>0.125</ns0:v>
      </ns0:c>
      <ns0:c r="J25" s="16"/>
      <ns0:c r="K25" s="8" t="n">
        <ns0:v>1</ns0:v>
      </ns0:c>
      <ns0:c r="L25" s="8"/>
      <ns0:c r="M25" s="8" t="str">
        <ns0:v>A</ns0:v>
      </ns0:c>
    </ns0:row>
    <ns0:row r="26" ht="23" customHeight="1">
      <ns0:c r="B26" s="10" t="str">
        <ns0:v>APP000021</ns0:v>
      </ns0:c>
      <ns0:c r="C26" s="10" t="str">
        <ns0:v>000021</ns0:v>
      </ns0:c>
      <ns0:c r="D26" s="8" t="str">
        <ns0:v>품질</ns0:v>
      </ns0:c>
      <ns0:c r="E26" s="8" t="str">
        <ns0:v>C09</ns0:v>
      </ns0:c>
      <ns0:c r="F26" s="12" t="d">
        <ns0:v>2026-10-21T00:00:00.000Z</ns0:v>
      </ns0:c>
      <ns0:c r="G26" s="8" t="n">
        <ns0:v>2</ns0:v>
      </ns0:c>
      <ns0:c r="H26" s="8" t="str">
        <ns0:v>승인</ns0:v>
      </ns0:c>
      <ns0:c r="I26" s="14" t="n">
        <ns0:v>0</ns0:v>
      </ns0:c>
      <ns0:c r="J26" s="16"/>
      <ns0:c r="K26" s="8" t="n">
        <ns0:v>1</ns0:v>
      </ns0:c>
      <ns0:c r="L26" s="8"/>
      <ns0:c r="M26" s="8" t="str">
        <ns0:v>A</ns0:v>
      </ns0:c>
    </ns0:row>
    <ns0:row r="27" ht="23" customHeight="1">
      <ns0:c r="B27" s="10" t="str">
        <ns0:v>APP000022</ns0:v>
      </ns0:c>
      <ns0:c r="C27" s="10" t="str">
        <ns0:v>000022</ns0:v>
      </ns0:c>
      <ns0:c r="D27" s="8" t="str">
        <ns0:v>기획</ns0:v>
      </ns0:c>
      <ns0:c r="E27" s="8" t="str">
        <ns0:v>C04</ns0:v>
      </ns0:c>
      <ns0:c r="F27" s="12" t="d">
        <ns0:v>2026-10-22T00:00:00.000Z</ns0:v>
      </ns0:c>
      <ns0:c r="G27" s="8" t="n">
        <ns0:v>3</ns0:v>
      </ns0:c>
      <ns0:c r="H27" s="8" t="str">
        <ns0:v>대기</ns0:v>
      </ns0:c>
      <ns0:c r="I27" s="14" t="n">
        <ns0:v>0.05</ns0:v>
      </ns0:c>
      <ns0:c r="J27" s="16"/>
      <ns0:c r="K27" s="8" t="n">
        <ns0:v>1</ns0:v>
      </ns0:c>
      <ns0:c r="L27" s="8"/>
      <ns0:c r="M27" s="8" t="str">
        <ns0:v>A</ns0:v>
      </ns0:c>
    </ns0:row>
    <ns0:row r="28" ht="23" customHeight="1">
      <ns0:c r="B28" s="10" t="str">
        <ns0:v>APP000023</ns0:v>
      </ns0:c>
      <ns0:c r="C28" s="10" t="str">
        <ns0:v>000023</ns0:v>
      </ns0:c>
      <ns0:c r="D28" s="8" t="str">
        <ns0:v>영업</ns0:v>
      </ns0:c>
      <ns0:c r="E28" s="8" t="str">
        <ns0:v>C11</ns0:v>
      </ns0:c>
      <ns0:c r="F28" s="12" t="d">
        <ns0:v>2026-10-23T00:00:00.000Z</ns0:v>
      </ns0:c>
      <ns0:c r="G28" s="8" t="n">
        <ns0:v>4</ns0:v>
      </ns0:c>
      <ns0:c r="H28" s="8" t="str">
        <ns0:v>취소</ns0:v>
      </ns0:c>
      <ns0:c r="I28" s="14" t="n">
        <ns0:v>0.1</ns0:v>
      </ns0:c>
      <ns0:c r="J28" s="16"/>
      <ns0:c r="K28" s="8" t="n">
        <ns0:v>1</ns0:v>
      </ns0:c>
      <ns0:c r="L28" s="8"/>
      <ns0:c r="M28" s="8" t="str">
        <ns0:v>A</ns0:v>
      </ns0:c>
    </ns0:row>
    <ns0:row r="29" ht="23" customHeight="1">
      <ns0:c r="B29" s="10" t="str">
        <ns0:v>APP000024</ns0:v>
      </ns0:c>
      <ns0:c r="C29" s="10" t="str">
        <ns0:v>000024</ns0:v>
      </ns0:c>
      <ns0:c r="D29" s="8" t="str">
        <ns0:v>지원</ns0:v>
      </ns0:c>
      <ns0:c r="E29" s="8" t="str">
        <ns0:v>C06</ns0:v>
      </ns0:c>
      <ns0:c r="F29" s="12" t="d">
        <ns0:v>2026-10-24T00:00:00.000Z</ns0:v>
      </ns0:c>
      <ns0:c r="G29" s="8" t="n">
        <ns0:v>5</ns0:v>
      </ns0:c>
      <ns0:c r="H29" s="8" t="str">
        <ns0:v>승인</ns0:v>
      </ns0:c>
      <ns0:c r="I29" s="14" t="n">
        <ns0:v>0.125</ns0:v>
      </ns0:c>
      <ns0:c r="J29" s="16"/>
      <ns0:c r="K29" s="8" t="n">
        <ns0:v>1</ns0:v>
      </ns0:c>
      <ns0:c r="L29" s="8"/>
      <ns0:c r="M29" s="8" t="str">
        <ns0:v>A</ns0:v>
      </ns0:c>
    </ns0:row>
    <ns0:row r="30" ht="23" customHeight="1">
      <ns0:c r="B30" s="10" t="str">
        <ns0:v>APP000025</ns0:v>
      </ns0:c>
      <ns0:c r="C30" s="10" t="str">
        <ns0:v>000025</ns0:v>
      </ns0:c>
      <ns0:c r="D30" s="8" t="str">
        <ns0:v>개발</ns0:v>
      </ns0:c>
      <ns0:c r="E30" s="8" t="str">
        <ns0:v>C01</ns0:v>
      </ns0:c>
      <ns0:c r="F30" s="12" t="d">
        <ns0:v>2026-10-25T00:00:00.000Z</ns0:v>
      </ns0:c>
      <ns0:c r="G30" s="8" t="n">
        <ns0:v>0</ns0:v>
      </ns0:c>
      <ns0:c r="H30" s="8" t="str">
        <ns0:v>승인</ns0:v>
      </ns0:c>
      <ns0:c r="I30" s="14" t="n">
        <ns0:v>0</ns0:v>
      </ns0:c>
      <ns0:c r="J30" s="16"/>
      <ns0:c r="K30" s="8" t="n">
        <ns0:v>1</ns0:v>
      </ns0:c>
      <ns0:c r="L30" s="8"/>
      <ns0:c r="M30" s="8" t="str">
        <ns0:v>A</ns0:v>
      </ns0:c>
    </ns0:row>
    <ns0:row r="31" ht="23" customHeight="1">
      <ns0:c r="B31" s="10" t="str">
        <ns0:v>APP000026</ns0:v>
      </ns0:c>
      <ns0:c r="C31" s="10" t="str">
        <ns0:v>000026</ns0:v>
      </ns0:c>
      <ns0:c r="D31" s="8" t="str">
        <ns0:v>생산</ns0:v>
      </ns0:c>
      <ns0:c r="E31" s="8" t="str">
        <ns0:v>C08</ns0:v>
      </ns0:c>
      <ns0:c r="F31" s="12" t="d">
        <ns0:v>2026-10-26T00:00:00.000Z</ns0:v>
      </ns0:c>
      <ns0:c r="G31" s="8" t="n">
        <ns0:v>1</ns0:v>
      </ns0:c>
      <ns0:c r="H31" s="8" t="str">
        <ns0:v>승인</ns0:v>
      </ns0:c>
      <ns0:c r="I31" s="14" t="n">
        <ns0:v>0.05</ns0:v>
      </ns0:c>
      <ns0:c r="J31" s="16"/>
      <ns0:c r="K31" s="8" t="n">
        <ns0:v>1</ns0:v>
      </ns0:c>
      <ns0:c r="L31" s="8"/>
      <ns0:c r="M31" s="8" t="str">
        <ns0:v>A</ns0:v>
      </ns0:c>
    </ns0:row>
    <ns0:row r="32" ht="23" customHeight="1">
      <ns0:c r="B32" s="10" t="str">
        <ns0:v>APP000027</ns0:v>
      </ns0:c>
      <ns0:c r="C32" s="10" t="str">
        <ns0:v>000027</ns0:v>
      </ns0:c>
      <ns0:c r="D32" s="8" t="str">
        <ns0:v>품질</ns0:v>
      </ns0:c>
      <ns0:c r="E32" s="8" t="str">
        <ns0:v>C03</ns0:v>
      </ns0:c>
      <ns0:c r="F32" s="12" t="d">
        <ns0:v>2026-10-27T00:00:00.000Z</ns0:v>
      </ns0:c>
      <ns0:c r="G32" s="8" t="n">
        <ns0:v>2</ns0:v>
      </ns0:c>
      <ns0:c r="H32" s="8" t="str">
        <ns0:v>승인</ns0:v>
      </ns0:c>
      <ns0:c r="I32" s="14" t="n">
        <ns0:v>0.1</ns0:v>
      </ns0:c>
      <ns0:c r="J32" s="16"/>
      <ns0:c r="K32" s="8" t="n">
        <ns0:v>1</ns0:v>
      </ns0:c>
      <ns0:c r="L32" s="8"/>
      <ns0:c r="M32" s="8" t="str">
        <ns0:v>A</ns0:v>
      </ns0:c>
    </ns0:row>
    <ns0:row r="33" ht="23" customHeight="1">
      <ns0:c r="B33" s="10" t="str">
        <ns0:v>APP000028</ns0:v>
      </ns0:c>
      <ns0:c r="C33" s="10" t="str">
        <ns0:v>000028</ns0:v>
      </ns0:c>
      <ns0:c r="D33" s="8" t="str">
        <ns0:v>기획</ns0:v>
      </ns0:c>
      <ns0:c r="E33" s="8" t="str">
        <ns0:v>C10</ns0:v>
      </ns0:c>
      <ns0:c r="F33" s="12" t="d">
        <ns0:v>2026-10-28T00:00:00.000Z</ns0:v>
      </ns0:c>
      <ns0:c r="G33" s="8" t="n">
        <ns0:v>3</ns0:v>
      </ns0:c>
      <ns0:c r="H33" s="8" t="str">
        <ns0:v>승인</ns0:v>
      </ns0:c>
      <ns0:c r="I33" s="14" t="n">
        <ns0:v>0.125</ns0:v>
      </ns0:c>
      <ns0:c r="J33" s="16"/>
      <ns0:c r="K33" s="8" t="n">
        <ns0:v>1</ns0:v>
      </ns0:c>
      <ns0:c r="L33" s="8"/>
      <ns0:c r="M33" s="8" t="str">
        <ns0:v>A</ns0:v>
      </ns0:c>
    </ns0:row>
    <ns0:row r="34" ht="23" customHeight="1">
      <ns0:c r="B34" s="10" t="str">
        <ns0:v>APP000029</ns0:v>
      </ns0:c>
      <ns0:c r="C34" s="10" t="str">
        <ns0:v>000029</ns0:v>
      </ns0:c>
      <ns0:c r="D34" s="8" t="str">
        <ns0:v>영업</ns0:v>
      </ns0:c>
      <ns0:c r="E34" s="8" t="str">
        <ns0:v>C05</ns0:v>
      </ns0:c>
      <ns0:c r="F34" s="12" t="d">
        <ns0:v>2026-10-01T00:00:00.000Z</ns0:v>
      </ns0:c>
      <ns0:c r="G34" s="8" t="n">
        <ns0:v>4</ns0:v>
      </ns0:c>
      <ns0:c r="H34" s="8" t="str">
        <ns0:v>대기</ns0:v>
      </ns0:c>
      <ns0:c r="I34" s="14" t="n">
        <ns0:v>0</ns0:v>
      </ns0:c>
      <ns0:c r="J34" s="16"/>
      <ns0:c r="K34" s="8" t="n">
        <ns0:v>1</ns0:v>
      </ns0:c>
      <ns0:c r="L34" s="8"/>
      <ns0:c r="M34" s="8" t="str">
        <ns0:v>A</ns0:v>
      </ns0:c>
    </ns0:row>
    <ns0:row r="35" ht="23" customHeight="1">
      <ns0:c r="B35" s="10" t="str">
        <ns0:v>APP000030</ns0:v>
      </ns0:c>
      <ns0:c r="C35" s="10" t="str">
        <ns0:v>000030</ns0:v>
      </ns0:c>
      <ns0:c r="D35" s="8" t="str">
        <ns0:v>지원</ns0:v>
      </ns0:c>
      <ns0:c r="E35" s="8" t="str">
        <ns0:v>C12</ns0:v>
      </ns0:c>
      <ns0:c r="F35" s="12" t="d">
        <ns0:v>2026-10-02T00:00:00.000Z</ns0:v>
      </ns0:c>
      <ns0:c r="G35" s="8" t="n">
        <ns0:v>5</ns0:v>
      </ns0:c>
      <ns0:c r="H35" s="8" t="str">
        <ns0:v>승인</ns0:v>
      </ns0:c>
      <ns0:c r="I35" s="14" t="n">
        <ns0:v>0.05</ns0:v>
      </ns0:c>
      <ns0:c r="J35" s="16"/>
      <ns0:c r="K35" s="8" t="n">
        <ns0:v>1</ns0:v>
      </ns0:c>
      <ns0:c r="L35" s="8"/>
      <ns0:c r="M35" s="8" t="str">
        <ns0:v>A</ns0:v>
      </ns0:c>
    </ns0:row>
    <ns0:row r="36" ht="23" customHeight="1">
      <ns0:c r="B36" s="10" t="str">
        <ns0:v>APP000031</ns0:v>
      </ns0:c>
      <ns0:c r="C36" s="10" t="str">
        <ns0:v>000031</ns0:v>
      </ns0:c>
      <ns0:c r="D36" s="8" t="str">
        <ns0:v>개발</ns0:v>
      </ns0:c>
      <ns0:c r="E36" s="8" t="str">
        <ns0:v>C07</ns0:v>
      </ns0:c>
      <ns0:c r="F36" s="12" t="d">
        <ns0:v>2026-10-03T00:00:00.000Z</ns0:v>
      </ns0:c>
      <ns0:c r="G36" s="8" t="n">
        <ns0:v>0</ns0:v>
      </ns0:c>
      <ns0:c r="H36" s="8" t="str">
        <ns0:v>승인</ns0:v>
      </ns0:c>
      <ns0:c r="I36" s="14" t="n">
        <ns0:v>0.1</ns0:v>
      </ns0:c>
      <ns0:c r="J36" s="16"/>
      <ns0:c r="K36" s="8" t="n">
        <ns0:v>1</ns0:v>
      </ns0:c>
      <ns0:c r="L36" s="8"/>
      <ns0:c r="M36" s="8" t="str">
        <ns0:v>A</ns0:v>
      </ns0:c>
    </ns0:row>
    <ns0:row r="37" ht="23" customHeight="1">
      <ns0:c r="B37" s="10" t="str">
        <ns0:v>APP000032</ns0:v>
      </ns0:c>
      <ns0:c r="C37" s="10" t="str">
        <ns0:v>000032</ns0:v>
      </ns0:c>
      <ns0:c r="D37" s="8" t="str">
        <ns0:v>생산</ns0:v>
      </ns0:c>
      <ns0:c r="E37" s="8" t="str">
        <ns0:v>C02</ns0:v>
      </ns0:c>
      <ns0:c r="F37" s="12" t="d">
        <ns0:v>2026-10-04T00:00:00.000Z</ns0:v>
      </ns0:c>
      <ns0:c r="G37" s="8" t="n">
        <ns0:v>1</ns0:v>
      </ns0:c>
      <ns0:c r="H37" s="8" t="str">
        <ns0:v>승인</ns0:v>
      </ns0:c>
      <ns0:c r="I37" s="14" t="n">
        <ns0:v>0.125</ns0:v>
      </ns0:c>
      <ns0:c r="J37" s="16"/>
      <ns0:c r="K37" s="8" t="n">
        <ns0:v>1</ns0:v>
      </ns0:c>
      <ns0:c r="L37" s="8"/>
      <ns0:c r="M37" s="8" t="str">
        <ns0:v>A</ns0:v>
      </ns0:c>
    </ns0:row>
    <ns0:row r="38" ht="23" customHeight="1">
      <ns0:c r="B38" s="10" t="str">
        <ns0:v>APP000033</ns0:v>
      </ns0:c>
      <ns0:c r="C38" s="10" t="str">
        <ns0:v>000033</ns0:v>
      </ns0:c>
      <ns0:c r="D38" s="8" t="str">
        <ns0:v>품질</ns0:v>
      </ns0:c>
      <ns0:c r="E38" s="8" t="str">
        <ns0:v>C09</ns0:v>
      </ns0:c>
      <ns0:c r="F38" s="12" t="d">
        <ns0:v>2026-10-05T00:00:00.000Z</ns0:v>
      </ns0:c>
      <ns0:c r="G38" s="8" t="n">
        <ns0:v>2</ns0:v>
      </ns0:c>
      <ns0:c r="H38" s="8" t="str">
        <ns0:v>승인</ns0:v>
      </ns0:c>
      <ns0:c r="I38" s="14" t="n">
        <ns0:v>0</ns0:v>
      </ns0:c>
      <ns0:c r="J38" s="16"/>
      <ns0:c r="K38" s="8" t="n">
        <ns0:v>1</ns0:v>
      </ns0:c>
      <ns0:c r="L38" s="8"/>
      <ns0:c r="M38" s="8" t="str">
        <ns0:v>A</ns0:v>
      </ns0:c>
    </ns0:row>
    <ns0:row r="39" ht="23" customHeight="1">
      <ns0:c r="B39" s="10" t="str">
        <ns0:v>APP000034</ns0:v>
      </ns0:c>
      <ns0:c r="C39" s="10" t="str">
        <ns0:v>000034</ns0:v>
      </ns0:c>
      <ns0:c r="D39" s="8" t="str">
        <ns0:v>기획</ns0:v>
      </ns0:c>
      <ns0:c r="E39" s="8" t="str">
        <ns0:v>C04</ns0:v>
      </ns0:c>
      <ns0:c r="F39" s="12" t="d">
        <ns0:v>2026-10-06T00:00:00.000Z</ns0:v>
      </ns0:c>
      <ns0:c r="G39" s="8" t="n">
        <ns0:v>3</ns0:v>
      </ns0:c>
      <ns0:c r="H39" s="8" t="str">
        <ns0:v>취소</ns0:v>
      </ns0:c>
      <ns0:c r="I39" s="14" t="n">
        <ns0:v>0.05</ns0:v>
      </ns0:c>
      <ns0:c r="J39" s="16"/>
      <ns0:c r="K39" s="8" t="n">
        <ns0:v>1</ns0:v>
      </ns0:c>
      <ns0:c r="L39" s="8"/>
      <ns0:c r="M39" s="8" t="str">
        <ns0:v>A</ns0:v>
      </ns0:c>
    </ns0:row>
    <ns0:row r="40" ht="23" customHeight="1">
      <ns0:c r="B40" s="10" t="str">
        <ns0:v>APP000035</ns0:v>
      </ns0:c>
      <ns0:c r="C40" s="10" t="str">
        <ns0:v>000035</ns0:v>
      </ns0:c>
      <ns0:c r="D40" s="8" t="str">
        <ns0:v>영업</ns0:v>
      </ns0:c>
      <ns0:c r="E40" s="8" t="str">
        <ns0:v>C11</ns0:v>
      </ns0:c>
      <ns0:c r="F40" s="12" t="d">
        <ns0:v>2026-10-07T00:00:00.000Z</ns0:v>
      </ns0:c>
      <ns0:c r="G40" s="8" t="n">
        <ns0:v>4</ns0:v>
      </ns0:c>
      <ns0:c r="H40" s="8" t="str">
        <ns0:v>승인</ns0:v>
      </ns0:c>
      <ns0:c r="I40" s="14" t="n">
        <ns0:v>0.1</ns0:v>
      </ns0:c>
      <ns0:c r="J40" s="16"/>
      <ns0:c r="K40" s="8" t="n">
        <ns0:v>1</ns0:v>
      </ns0:c>
      <ns0:c r="L40" s="8"/>
      <ns0:c r="M40" s="8" t="str">
        <ns0:v>A</ns0:v>
      </ns0:c>
    </ns0:row>
    <ns0:row r="41" ht="23" customHeight="1">
      <ns0:c r="B41" s="10" t="str">
        <ns0:v>APP000036</ns0:v>
      </ns0:c>
      <ns0:c r="C41" s="10" t="str">
        <ns0:v>000036</ns0:v>
      </ns0:c>
      <ns0:c r="D41" s="8" t="str">
        <ns0:v>지원</ns0:v>
      </ns0:c>
      <ns0:c r="E41" s="8" t="str">
        <ns0:v>C06</ns0:v>
      </ns0:c>
      <ns0:c r="F41" s="12" t="d">
        <ns0:v>2026-10-08T00:00:00.000Z</ns0:v>
      </ns0:c>
      <ns0:c r="G41" s="8" t="n">
        <ns0:v>5</ns0:v>
      </ns0:c>
      <ns0:c r="H41" s="8" t="str">
        <ns0:v>대기</ns0:v>
      </ns0:c>
      <ns0:c r="I41" s="14" t="n">
        <ns0:v>0.125</ns0:v>
      </ns0:c>
      <ns0:c r="J41" s="16"/>
      <ns0:c r="K41" s="8" t="n">
        <ns0:v>1</ns0:v>
      </ns0:c>
      <ns0:c r="L41" s="8"/>
      <ns0:c r="M41" s="8" t="str">
        <ns0:v>A</ns0:v>
      </ns0:c>
    </ns0:row>
    <ns0:row r="42" ht="23" customHeight="1">
      <ns0:c r="B42" s="10" t="str">
        <ns0:v>APP000037</ns0:v>
      </ns0:c>
      <ns0:c r="C42" s="10" t="str">
        <ns0:v>000037</ns0:v>
      </ns0:c>
      <ns0:c r="D42" s="8" t="str">
        <ns0:v>개발</ns0:v>
      </ns0:c>
      <ns0:c r="E42" s="8" t="str">
        <ns0:v>C01</ns0:v>
      </ns0:c>
      <ns0:c r="F42" s="12" t="d">
        <ns0:v>2026-10-09T00:00:00.000Z</ns0:v>
      </ns0:c>
      <ns0:c r="G42" s="8" t="n">
        <ns0:v>0</ns0:v>
      </ns0:c>
      <ns0:c r="H42" s="8" t="str">
        <ns0:v>승인</ns0:v>
      </ns0:c>
      <ns0:c r="I42" s="14" t="n">
        <ns0:v>0</ns0:v>
      </ns0:c>
      <ns0:c r="J42" s="16"/>
      <ns0:c r="K42" s="8" t="n">
        <ns0:v>1</ns0:v>
      </ns0:c>
      <ns0:c r="L42" s="8"/>
      <ns0:c r="M42" s="8" t="str">
        <ns0:v>A</ns0:v>
      </ns0:c>
    </ns0:row>
    <ns0:row r="43" ht="23" customHeight="1">
      <ns0:c r="B43" s="10" t="str">
        <ns0:v>APP000038</ns0:v>
      </ns0:c>
      <ns0:c r="C43" s="10" t="str">
        <ns0:v>000038</ns0:v>
      </ns0:c>
      <ns0:c r="D43" s="8" t="str">
        <ns0:v>생산</ns0:v>
      </ns0:c>
      <ns0:c r="E43" s="8" t="str">
        <ns0:v>C08</ns0:v>
      </ns0:c>
      <ns0:c r="F43" s="12" t="d">
        <ns0:v>2026-10-10T00:00:00.000Z</ns0:v>
      </ns0:c>
      <ns0:c r="G43" s="8" t="n">
        <ns0:v>1</ns0:v>
      </ns0:c>
      <ns0:c r="H43" s="8" t="str">
        <ns0:v>승인</ns0:v>
      </ns0:c>
      <ns0:c r="I43" s="14" t="n">
        <ns0:v>0.05</ns0:v>
      </ns0:c>
      <ns0:c r="J43" s="16"/>
      <ns0:c r="K43" s="8" t="n">
        <ns0:v>1</ns0:v>
      </ns0:c>
      <ns0:c r="L43" s="8"/>
      <ns0:c r="M43" s="8" t="str">
        <ns0:v>A</ns0:v>
      </ns0:c>
    </ns0:row>
    <ns0:row r="44" ht="23" customHeight="1">
      <ns0:c r="B44" s="10" t="str">
        <ns0:v>APP000039</ns0:v>
      </ns0:c>
      <ns0:c r="C44" s="10" t="str">
        <ns0:v>000039</ns0:v>
      </ns0:c>
      <ns0:c r="D44" s="8" t="str">
        <ns0:v>품질</ns0:v>
      </ns0:c>
      <ns0:c r="E44" s="8" t="str">
        <ns0:v>C03</ns0:v>
      </ns0:c>
      <ns0:c r="F44" s="12" t="d">
        <ns0:v>2026-10-11T00:00:00.000Z</ns0:v>
      </ns0:c>
      <ns0:c r="G44" s="8" t="n">
        <ns0:v>2</ns0:v>
      </ns0:c>
      <ns0:c r="H44" s="8" t="str">
        <ns0:v>승인</ns0:v>
      </ns0:c>
      <ns0:c r="I44" s="14" t="n">
        <ns0:v>0.1</ns0:v>
      </ns0:c>
      <ns0:c r="J44" s="16"/>
      <ns0:c r="K44" s="8" t="n">
        <ns0:v>1</ns0:v>
      </ns0:c>
      <ns0:c r="L44" s="8"/>
      <ns0:c r="M44" s="8" t="str">
        <ns0:v>A</ns0:v>
      </ns0:c>
    </ns0:row>
    <ns0:row r="45" ht="23" customHeight="1">
      <ns0:c r="B45" s="10" t="str">
        <ns0:v>APP000040</ns0:v>
      </ns0:c>
      <ns0:c r="C45" s="10" t="str">
        <ns0:v>000040</ns0:v>
      </ns0:c>
      <ns0:c r="D45" s="8" t="str">
        <ns0:v>기획</ns0:v>
      </ns0:c>
      <ns0:c r="E45" s="8" t="str">
        <ns0:v>C10</ns0:v>
      </ns0:c>
      <ns0:c r="F45" s="12" t="d">
        <ns0:v>2026-10-12T00:00:00.000Z</ns0:v>
      </ns0:c>
      <ns0:c r="G45" s="8" t="n">
        <ns0:v>3</ns0:v>
      </ns0:c>
      <ns0:c r="H45" s="8" t="str">
        <ns0:v>승인</ns0:v>
      </ns0:c>
      <ns0:c r="I45" s="14" t="n">
        <ns0:v>0.125</ns0:v>
      </ns0:c>
      <ns0:c r="J45" s="16"/>
      <ns0:c r="K45" s="8" t="n">
        <ns0:v>1</ns0:v>
      </ns0:c>
      <ns0:c r="L45" s="8"/>
      <ns0:c r="M45" s="8" t="str">
        <ns0:v>A</ns0:v>
      </ns0:c>
    </ns0:row>
    <ns0:row r="46" ht="23" customHeight="1">
      <ns0:c r="B46" s="10" t="str">
        <ns0:v>APP000041</ns0:v>
      </ns0:c>
      <ns0:c r="C46" s="10" t="str">
        <ns0:v>000041</ns0:v>
      </ns0:c>
      <ns0:c r="D46" s="8" t="str">
        <ns0:v>영업</ns0:v>
      </ns0:c>
      <ns0:c r="E46" s="8" t="str">
        <ns0:v>C05</ns0:v>
      </ns0:c>
      <ns0:c r="F46" s="12" t="d">
        <ns0:v>2026-10-13T00:00:00.000Z</ns0:v>
      </ns0:c>
      <ns0:c r="G46" s="8" t="n">
        <ns0:v>4</ns0:v>
      </ns0:c>
      <ns0:c r="H46" s="8" t="str">
        <ns0:v>승인</ns0:v>
      </ns0:c>
      <ns0:c r="I46" s="14" t="n">
        <ns0:v>0</ns0:v>
      </ns0:c>
      <ns0:c r="J46" s="16"/>
      <ns0:c r="K46" s="8" t="n">
        <ns0:v>1</ns0:v>
      </ns0:c>
      <ns0:c r="L46" s="8"/>
      <ns0:c r="M46" s="8" t="str">
        <ns0:v>A</ns0:v>
      </ns0:c>
    </ns0:row>
    <ns0:row r="47" ht="23" customHeight="1">
      <ns0:c r="B47" s="10" t="str">
        <ns0:v>APP000042</ns0:v>
      </ns0:c>
      <ns0:c r="C47" s="10" t="str">
        <ns0:v>000042</ns0:v>
      </ns0:c>
      <ns0:c r="D47" s="8" t="str">
        <ns0:v>지원</ns0:v>
      </ns0:c>
      <ns0:c r="E47" s="8" t="str">
        <ns0:v>C12</ns0:v>
      </ns0:c>
      <ns0:c r="F47" s="12" t="d">
        <ns0:v>2026-10-14T00:00:00.000Z</ns0:v>
      </ns0:c>
      <ns0:c r="G47" s="8" t="n">
        <ns0:v>5</ns0:v>
      </ns0:c>
      <ns0:c r="H47" s="8" t="str">
        <ns0:v>승인</ns0:v>
      </ns0:c>
      <ns0:c r="I47" s="14" t="n">
        <ns0:v>0.05</ns0:v>
      </ns0:c>
      <ns0:c r="J47" s="16"/>
      <ns0:c r="K47" s="8" t="n">
        <ns0:v>1</ns0:v>
      </ns0:c>
      <ns0:c r="L47" s="8"/>
      <ns0:c r="M47" s="8" t="str">
        <ns0:v>A</ns0:v>
      </ns0:c>
    </ns0:row>
    <ns0:row r="48" ht="23" customHeight="1">
      <ns0:c r="B48" s="10" t="str">
        <ns0:v>APP000043</ns0:v>
      </ns0:c>
      <ns0:c r="C48" s="10" t="str">
        <ns0:v>000043</ns0:v>
      </ns0:c>
      <ns0:c r="D48" s="8" t="str">
        <ns0:v>개발</ns0:v>
      </ns0:c>
      <ns0:c r="E48" s="8" t="str">
        <ns0:v>C07</ns0:v>
      </ns0:c>
      <ns0:c r="F48" s="12" t="d">
        <ns0:v>2026-10-15T00:00:00.000Z</ns0:v>
      </ns0:c>
      <ns0:c r="G48" s="8" t="n">
        <ns0:v>0</ns0:v>
      </ns0:c>
      <ns0:c r="H48" s="8" t="str">
        <ns0:v>대기</ns0:v>
      </ns0:c>
      <ns0:c r="I48" s="14" t="n">
        <ns0:v>0.1</ns0:v>
      </ns0:c>
      <ns0:c r="J48" s="16"/>
      <ns0:c r="K48" s="8" t="n">
        <ns0:v>1</ns0:v>
      </ns0:c>
      <ns0:c r="L48" s="8"/>
      <ns0:c r="M48" s="8" t="str">
        <ns0:v>A</ns0:v>
      </ns0:c>
    </ns0:row>
    <ns0:row r="49" ht="23" customHeight="1">
      <ns0:c r="B49" s="10" t="str">
        <ns0:v>APP000044</ns0:v>
      </ns0:c>
      <ns0:c r="C49" s="10" t="str">
        <ns0:v>000044</ns0:v>
      </ns0:c>
      <ns0:c r="D49" s="8" t="str">
        <ns0:v>생산</ns0:v>
      </ns0:c>
      <ns0:c r="E49" s="8" t="str">
        <ns0:v>C02</ns0:v>
      </ns0:c>
      <ns0:c r="F49" s="12" t="d">
        <ns0:v>2026-10-16T00:00:00.000Z</ns0:v>
      </ns0:c>
      <ns0:c r="G49" s="8" t="n">
        <ns0:v>1</ns0:v>
      </ns0:c>
      <ns0:c r="H49" s="8" t="str">
        <ns0:v>승인</ns0:v>
      </ns0:c>
      <ns0:c r="I49" s="14" t="n">
        <ns0:v>0.125</ns0:v>
      </ns0:c>
      <ns0:c r="J49" s="16"/>
      <ns0:c r="K49" s="8" t="n">
        <ns0:v>1</ns0:v>
      </ns0:c>
      <ns0:c r="L49" s="8"/>
      <ns0:c r="M49" s="8" t="str">
        <ns0:v>A</ns0:v>
      </ns0:c>
    </ns0:row>
    <ns0:row r="50" ht="23" customHeight="1">
      <ns0:c r="B50" s="10" t="str">
        <ns0:v>APP000045</ns0:v>
      </ns0:c>
      <ns0:c r="C50" s="10" t="str">
        <ns0:v>000045</ns0:v>
      </ns0:c>
      <ns0:c r="D50" s="8" t="str">
        <ns0:v>품질</ns0:v>
      </ns0:c>
      <ns0:c r="E50" s="8" t="str">
        <ns0:v>C09</ns0:v>
      </ns0:c>
      <ns0:c r="F50" s="12" t="d">
        <ns0:v>2026-10-17T00:00:00.000Z</ns0:v>
      </ns0:c>
      <ns0:c r="G50" s="8" t="n">
        <ns0:v>2</ns0:v>
      </ns0:c>
      <ns0:c r="H50" s="8" t="str">
        <ns0:v>취소</ns0:v>
      </ns0:c>
      <ns0:c r="I50" s="14" t="n">
        <ns0:v>0</ns0:v>
      </ns0:c>
      <ns0:c r="J50" s="16"/>
      <ns0:c r="K50" s="8" t="n">
        <ns0:v>1</ns0:v>
      </ns0:c>
      <ns0:c r="L50" s="8"/>
      <ns0:c r="M50" s="8" t="str">
        <ns0:v>A</ns0:v>
      </ns0:c>
    </ns0:row>
    <ns0:row r="51" ht="23" customHeight="1">
      <ns0:c r="B51" s="10" t="str">
        <ns0:v>APP000046</ns0:v>
      </ns0:c>
      <ns0:c r="C51" s="10" t="str">
        <ns0:v>000046</ns0:v>
      </ns0:c>
      <ns0:c r="D51" s="8" t="str">
        <ns0:v>기획</ns0:v>
      </ns0:c>
      <ns0:c r="E51" s="8" t="str">
        <ns0:v>C04</ns0:v>
      </ns0:c>
      <ns0:c r="F51" s="12" t="d">
        <ns0:v>2026-10-18T00:00:00.000Z</ns0:v>
      </ns0:c>
      <ns0:c r="G51" s="8" t="n">
        <ns0:v>3</ns0:v>
      </ns0:c>
      <ns0:c r="H51" s="8" t="str">
        <ns0:v>승인</ns0:v>
      </ns0:c>
      <ns0:c r="I51" s="14" t="n">
        <ns0:v>0.05</ns0:v>
      </ns0:c>
      <ns0:c r="J51" s="16"/>
      <ns0:c r="K51" s="8" t="n">
        <ns0:v>1</ns0:v>
      </ns0:c>
      <ns0:c r="L51" s="8"/>
      <ns0:c r="M51" s="8" t="str">
        <ns0:v>A</ns0:v>
      </ns0:c>
    </ns0:row>
    <ns0:row r="52" ht="23" customHeight="1">
      <ns0:c r="B52" s="10" t="str">
        <ns0:v>APP000047</ns0:v>
      </ns0:c>
      <ns0:c r="C52" s="10" t="str">
        <ns0:v>000047</ns0:v>
      </ns0:c>
      <ns0:c r="D52" s="8" t="str">
        <ns0:v>영업</ns0:v>
      </ns0:c>
      <ns0:c r="E52" s="8" t="str">
        <ns0:v>C11</ns0:v>
      </ns0:c>
      <ns0:c r="F52" s="12" t="d">
        <ns0:v>2026-10-19T00:00:00.000Z</ns0:v>
      </ns0:c>
      <ns0:c r="G52" s="8" t="n">
        <ns0:v>4</ns0:v>
      </ns0:c>
      <ns0:c r="H52" s="8" t="str">
        <ns0:v>승인</ns0:v>
      </ns0:c>
      <ns0:c r="I52" s="14" t="n">
        <ns0:v>0.1</ns0:v>
      </ns0:c>
      <ns0:c r="J52" s="16"/>
      <ns0:c r="K52" s="8" t="n">
        <ns0:v>1</ns0:v>
      </ns0:c>
      <ns0:c r="L52" s="8"/>
      <ns0:c r="M52" s="8" t="str">
        <ns0:v>A</ns0:v>
      </ns0:c>
    </ns0:row>
    <ns0:row r="53" ht="23" customHeight="1">
      <ns0:c r="B53" s="10" t="str">
        <ns0:v>APP000048</ns0:v>
      </ns0:c>
      <ns0:c r="C53" s="10" t="str">
        <ns0:v>000048</ns0:v>
      </ns0:c>
      <ns0:c r="D53" s="8" t="str">
        <ns0:v>지원</ns0:v>
      </ns0:c>
      <ns0:c r="E53" s="8" t="str">
        <ns0:v>C06</ns0:v>
      </ns0:c>
      <ns0:c r="F53" s="12" t="d">
        <ns0:v>2026-10-20T00:00:00.000Z</ns0:v>
      </ns0:c>
      <ns0:c r="G53" s="8" t="n">
        <ns0:v>5</ns0:v>
      </ns0:c>
      <ns0:c r="H53" s="8" t="str">
        <ns0:v>승인</ns0:v>
      </ns0:c>
      <ns0:c r="I53" s="14" t="n">
        <ns0:v>0.125</ns0:v>
      </ns0:c>
      <ns0:c r="J53" s="16"/>
      <ns0:c r="K53" s="8" t="n">
        <ns0:v>1</ns0:v>
      </ns0:c>
      <ns0:c r="L53" s="8"/>
      <ns0:c r="M53" s="8" t="str">
        <ns0:v>A</ns0:v>
      </ns0:c>
    </ns0:row>
    <ns0:row r="54" ht="23" customHeight="1">
      <ns0:c r="B54" s="10" t="str">
        <ns0:v>APP000049</ns0:v>
      </ns0:c>
      <ns0:c r="C54" s="10" t="str">
        <ns0:v>000049</ns0:v>
      </ns0:c>
      <ns0:c r="D54" s="8" t="str">
        <ns0:v>개발</ns0:v>
      </ns0:c>
      <ns0:c r="E54" s="8" t="str">
        <ns0:v>C01</ns0:v>
      </ns0:c>
      <ns0:c r="F54" s="12" t="d">
        <ns0:v>2026-10-21T00:00:00.000Z</ns0:v>
      </ns0:c>
      <ns0:c r="G54" s="8" t="n">
        <ns0:v>0</ns0:v>
      </ns0:c>
      <ns0:c r="H54" s="8" t="str">
        <ns0:v>승인</ns0:v>
      </ns0:c>
      <ns0:c r="I54" s="14" t="n">
        <ns0:v>0</ns0:v>
      </ns0:c>
      <ns0:c r="J54" s="16"/>
      <ns0:c r="K54" s="8" t="n">
        <ns0:v>1</ns0:v>
      </ns0:c>
      <ns0:c r="L54" s="8"/>
      <ns0:c r="M54" s="8" t="str">
        <ns0:v>A</ns0:v>
      </ns0:c>
    </ns0:row>
    <ns0:row r="55" ht="23" customHeight="1">
      <ns0:c r="B55" s="10" t="str">
        <ns0:v>APP000050</ns0:v>
      </ns0:c>
      <ns0:c r="C55" s="10" t="str">
        <ns0:v>000050</ns0:v>
      </ns0:c>
      <ns0:c r="D55" s="8" t="str">
        <ns0:v>생산</ns0:v>
      </ns0:c>
      <ns0:c r="E55" s="8" t="str">
        <ns0:v>C08</ns0:v>
      </ns0:c>
      <ns0:c r="F55" s="12" t="d">
        <ns0:v>2026-10-22T00:00:00.000Z</ns0:v>
      </ns0:c>
      <ns0:c r="G55" s="8" t="n">
        <ns0:v>1</ns0:v>
      </ns0:c>
      <ns0:c r="H55" s="8" t="str">
        <ns0:v>대기</ns0:v>
      </ns0:c>
      <ns0:c r="I55" s="14" t="n">
        <ns0:v>0.05</ns0:v>
      </ns0:c>
      <ns0:c r="J55" s="16"/>
      <ns0:c r="K55" s="8" t="n">
        <ns0:v>1</ns0:v>
      </ns0:c>
      <ns0:c r="L55" s="8"/>
      <ns0:c r="M55" s="8" t="str">
        <ns0:v>A</ns0:v>
      </ns0:c>
    </ns0:row>
    <ns0:row r="56" ht="23" customHeight="1">
      <ns0:c r="B56" s="10" t="str">
        <ns0:v>APP000051</ns0:v>
      </ns0:c>
      <ns0:c r="C56" s="10" t="str">
        <ns0:v>000051</ns0:v>
      </ns0:c>
      <ns0:c r="D56" s="8" t="str">
        <ns0:v>품질</ns0:v>
      </ns0:c>
      <ns0:c r="E56" s="8" t="str">
        <ns0:v>C03</ns0:v>
      </ns0:c>
      <ns0:c r="F56" s="12" t="d">
        <ns0:v>2026-10-23T00:00:00.000Z</ns0:v>
      </ns0:c>
      <ns0:c r="G56" s="8" t="n">
        <ns0:v>2</ns0:v>
      </ns0:c>
      <ns0:c r="H56" s="8" t="str">
        <ns0:v>승인</ns0:v>
      </ns0:c>
      <ns0:c r="I56" s="14" t="n">
        <ns0:v>0.1</ns0:v>
      </ns0:c>
      <ns0:c r="J56" s="16"/>
      <ns0:c r="K56" s="8" t="n">
        <ns0:v>1</ns0:v>
      </ns0:c>
      <ns0:c r="L56" s="8"/>
      <ns0:c r="M56" s="8" t="str">
        <ns0:v>A</ns0:v>
      </ns0:c>
    </ns0:row>
    <ns0:row r="57" ht="23" customHeight="1">
      <ns0:c r="B57" s="10" t="str">
        <ns0:v>APP000052</ns0:v>
      </ns0:c>
      <ns0:c r="C57" s="10" t="str">
        <ns0:v>000052</ns0:v>
      </ns0:c>
      <ns0:c r="D57" s="8" t="str">
        <ns0:v>기획</ns0:v>
      </ns0:c>
      <ns0:c r="E57" s="8" t="str">
        <ns0:v>C10</ns0:v>
      </ns0:c>
      <ns0:c r="F57" s="12" t="d">
        <ns0:v>2026-10-24T00:00:00.000Z</ns0:v>
      </ns0:c>
      <ns0:c r="G57" s="8" t="n">
        <ns0:v>3</ns0:v>
      </ns0:c>
      <ns0:c r="H57" s="8" t="str">
        <ns0:v>승인</ns0:v>
      </ns0:c>
      <ns0:c r="I57" s="14" t="n">
        <ns0:v>0.125</ns0:v>
      </ns0:c>
      <ns0:c r="J57" s="16"/>
      <ns0:c r="K57" s="8" t="n">
        <ns0:v>1</ns0:v>
      </ns0:c>
      <ns0:c r="L57" s="8"/>
      <ns0:c r="M57" s="8" t="str">
        <ns0:v>A</ns0:v>
      </ns0:c>
    </ns0:row>
    <ns0:row r="58" ht="23" customHeight="1">
      <ns0:c r="B58" s="10" t="str">
        <ns0:v>APP000053</ns0:v>
      </ns0:c>
      <ns0:c r="C58" s="10" t="str">
        <ns0:v>000053</ns0:v>
      </ns0:c>
      <ns0:c r="D58" s="8" t="str">
        <ns0:v>영업</ns0:v>
      </ns0:c>
      <ns0:c r="E58" s="8" t="str">
        <ns0:v>C05</ns0:v>
      </ns0:c>
      <ns0:c r="F58" s="12" t="d">
        <ns0:v>2026-10-25T00:00:00.000Z</ns0:v>
      </ns0:c>
      <ns0:c r="G58" s="8" t="n">
        <ns0:v>4</ns0:v>
      </ns0:c>
      <ns0:c r="H58" s="8" t="str">
        <ns0:v>승인</ns0:v>
      </ns0:c>
      <ns0:c r="I58" s="14" t="n">
        <ns0:v>0</ns0:v>
      </ns0:c>
      <ns0:c r="J58" s="16"/>
      <ns0:c r="K58" s="8" t="n">
        <ns0:v>1</ns0:v>
      </ns0:c>
      <ns0:c r="L58" s="8"/>
      <ns0:c r="M58" s="8" t="str">
        <ns0:v>A</ns0:v>
      </ns0:c>
    </ns0:row>
    <ns0:row r="59" ht="23" customHeight="1">
      <ns0:c r="B59" s="10" t="str">
        <ns0:v>APP000054</ns0:v>
      </ns0:c>
      <ns0:c r="C59" s="10" t="str">
        <ns0:v>000054</ns0:v>
      </ns0:c>
      <ns0:c r="D59" s="8" t="str">
        <ns0:v>지원</ns0:v>
      </ns0:c>
      <ns0:c r="E59" s="8" t="str">
        <ns0:v>C12</ns0:v>
      </ns0:c>
      <ns0:c r="F59" s="12" t="d">
        <ns0:v>2026-10-26T00:00:00.000Z</ns0:v>
      </ns0:c>
      <ns0:c r="G59" s="8" t="n">
        <ns0:v>5</ns0:v>
      </ns0:c>
      <ns0:c r="H59" s="8" t="str">
        <ns0:v>승인</ns0:v>
      </ns0:c>
      <ns0:c r="I59" s="14" t="n">
        <ns0:v>0.05</ns0:v>
      </ns0:c>
      <ns0:c r="J59" s="16" t="n">
        <ns0:v>0</ns0:v>
      </ns0:c>
      <ns0:c r="K59" s="8" t="n">
        <ns0:v>1</ns0:v>
      </ns0:c>
      <ns0:c r="L59" s="8" t="str">
        <ns0:v>0원 수동금액 유지</ns0:v>
      </ns0:c>
      <ns0:c r="M59" s="8" t="str">
        <ns0:v>A</ns0:v>
      </ns0:c>
    </ns0:row>
    <ns0:row r="60" ht="23" customHeight="1">
      <ns0:c r="B60" s="10" t="str">
        <ns0:v>APP000055</ns0:v>
      </ns0:c>
      <ns0:c r="C60" s="10" t="str">
        <ns0:v>000055</ns0:v>
      </ns0:c>
      <ns0:c r="D60" s="8" t="str">
        <ns0:v>개발</ns0:v>
      </ns0:c>
      <ns0:c r="E60" s="8" t="str">
        <ns0:v>C07</ns0:v>
      </ns0:c>
      <ns0:c r="F60" s="12" t="d">
        <ns0:v>2026-10-27T00:00:00.000Z</ns0:v>
      </ns0:c>
      <ns0:c r="G60" s="8" t="n">
        <ns0:v>0</ns0:v>
      </ns0:c>
      <ns0:c r="H60" s="8" t="str">
        <ns0:v>승인</ns0:v>
      </ns0:c>
      <ns0:c r="I60" s="14" t="n">
        <ns0:v>0.1</ns0:v>
      </ns0:c>
      <ns0:c r="J60" s="16"/>
      <ns0:c r="K60" s="8" t="n">
        <ns0:v>1</ns0:v>
      </ns0:c>
      <ns0:c r="L60" s="8"/>
      <ns0:c r="M60" s="8" t="str">
        <ns0:v>A</ns0:v>
      </ns0:c>
    </ns0:row>
    <ns0:row r="61" ht="23" customHeight="1">
      <ns0:c r="B61" s="10" t="str">
        <ns0:v>APP000056</ns0:v>
      </ns0:c>
      <ns0:c r="C61" s="10" t="str">
        <ns0:v>000056</ns0:v>
      </ns0:c>
      <ns0:c r="D61" s="8" t="str">
        <ns0:v>생산</ns0:v>
      </ns0:c>
      <ns0:c r="E61" s="8" t="str">
        <ns0:v>C02</ns0:v>
      </ns0:c>
      <ns0:c r="F61" s="12" t="d">
        <ns0:v>2026-10-28T00:00:00.000Z</ns0:v>
      </ns0:c>
      <ns0:c r="G61" s="8" t="n">
        <ns0:v>1</ns0:v>
      </ns0:c>
      <ns0:c r="H61" s="8" t="str">
        <ns0:v>취소</ns0:v>
      </ns0:c>
      <ns0:c r="I61" s="14" t="n">
        <ns0:v>0.125</ns0:v>
      </ns0:c>
      <ns0:c r="J61" s="16"/>
      <ns0:c r="K61" s="8" t="n">
        <ns0:v>1</ns0:v>
      </ns0:c>
      <ns0:c r="L61" s="8"/>
      <ns0:c r="M61" s="8" t="str">
        <ns0:v>A</ns0:v>
      </ns0:c>
    </ns0:row>
    <ns0:row r="62" ht="23" customHeight="1">
      <ns0:c r="B62" s="10" t="str">
        <ns0:v>APP000057</ns0:v>
      </ns0:c>
      <ns0:c r="C62" s="10" t="str">
        <ns0:v>000057</ns0:v>
      </ns0:c>
      <ns0:c r="D62" s="8" t="str">
        <ns0:v>품질</ns0:v>
      </ns0:c>
      <ns0:c r="E62" s="8" t="str">
        <ns0:v>C09</ns0:v>
      </ns0:c>
      <ns0:c r="F62" s="12" t="d">
        <ns0:v>2026-10-01T00:00:00.000Z</ns0:v>
      </ns0:c>
      <ns0:c r="G62" s="8" t="n">
        <ns0:v>2</ns0:v>
      </ns0:c>
      <ns0:c r="H62" s="8" t="str">
        <ns0:v>대기</ns0:v>
      </ns0:c>
      <ns0:c r="I62" s="14" t="n">
        <ns0:v>0</ns0:v>
      </ns0:c>
      <ns0:c r="J62" s="16"/>
      <ns0:c r="K62" s="8" t="n">
        <ns0:v>1</ns0:v>
      </ns0:c>
      <ns0:c r="L62" s="8"/>
      <ns0:c r="M62" s="8" t="str">
        <ns0:v>A</ns0:v>
      </ns0:c>
    </ns0:row>
    <ns0:row r="63" ht="23" customHeight="1">
      <ns0:c r="B63" s="10" t="str">
        <ns0:v>APP000058</ns0:v>
      </ns0:c>
      <ns0:c r="C63" s="10" t="str">
        <ns0:v>000058</ns0:v>
      </ns0:c>
      <ns0:c r="D63" s="8" t="str">
        <ns0:v>기획</ns0:v>
      </ns0:c>
      <ns0:c r="E63" s="8" t="str">
        <ns0:v>C04</ns0:v>
      </ns0:c>
      <ns0:c r="F63" s="12" t="d">
        <ns0:v>2026-10-02T00:00:00.000Z</ns0:v>
      </ns0:c>
      <ns0:c r="G63" s="8" t="n">
        <ns0:v>3</ns0:v>
      </ns0:c>
      <ns0:c r="H63" s="8" t="str">
        <ns0:v>승인</ns0:v>
      </ns0:c>
      <ns0:c r="I63" s="14" t="n">
        <ns0:v>0.05</ns0:v>
      </ns0:c>
      <ns0:c r="J63" s="16"/>
      <ns0:c r="K63" s="8" t="n">
        <ns0:v>1</ns0:v>
      </ns0:c>
      <ns0:c r="L63" s="8"/>
      <ns0:c r="M63" s="8" t="str">
        <ns0:v>A</ns0:v>
      </ns0:c>
    </ns0:row>
    <ns0:row r="64" ht="23" customHeight="1">
      <ns0:c r="B64" s="10" t="str">
        <ns0:v>APP000059</ns0:v>
      </ns0:c>
      <ns0:c r="C64" s="10" t="str">
        <ns0:v>000059</ns0:v>
      </ns0:c>
      <ns0:c r="D64" s="8" t="str">
        <ns0:v>영업</ns0:v>
      </ns0:c>
      <ns0:c r="E64" s="8" t="str">
        <ns0:v>C11</ns0:v>
      </ns0:c>
      <ns0:c r="F64" s="12" t="d">
        <ns0:v>2026-10-03T00:00:00.000Z</ns0:v>
      </ns0:c>
      <ns0:c r="G64" s="8" t="n">
        <ns0:v>4</ns0:v>
      </ns0:c>
      <ns0:c r="H64" s="8" t="str">
        <ns0:v>승인</ns0:v>
      </ns0:c>
      <ns0:c r="I64" s="14" t="n">
        <ns0:v>0.1</ns0:v>
      </ns0:c>
      <ns0:c r="J64" s="16"/>
      <ns0:c r="K64" s="8" t="n">
        <ns0:v>1</ns0:v>
      </ns0:c>
      <ns0:c r="L64" s="8"/>
      <ns0:c r="M64" s="8" t="str">
        <ns0:v>A</ns0:v>
      </ns0:c>
    </ns0:row>
    <ns0:row r="65" ht="23" customHeight="1">
      <ns0:c r="B65" s="10" t="str">
        <ns0:v>APP000060</ns0:v>
      </ns0:c>
      <ns0:c r="C65" s="10" t="str">
        <ns0:v>000060</ns0:v>
      </ns0:c>
      <ns0:c r="D65" s="8" t="str">
        <ns0:v>지원</ns0:v>
      </ns0:c>
      <ns0:c r="E65" s="8" t="str">
        <ns0:v>C06</ns0:v>
      </ns0:c>
      <ns0:c r="F65" s="12" t="d">
        <ns0:v>2026-10-04T00:00:00.000Z</ns0:v>
      </ns0:c>
      <ns0:c r="G65" s="8" t="n">
        <ns0:v>5</ns0:v>
      </ns0:c>
      <ns0:c r="H65" s="8" t="str">
        <ns0:v>승인</ns0:v>
      </ns0:c>
      <ns0:c r="I65" s="14" t="n">
        <ns0:v>0.125</ns0:v>
      </ns0:c>
      <ns0:c r="J65" s="16"/>
      <ns0:c r="K65" s="8" t="n">
        <ns0:v>1</ns0:v>
      </ns0:c>
      <ns0:c r="L65" s="8"/>
      <ns0:c r="M65" s="8" t="str">
        <ns0:v>A</ns0:v>
      </ns0:c>
    </ns0:row>
    <ns0:row r="66" ht="23" customHeight="1">
      <ns0:c r="B66" s="10" t="str">
        <ns0:v>APP000061</ns0:v>
      </ns0:c>
      <ns0:c r="C66" s="10" t="str">
        <ns0:v>000061</ns0:v>
      </ns0:c>
      <ns0:c r="D66" s="8" t="str">
        <ns0:v>개발</ns0:v>
      </ns0:c>
      <ns0:c r="E66" s="8" t="str">
        <ns0:v>C01</ns0:v>
      </ns0:c>
      <ns0:c r="F66" s="12" t="d">
        <ns0:v>2026-10-05T00:00:00.000Z</ns0:v>
      </ns0:c>
      <ns0:c r="G66" s="8" t="n">
        <ns0:v>0</ns0:v>
      </ns0:c>
      <ns0:c r="H66" s="8" t="str">
        <ns0:v>승인</ns0:v>
      </ns0:c>
      <ns0:c r="I66" s="14" t="n">
        <ns0:v>0</ns0:v>
      </ns0:c>
      <ns0:c r="J66" s="16"/>
      <ns0:c r="K66" s="8" t="n">
        <ns0:v>1</ns0:v>
      </ns0:c>
      <ns0:c r="L66" s="8"/>
      <ns0:c r="M66" s="8" t="str">
        <ns0:v>A</ns0:v>
      </ns0:c>
    </ns0:row>
    <ns0:row r="67" ht="23" customHeight="1">
      <ns0:c r="B67" s="10" t="str">
        <ns0:v>APP000062</ns0:v>
      </ns0:c>
      <ns0:c r="C67" s="10" t="str">
        <ns0:v>000062</ns0:v>
      </ns0:c>
      <ns0:c r="D67" s="8" t="str">
        <ns0:v>생산</ns0:v>
      </ns0:c>
      <ns0:c r="E67" s="8" t="str">
        <ns0:v>C08</ns0:v>
      </ns0:c>
      <ns0:c r="F67" s="12" t="d">
        <ns0:v>2026-10-06T00:00:00.000Z</ns0:v>
      </ns0:c>
      <ns0:c r="G67" s="8" t="n">
        <ns0:v>1</ns0:v>
      </ns0:c>
      <ns0:c r="H67" s="8" t="str">
        <ns0:v>승인</ns0:v>
      </ns0:c>
      <ns0:c r="I67" s="14" t="n">
        <ns0:v>0.05</ns0:v>
      </ns0:c>
      <ns0:c r="J67" s="16"/>
      <ns0:c r="K67" s="8" t="n">
        <ns0:v>1</ns0:v>
      </ns0:c>
      <ns0:c r="L67" s="8"/>
      <ns0:c r="M67" s="8" t="str">
        <ns0:v>A</ns0:v>
      </ns0:c>
    </ns0:row>
    <ns0:row r="68" ht="23" customHeight="1">
      <ns0:c r="B68" s="10" t="str">
        <ns0:v>APP000063</ns0:v>
      </ns0:c>
      <ns0:c r="C68" s="10" t="str">
        <ns0:v>000063</ns0:v>
      </ns0:c>
      <ns0:c r="D68" s="8" t="str">
        <ns0:v>품질</ns0:v>
      </ns0:c>
      <ns0:c r="E68" s="8" t="str">
        <ns0:v>C03</ns0:v>
      </ns0:c>
      <ns0:c r="F68" s="12" t="d">
        <ns0:v>2026-10-07T00:00:00.000Z</ns0:v>
      </ns0:c>
      <ns0:c r="G68" s="8" t="n">
        <ns0:v>2</ns0:v>
      </ns0:c>
      <ns0:c r="H68" s="8" t="str">
        <ns0:v>승인</ns0:v>
      </ns0:c>
      <ns0:c r="I68" s="14" t="n">
        <ns0:v>0.1</ns0:v>
      </ns0:c>
      <ns0:c r="J68" s="16"/>
      <ns0:c r="K68" s="8" t="n">
        <ns0:v>1</ns0:v>
      </ns0:c>
      <ns0:c r="L68" s="8"/>
      <ns0:c r="M68" s="8" t="str">
        <ns0:v>A</ns0:v>
      </ns0:c>
    </ns0:row>
    <ns0:row r="69" ht="23" customHeight="1">
      <ns0:c r="B69" s="10" t="str">
        <ns0:v>APP000064</ns0:v>
      </ns0:c>
      <ns0:c r="C69" s="10" t="str">
        <ns0:v>000064</ns0:v>
      </ns0:c>
      <ns0:c r="D69" s="8" t="str">
        <ns0:v>기획</ns0:v>
      </ns0:c>
      <ns0:c r="E69" s="8" t="str">
        <ns0:v>C10</ns0:v>
      </ns0:c>
      <ns0:c r="F69" s="12" t="d">
        <ns0:v>2026-10-08T00:00:00.000Z</ns0:v>
      </ns0:c>
      <ns0:c r="G69" s="8" t="n">
        <ns0:v>3</ns0:v>
      </ns0:c>
      <ns0:c r="H69" s="8" t="str">
        <ns0:v>대기</ns0:v>
      </ns0:c>
      <ns0:c r="I69" s="14" t="n">
        <ns0:v>0.125</ns0:v>
      </ns0:c>
      <ns0:c r="J69" s="16"/>
      <ns0:c r="K69" s="8" t="n">
        <ns0:v>1</ns0:v>
      </ns0:c>
      <ns0:c r="L69" s="8"/>
      <ns0:c r="M69" s="8" t="str">
        <ns0:v>A</ns0:v>
      </ns0:c>
    </ns0:row>
    <ns0:row r="70" ht="23" customHeight="1">
      <ns0:c r="B70" s="10" t="str">
        <ns0:v>APP000065</ns0:v>
      </ns0:c>
      <ns0:c r="C70" s="10" t="str">
        <ns0:v>000065</ns0:v>
      </ns0:c>
      <ns0:c r="D70" s="8" t="str">
        <ns0:v>영업</ns0:v>
      </ns0:c>
      <ns0:c r="E70" s="8" t="str">
        <ns0:v>C05</ns0:v>
      </ns0:c>
      <ns0:c r="F70" s="12" t="d">
        <ns0:v>2026-10-09T00:00:00.000Z</ns0:v>
      </ns0:c>
      <ns0:c r="G70" s="8" t="n">
        <ns0:v>4</ns0:v>
      </ns0:c>
      <ns0:c r="H70" s="8" t="str">
        <ns0:v>승인</ns0:v>
      </ns0:c>
      <ns0:c r="I70" s="14" t="n">
        <ns0:v>0</ns0:v>
      </ns0:c>
      <ns0:c r="J70" s="16"/>
      <ns0:c r="K70" s="8" t="n">
        <ns0:v>1</ns0:v>
      </ns0:c>
      <ns0:c r="L70" s="8"/>
      <ns0:c r="M70" s="8" t="str">
        <ns0:v>A</ns0:v>
      </ns0:c>
    </ns0:row>
    <ns0:row r="71" ht="23" customHeight="1">
      <ns0:c r="B71" s="10" t="str">
        <ns0:v>APP000066</ns0:v>
      </ns0:c>
      <ns0:c r="C71" s="10" t="str">
        <ns0:v>000066</ns0:v>
      </ns0:c>
      <ns0:c r="D71" s="8" t="str">
        <ns0:v>지원</ns0:v>
      </ns0:c>
      <ns0:c r="E71" s="8" t="str">
        <ns0:v>C12</ns0:v>
      </ns0:c>
      <ns0:c r="F71" s="12" t="d">
        <ns0:v>2026-10-10T00:00:00.000Z</ns0:v>
      </ns0:c>
      <ns0:c r="G71" s="8" t="n">
        <ns0:v>5</ns0:v>
      </ns0:c>
      <ns0:c r="H71" s="8" t="str">
        <ns0:v>승인</ns0:v>
      </ns0:c>
      <ns0:c r="I71" s="14" t="n">
        <ns0:v>0.05</ns0:v>
      </ns0:c>
      <ns0:c r="J71" s="16"/>
      <ns0:c r="K71" s="8" t="n">
        <ns0:v>1</ns0:v>
      </ns0:c>
      <ns0:c r="L71" s="8"/>
      <ns0:c r="M71" s="8" t="str">
        <ns0:v>A</ns0:v>
      </ns0:c>
    </ns0:row>
    <ns0:row r="72" ht="23" customHeight="1">
      <ns0:c r="B72" s="10" t="str">
        <ns0:v>APP000067</ns0:v>
      </ns0:c>
      <ns0:c r="C72" s="10" t="str">
        <ns0:v>000067</ns0:v>
      </ns0:c>
      <ns0:c r="D72" s="8" t="str">
        <ns0:v>개발</ns0:v>
      </ns0:c>
      <ns0:c r="E72" s="8" t="str">
        <ns0:v>C07</ns0:v>
      </ns0:c>
      <ns0:c r="F72" s="12" t="d">
        <ns0:v>2026-10-11T00:00:00.000Z</ns0:v>
      </ns0:c>
      <ns0:c r="G72" s="8" t="n">
        <ns0:v>0</ns0:v>
      </ns0:c>
      <ns0:c r="H72" s="8" t="str">
        <ns0:v>취소</ns0:v>
      </ns0:c>
      <ns0:c r="I72" s="14" t="n">
        <ns0:v>0.1</ns0:v>
      </ns0:c>
      <ns0:c r="J72" s="16"/>
      <ns0:c r="K72" s="8" t="n">
        <ns0:v>1</ns0:v>
      </ns0:c>
      <ns0:c r="L72" s="8"/>
      <ns0:c r="M72" s="8" t="str">
        <ns0:v>A</ns0:v>
      </ns0:c>
    </ns0:row>
    <ns0:row r="73" ht="23" customHeight="1">
      <ns0:c r="B73" s="10" t="str">
        <ns0:v>APP000068</ns0:v>
      </ns0:c>
      <ns0:c r="C73" s="10" t="str">
        <ns0:v>000068</ns0:v>
      </ns0:c>
      <ns0:c r="D73" s="8" t="str">
        <ns0:v>생산</ns0:v>
      </ns0:c>
      <ns0:c r="E73" s="8" t="str">
        <ns0:v>C02</ns0:v>
      </ns0:c>
      <ns0:c r="F73" s="12" t="d">
        <ns0:v>2026-10-12T00:00:00.000Z</ns0:v>
      </ns0:c>
      <ns0:c r="G73" s="8" t="n">
        <ns0:v>1</ns0:v>
      </ns0:c>
      <ns0:c r="H73" s="8" t="str">
        <ns0:v>승인</ns0:v>
      </ns0:c>
      <ns0:c r="I73" s="14" t="n">
        <ns0:v>0.125</ns0:v>
      </ns0:c>
      <ns0:c r="J73" s="16"/>
      <ns0:c r="K73" s="8" t="n">
        <ns0:v>1</ns0:v>
      </ns0:c>
      <ns0:c r="L73" s="8"/>
      <ns0:c r="M73" s="8" t="str">
        <ns0:v>A</ns0:v>
      </ns0:c>
    </ns0:row>
    <ns0:row r="74" ht="23" customHeight="1">
      <ns0:c r="B74" s="10" t="str">
        <ns0:v>APP000069</ns0:v>
      </ns0:c>
      <ns0:c r="C74" s="10" t="str">
        <ns0:v>000069</ns0:v>
      </ns0:c>
      <ns0:c r="D74" s="8" t="str">
        <ns0:v>품질</ns0:v>
      </ns0:c>
      <ns0:c r="E74" s="8" t="str">
        <ns0:v>C09</ns0:v>
      </ns0:c>
      <ns0:c r="F74" s="12" t="d">
        <ns0:v>2026-10-13T00:00:00.000Z</ns0:v>
      </ns0:c>
      <ns0:c r="G74" s="8" t="n">
        <ns0:v>2</ns0:v>
      </ns0:c>
      <ns0:c r="H74" s="8" t="str">
        <ns0:v>승인</ns0:v>
      </ns0:c>
      <ns0:c r="I74" s="14" t="n">
        <ns0:v>0</ns0:v>
      </ns0:c>
      <ns0:c r="J74" s="16"/>
      <ns0:c r="K74" s="8" t="n">
        <ns0:v>1</ns0:v>
      </ns0:c>
      <ns0:c r="L74" s="8"/>
      <ns0:c r="M74" s="8" t="str">
        <ns0:v>A</ns0:v>
      </ns0:c>
    </ns0:row>
    <ns0:row r="75" ht="23" customHeight="1">
      <ns0:c r="B75" s="10" t="str">
        <ns0:v>APP000070</ns0:v>
      </ns0:c>
      <ns0:c r="C75" s="10" t="str">
        <ns0:v>000070</ns0:v>
      </ns0:c>
      <ns0:c r="D75" s="8" t="str">
        <ns0:v>기획</ns0:v>
      </ns0:c>
      <ns0:c r="E75" s="8" t="str">
        <ns0:v>C04</ns0:v>
      </ns0:c>
      <ns0:c r="F75" s="12" t="d">
        <ns0:v>2026-10-14T00:00:00.000Z</ns0:v>
      </ns0:c>
      <ns0:c r="G75" s="8" t="n">
        <ns0:v>3</ns0:v>
      </ns0:c>
      <ns0:c r="H75" s="8" t="str">
        <ns0:v>승인</ns0:v>
      </ns0:c>
      <ns0:c r="I75" s="14" t="n">
        <ns0:v>0.05</ns0:v>
      </ns0:c>
      <ns0:c r="J75" s="16"/>
      <ns0:c r="K75" s="8" t="n">
        <ns0:v>1</ns0:v>
      </ns0:c>
      <ns0:c r="L75" s="8"/>
      <ns0:c r="M75" s="8" t="str">
        <ns0:v>A</ns0:v>
      </ns0:c>
    </ns0:row>
    <ns0:row r="76" ht="23" customHeight="1">
      <ns0:c r="B76" s="10" t="str">
        <ns0:v>APP000071</ns0:v>
      </ns0:c>
      <ns0:c r="C76" s="10" t="str">
        <ns0:v>000071</ns0:v>
      </ns0:c>
      <ns0:c r="D76" s="8" t="str">
        <ns0:v>영업</ns0:v>
      </ns0:c>
      <ns0:c r="E76" s="8" t="str">
        <ns0:v>C11</ns0:v>
      </ns0:c>
      <ns0:c r="F76" s="12" t="d">
        <ns0:v>2026-10-15T00:00:00.000Z</ns0:v>
      </ns0:c>
      <ns0:c r="G76" s="8" t="n">
        <ns0:v>4</ns0:v>
      </ns0:c>
      <ns0:c r="H76" s="8" t="str">
        <ns0:v>대기</ns0:v>
      </ns0:c>
      <ns0:c r="I76" s="14" t="n">
        <ns0:v>0.1</ns0:v>
      </ns0:c>
      <ns0:c r="J76" s="16"/>
      <ns0:c r="K76" s="8" t="n">
        <ns0:v>1</ns0:v>
      </ns0:c>
      <ns0:c r="L76" s="8"/>
      <ns0:c r="M76" s="8" t="str">
        <ns0:v>A</ns0:v>
      </ns0:c>
    </ns0:row>
    <ns0:row r="77" ht="23" customHeight="1">
      <ns0:c r="B77" s="10" t="str">
        <ns0:v>APP000072</ns0:v>
      </ns0:c>
      <ns0:c r="C77" s="10" t="str">
        <ns0:v>000072</ns0:v>
      </ns0:c>
      <ns0:c r="D77" s="8" t="str">
        <ns0:v>지원</ns0:v>
      </ns0:c>
      <ns0:c r="E77" s="8" t="str">
        <ns0:v>C06</ns0:v>
      </ns0:c>
      <ns0:c r="F77" s="12" t="d">
        <ns0:v>2026-10-16T00:00:00.000Z</ns0:v>
      </ns0:c>
      <ns0:c r="G77" s="8" t="n">
        <ns0:v>5</ns0:v>
      </ns0:c>
      <ns0:c r="H77" s="8" t="str">
        <ns0:v>승인</ns0:v>
      </ns0:c>
      <ns0:c r="I77" s="14" t="n">
        <ns0:v>0.125</ns0:v>
      </ns0:c>
      <ns0:c r="J77" s="16"/>
      <ns0:c r="K77" s="8" t="n">
        <ns0:v>1</ns0:v>
      </ns0:c>
      <ns0:c r="L77" s="8"/>
      <ns0:c r="M77" s="8" t="str">
        <ns0:v>A</ns0:v>
      </ns0:c>
    </ns0:row>
    <ns0:row r="78" ht="23" customHeight="1">
      <ns0:c r="B78" s="10" t="str">
        <ns0:v>APP000073</ns0:v>
      </ns0:c>
      <ns0:c r="C78" s="10" t="str">
        <ns0:v>000073</ns0:v>
      </ns0:c>
      <ns0:c r="D78" s="8" t="str">
        <ns0:v>개발</ns0:v>
      </ns0:c>
      <ns0:c r="E78" s="8" t="str">
        <ns0:v>C01</ns0:v>
      </ns0:c>
      <ns0:c r="F78" s="12" t="d">
        <ns0:v>2026-10-17T00:00:00.000Z</ns0:v>
      </ns0:c>
      <ns0:c r="G78" s="8" t="n">
        <ns0:v>0</ns0:v>
      </ns0:c>
      <ns0:c r="H78" s="8" t="str">
        <ns0:v>승인</ns0:v>
      </ns0:c>
      <ns0:c r="I78" s="14" t="n">
        <ns0:v>0</ns0:v>
      </ns0:c>
      <ns0:c r="J78" s="16"/>
      <ns0:c r="K78" s="8" t="n">
        <ns0:v>1</ns0:v>
      </ns0:c>
      <ns0:c r="L78" s="8"/>
      <ns0:c r="M78" s="8" t="str">
        <ns0:v>A</ns0:v>
      </ns0:c>
    </ns0:row>
    <ns0:row r="79" ht="23" customHeight="1">
      <ns0:c r="B79" s="10" t="str">
        <ns0:v>APP000074</ns0:v>
      </ns0:c>
      <ns0:c r="C79" s="10" t="str">
        <ns0:v>000074</ns0:v>
      </ns0:c>
      <ns0:c r="D79" s="8" t="str">
        <ns0:v>생산</ns0:v>
      </ns0:c>
      <ns0:c r="E79" s="8" t="str">
        <ns0:v>C08</ns0:v>
      </ns0:c>
      <ns0:c r="F79" s="12" t="d">
        <ns0:v>2026-10-18T00:00:00.000Z</ns0:v>
      </ns0:c>
      <ns0:c r="G79" s="8" t="n">
        <ns0:v>1</ns0:v>
      </ns0:c>
      <ns0:c r="H79" s="8" t="str">
        <ns0:v>승인</ns0:v>
      </ns0:c>
      <ns0:c r="I79" s="14" t="n">
        <ns0:v>0.05</ns0:v>
      </ns0:c>
      <ns0:c r="J79" s="16"/>
      <ns0:c r="K79" s="8" t="n">
        <ns0:v>1</ns0:v>
      </ns0:c>
      <ns0:c r="L79" s="8"/>
      <ns0:c r="M79" s="8" t="str">
        <ns0:v>A</ns0:v>
      </ns0:c>
    </ns0:row>
    <ns0:row r="80" ht="23" customHeight="1">
      <ns0:c r="B80" s="10" t="str">
        <ns0:v>APP000075</ns0:v>
      </ns0:c>
      <ns0:c r="C80" s="10" t="str">
        <ns0:v>000075</ns0:v>
      </ns0:c>
      <ns0:c r="D80" s="8" t="str">
        <ns0:v>품질</ns0:v>
      </ns0:c>
      <ns0:c r="E80" s="8" t="str">
        <ns0:v>C03</ns0:v>
      </ns0:c>
      <ns0:c r="F80" s="12" t="d">
        <ns0:v>2026-10-19T00:00:00.000Z</ns0:v>
      </ns0:c>
      <ns0:c r="G80" s="8" t="n">
        <ns0:v>2</ns0:v>
      </ns0:c>
      <ns0:c r="H80" s="8" t="str">
        <ns0:v>승인</ns0:v>
      </ns0:c>
      <ns0:c r="I80" s="14" t="n">
        <ns0:v>0.1</ns0:v>
      </ns0:c>
      <ns0:c r="J80" s="16"/>
      <ns0:c r="K80" s="8" t="n">
        <ns0:v>1</ns0:v>
      </ns0:c>
      <ns0:c r="L80" s="8"/>
      <ns0:c r="M80" s="8" t="str">
        <ns0:v>A</ns0:v>
      </ns0:c>
    </ns0:row>
    <ns0:row r="81" ht="23" customHeight="1">
      <ns0:c r="B81" s="10" t="str">
        <ns0:v>APP000076</ns0:v>
      </ns0:c>
      <ns0:c r="C81" s="10" t="str">
        <ns0:v>000076</ns0:v>
      </ns0:c>
      <ns0:c r="D81" s="8" t="str">
        <ns0:v>기획</ns0:v>
      </ns0:c>
      <ns0:c r="E81" s="8" t="str">
        <ns0:v>C10</ns0:v>
      </ns0:c>
      <ns0:c r="F81" s="12" t="d">
        <ns0:v>2026-10-20T00:00:00.000Z</ns0:v>
      </ns0:c>
      <ns0:c r="G81" s="8" t="n">
        <ns0:v>3</ns0:v>
      </ns0:c>
      <ns0:c r="H81" s="8" t="str">
        <ns0:v>승인</ns0:v>
      </ns0:c>
      <ns0:c r="I81" s="14" t="n">
        <ns0:v>0.125</ns0:v>
      </ns0:c>
      <ns0:c r="J81" s="16"/>
      <ns0:c r="K81" s="8" t="n">
        <ns0:v>1</ns0:v>
      </ns0:c>
      <ns0:c r="L81" s="8"/>
      <ns0:c r="M81" s="8" t="str">
        <ns0:v>A</ns0:v>
      </ns0:c>
    </ns0:row>
    <ns0:row r="82" ht="23" customHeight="1">
      <ns0:c r="B82" s="10" t="str">
        <ns0:v>APP000077</ns0:v>
      </ns0:c>
      <ns0:c r="C82" s="10" t="str">
        <ns0:v>000077</ns0:v>
      </ns0:c>
      <ns0:c r="D82" s="8" t="str">
        <ns0:v>영업</ns0:v>
      </ns0:c>
      <ns0:c r="E82" s="8" t="str">
        <ns0:v>C05</ns0:v>
      </ns0:c>
      <ns0:c r="F82" s="12" t="d">
        <ns0:v>2026-10-21T00:00:00.000Z</ns0:v>
      </ns0:c>
      <ns0:c r="G82" s="8" t="n">
        <ns0:v>4</ns0:v>
      </ns0:c>
      <ns0:c r="H82" s="8" t="str">
        <ns0:v>승인</ns0:v>
      </ns0:c>
      <ns0:c r="I82" s="14" t="n">
        <ns0:v>0</ns0:v>
      </ns0:c>
      <ns0:c r="J82" s="16"/>
      <ns0:c r="K82" s="8" t="n">
        <ns0:v>1</ns0:v>
      </ns0:c>
      <ns0:c r="L82" s="8"/>
      <ns0:c r="M82" s="8" t="str">
        <ns0:v>A</ns0:v>
      </ns0:c>
    </ns0:row>
    <ns0:row r="83" ht="23" customHeight="1">
      <ns0:c r="B83" s="10" t="str">
        <ns0:v>APP000078</ns0:v>
      </ns0:c>
      <ns0:c r="C83" s="10" t="str">
        <ns0:v>000078</ns0:v>
      </ns0:c>
      <ns0:c r="D83" s="8" t="str">
        <ns0:v>지원</ns0:v>
      </ns0:c>
      <ns0:c r="E83" s="8" t="str">
        <ns0:v>C12</ns0:v>
      </ns0:c>
      <ns0:c r="F83" s="12" t="d">
        <ns0:v>2026-10-22T00:00:00.000Z</ns0:v>
      </ns0:c>
      <ns0:c r="G83" s="8" t="n">
        <ns0:v>5</ns0:v>
      </ns0:c>
      <ns0:c r="H83" s="8" t="str">
        <ns0:v>취소</ns0:v>
      </ns0:c>
      <ns0:c r="I83" s="14" t="n">
        <ns0:v>0.05</ns0:v>
      </ns0:c>
      <ns0:c r="J83" s="16"/>
      <ns0:c r="K83" s="8" t="n">
        <ns0:v>1</ns0:v>
      </ns0:c>
      <ns0:c r="L83" s="8"/>
      <ns0:c r="M83" s="8" t="str">
        <ns0:v>A</ns0:v>
      </ns0:c>
    </ns0:row>
    <ns0:row r="84" ht="23" customHeight="1">
      <ns0:c r="B84" s="10" t="str">
        <ns0:v>APP000079</ns0:v>
      </ns0:c>
      <ns0:c r="C84" s="10" t="str">
        <ns0:v>000079</ns0:v>
      </ns0:c>
      <ns0:c r="D84" s="8" t="str">
        <ns0:v>개발</ns0:v>
      </ns0:c>
      <ns0:c r="E84" s="8" t="str">
        <ns0:v>C07</ns0:v>
      </ns0:c>
      <ns0:c r="F84" s="12" t="d">
        <ns0:v>2026-10-23T00:00:00.000Z</ns0:v>
      </ns0:c>
      <ns0:c r="G84" s="8" t="n">
        <ns0:v>0</ns0:v>
      </ns0:c>
      <ns0:c r="H84" s="8" t="str">
        <ns0:v>승인</ns0:v>
      </ns0:c>
      <ns0:c r="I84" s="14" t="n">
        <ns0:v>0.1</ns0:v>
      </ns0:c>
      <ns0:c r="J84" s="16"/>
      <ns0:c r="K84" s="8" t="n">
        <ns0:v>1</ns0:v>
      </ns0:c>
      <ns0:c r="L84" s="8"/>
      <ns0:c r="M84" s="8" t="str">
        <ns0:v>A</ns0:v>
      </ns0:c>
    </ns0:row>
    <ns0:row r="85" ht="23" customHeight="1">
      <ns0:c r="B85" s="10" t="str">
        <ns0:v>APP000080</ns0:v>
      </ns0:c>
      <ns0:c r="C85" s="10" t="str">
        <ns0:v>000080</ns0:v>
      </ns0:c>
      <ns0:c r="D85" s="8" t="str">
        <ns0:v>생산</ns0:v>
      </ns0:c>
      <ns0:c r="E85" s="8" t="str">
        <ns0:v>C02</ns0:v>
      </ns0:c>
      <ns0:c r="F85" s="12" t="d">
        <ns0:v>2026-10-24T00:00:00.000Z</ns0:v>
      </ns0:c>
      <ns0:c r="G85" s="8" t="n">
        <ns0:v>1</ns0:v>
      </ns0:c>
      <ns0:c r="H85" s="8" t="str">
        <ns0:v>승인</ns0:v>
      </ns0:c>
      <ns0:c r="I85" s="14" t="n">
        <ns0:v>0.125</ns0:v>
      </ns0:c>
      <ns0:c r="J85" s="16" t="n">
        <ns0:v>12345</ns0:v>
      </ns0:c>
      <ns0:c r="K85" s="8" t="n">
        <ns0:v>1</ns0:v>
      </ns0:c>
      <ns0:c r="L85" s="8"/>
      <ns0:c r="M85" s="8" t="str">
        <ns0:v>A</ns0:v>
      </ns0:c>
    </ns0:row>
    <ns0:row r="86" ht="23" customHeight="1">
      <ns0:c r="B86" s="10" t="str">
        <ns0:v>APP000081</ns0:v>
      </ns0:c>
      <ns0:c r="C86" s="10" t="str">
        <ns0:v>000081</ns0:v>
      </ns0:c>
      <ns0:c r="D86" s="8" t="str">
        <ns0:v>품질</ns0:v>
      </ns0:c>
      <ns0:c r="E86" s="8" t="str">
        <ns0:v>C09</ns0:v>
      </ns0:c>
      <ns0:c r="F86" s="12" t="d">
        <ns0:v>2026-10-25T00:00:00.000Z</ns0:v>
      </ns0:c>
      <ns0:c r="G86" s="8" t="n">
        <ns0:v>2</ns0:v>
      </ns0:c>
      <ns0:c r="H86" s="8" t="str">
        <ns0:v>승인</ns0:v>
      </ns0:c>
      <ns0:c r="I86" s="14" t="n">
        <ns0:v>0</ns0:v>
      </ns0:c>
      <ns0:c r="J86" s="16"/>
      <ns0:c r="K86" s="8" t="n">
        <ns0:v>1</ns0:v>
      </ns0:c>
      <ns0:c r="L86" s="8"/>
      <ns0:c r="M86" s="8" t="str">
        <ns0:v>A</ns0:v>
      </ns0:c>
    </ns0:row>
    <ns0:row r="87" ht="23" customHeight="1">
      <ns0:c r="B87" s="10" t="str">
        <ns0:v>APP000082</ns0:v>
      </ns0:c>
      <ns0:c r="C87" s="10" t="str">
        <ns0:v>000082</ns0:v>
      </ns0:c>
      <ns0:c r="D87" s="8" t="str">
        <ns0:v>기획</ns0:v>
      </ns0:c>
      <ns0:c r="E87" s="8" t="str">
        <ns0:v>C04</ns0:v>
      </ns0:c>
      <ns0:c r="F87" s="12" t="d">
        <ns0:v>2026-10-26T00:00:00.000Z</ns0:v>
      </ns0:c>
      <ns0:c r="G87" s="8" t="n">
        <ns0:v>3</ns0:v>
      </ns0:c>
      <ns0:c r="H87" s="8" t="str">
        <ns0:v>승인</ns0:v>
      </ns0:c>
      <ns0:c r="I87" s="14" t="n">
        <ns0:v>0.05</ns0:v>
      </ns0:c>
      <ns0:c r="J87" s="16"/>
      <ns0:c r="K87" s="8" t="n">
        <ns0:v>1</ns0:v>
      </ns0:c>
      <ns0:c r="L87" s="8"/>
      <ns0:c r="M87" s="8" t="str">
        <ns0:v>A</ns0:v>
      </ns0:c>
    </ns0:row>
    <ns0:row r="88" ht="23" customHeight="1">
      <ns0:c r="B88" s="10" t="str">
        <ns0:v>APP000083</ns0:v>
      </ns0:c>
      <ns0:c r="C88" s="10" t="str">
        <ns0:v>000083</ns0:v>
      </ns0:c>
      <ns0:c r="D88" s="8" t="str">
        <ns0:v>영업</ns0:v>
      </ns0:c>
      <ns0:c r="E88" s="8" t="str">
        <ns0:v>C11</ns0:v>
      </ns0:c>
      <ns0:c r="F88" s="12" t="d">
        <ns0:v>2026-10-27T00:00:00.000Z</ns0:v>
      </ns0:c>
      <ns0:c r="G88" s="8" t="n">
        <ns0:v>4</ns0:v>
      </ns0:c>
      <ns0:c r="H88" s="8" t="str">
        <ns0:v>승인</ns0:v>
      </ns0:c>
      <ns0:c r="I88" s="14" t="n">
        <ns0:v>0.1</ns0:v>
      </ns0:c>
      <ns0:c r="J88" s="16"/>
      <ns0:c r="K88" s="8" t="n">
        <ns0:v>1</ns0:v>
      </ns0:c>
      <ns0:c r="L88" s="8"/>
      <ns0:c r="M88" s="8" t="str">
        <ns0:v>A</ns0:v>
      </ns0:c>
    </ns0:row>
    <ns0:row r="89" ht="23" customHeight="1">
      <ns0:c r="B89" s="10" t="str">
        <ns0:v>APP000084</ns0:v>
      </ns0:c>
      <ns0:c r="C89" s="10" t="str">
        <ns0:v>000084</ns0:v>
      </ns0:c>
      <ns0:c r="D89" s="8" t="str">
        <ns0:v>지원</ns0:v>
      </ns0:c>
      <ns0:c r="E89" s="8" t="str">
        <ns0:v>C06</ns0:v>
      </ns0:c>
      <ns0:c r="F89" s="12" t="d">
        <ns0:v>2026-10-28T00:00:00.000Z</ns0:v>
      </ns0:c>
      <ns0:c r="G89" s="8" t="n">
        <ns0:v>5</ns0:v>
      </ns0:c>
      <ns0:c r="H89" s="8" t="str">
        <ns0:v>승인</ns0:v>
      </ns0:c>
      <ns0:c r="I89" s="14" t="n">
        <ns0:v>0.125</ns0:v>
      </ns0:c>
      <ns0:c r="J89" s="16"/>
      <ns0:c r="K89" s="8" t="n">
        <ns0:v>1</ns0:v>
      </ns0:c>
      <ns0:c r="L89" s="8"/>
      <ns0:c r="M89" s="8" t="str">
        <ns0:v>A</ns0:v>
      </ns0:c>
    </ns0:row>
    <ns0:row r="90" ht="23" customHeight="1">
      <ns0:c r="B90" s="10" t="str">
        <ns0:v>APP000085</ns0:v>
      </ns0:c>
      <ns0:c r="C90" s="10" t="str">
        <ns0:v>000085</ns0:v>
      </ns0:c>
      <ns0:c r="D90" s="8" t="str">
        <ns0:v>개발</ns0:v>
      </ns0:c>
      <ns0:c r="E90" s="8" t="str">
        <ns0:v>C01</ns0:v>
      </ns0:c>
      <ns0:c r="F90" s="12" t="d">
        <ns0:v>2026-10-01T00:00:00.000Z</ns0:v>
      </ns0:c>
      <ns0:c r="G90" s="8" t="n">
        <ns0:v>0</ns0:v>
      </ns0:c>
      <ns0:c r="H90" s="8" t="str">
        <ns0:v>대기</ns0:v>
      </ns0:c>
      <ns0:c r="I90" s="14" t="n">
        <ns0:v>0</ns0:v>
      </ns0:c>
      <ns0:c r="J90" s="16"/>
      <ns0:c r="K90" s="8" t="n">
        <ns0:v>1</ns0:v>
      </ns0:c>
      <ns0:c r="L90" s="8"/>
      <ns0:c r="M90" s="8" t="str">
        <ns0:v>A</ns0:v>
      </ns0:c>
    </ns0:row>
    <ns0:row r="91" ht="23" customHeight="1">
      <ns0:c r="B91" s="10" t="str">
        <ns0:v>APP000086</ns0:v>
      </ns0:c>
      <ns0:c r="C91" s="10" t="str">
        <ns0:v>000086</ns0:v>
      </ns0:c>
      <ns0:c r="D91" s="8" t="str">
        <ns0:v>생산</ns0:v>
      </ns0:c>
      <ns0:c r="E91" s="8" t="str">
        <ns0:v>C08</ns0:v>
      </ns0:c>
      <ns0:c r="F91" s="12" t="d">
        <ns0:v>2026-10-02T00:00:00.000Z</ns0:v>
      </ns0:c>
      <ns0:c r="G91" s="8" t="n">
        <ns0:v>1</ns0:v>
      </ns0:c>
      <ns0:c r="H91" s="8" t="str">
        <ns0:v>승인</ns0:v>
      </ns0:c>
      <ns0:c r="I91" s="14" t="n">
        <ns0:v>0.05</ns0:v>
      </ns0:c>
      <ns0:c r="J91" s="16"/>
      <ns0:c r="K91" s="8" t="n">
        <ns0:v>1</ns0:v>
      </ns0:c>
      <ns0:c r="L91" s="8"/>
      <ns0:c r="M91" s="8" t="str">
        <ns0:v>A</ns0:v>
      </ns0:c>
    </ns0:row>
    <ns0:row r="92" ht="23" customHeight="1">
      <ns0:c r="B92" s="10" t="str">
        <ns0:v>APP000087</ns0:v>
      </ns0:c>
      <ns0:c r="C92" s="10" t="str">
        <ns0:v>000087</ns0:v>
      </ns0:c>
      <ns0:c r="D92" s="8" t="str">
        <ns0:v>품질</ns0:v>
      </ns0:c>
      <ns0:c r="E92" s="8" t="str">
        <ns0:v>C03</ns0:v>
      </ns0:c>
      <ns0:c r="F92" s="12" t="d">
        <ns0:v>2026-10-03T00:00:00.000Z</ns0:v>
      </ns0:c>
      <ns0:c r="G92" s="8" t="n">
        <ns0:v>2</ns0:v>
      </ns0:c>
      <ns0:c r="H92" s="8" t="str">
        <ns0:v>승인</ns0:v>
      </ns0:c>
      <ns0:c r="I92" s="14" t="n">
        <ns0:v>0.1</ns0:v>
      </ns0:c>
      <ns0:c r="J92" s="16"/>
      <ns0:c r="K92" s="8" t="n">
        <ns0:v>1</ns0:v>
      </ns0:c>
      <ns0:c r="L92" s="8"/>
      <ns0:c r="M92" s="8" t="str">
        <ns0:v>A</ns0:v>
      </ns0:c>
    </ns0:row>
    <ns0:row r="93" ht="23" customHeight="1">
      <ns0:c r="B93" s="10" t="str">
        <ns0:v>APP000088</ns0:v>
      </ns0:c>
      <ns0:c r="C93" s="10" t="str">
        <ns0:v>000088</ns0:v>
      </ns0:c>
      <ns0:c r="D93" s="8" t="str">
        <ns0:v>기획</ns0:v>
      </ns0:c>
      <ns0:c r="E93" s="8" t="str">
        <ns0:v>C10</ns0:v>
      </ns0:c>
      <ns0:c r="F93" s="12" t="d">
        <ns0:v>2026-10-04T00:00:00.000Z</ns0:v>
      </ns0:c>
      <ns0:c r="G93" s="8" t="n">
        <ns0:v>3</ns0:v>
      </ns0:c>
      <ns0:c r="H93" s="8" t="str">
        <ns0:v>승인</ns0:v>
      </ns0:c>
      <ns0:c r="I93" s="14" t="n">
        <ns0:v>0.125</ns0:v>
      </ns0:c>
      <ns0:c r="J93" s="16"/>
      <ns0:c r="K93" s="8" t="n">
        <ns0:v>1</ns0:v>
      </ns0:c>
      <ns0:c r="L93" s="8"/>
      <ns0:c r="M93" s="8" t="str">
        <ns0:v>A</ns0:v>
      </ns0:c>
    </ns0:row>
    <ns0:row r="94" ht="23" customHeight="1">
      <ns0:c r="B94" s="10" t="str">
        <ns0:v>APP000089</ns0:v>
      </ns0:c>
      <ns0:c r="C94" s="10" t="str">
        <ns0:v>000089</ns0:v>
      </ns0:c>
      <ns0:c r="D94" s="8" t="str">
        <ns0:v>영업</ns0:v>
      </ns0:c>
      <ns0:c r="E94" s="8" t="str">
        <ns0:v>C05</ns0:v>
      </ns0:c>
      <ns0:c r="F94" s="12" t="d">
        <ns0:v>2026-10-05T00:00:00.000Z</ns0:v>
      </ns0:c>
      <ns0:c r="G94" s="8" t="n">
        <ns0:v>4</ns0:v>
      </ns0:c>
      <ns0:c r="H94" s="8" t="str">
        <ns0:v>취소</ns0:v>
      </ns0:c>
      <ns0:c r="I94" s="14" t="n">
        <ns0:v>0</ns0:v>
      </ns0:c>
      <ns0:c r="J94" s="16"/>
      <ns0:c r="K94" s="8" t="n">
        <ns0:v>1</ns0:v>
      </ns0:c>
      <ns0:c r="L94" s="8"/>
      <ns0:c r="M94" s="8" t="str">
        <ns0:v>A</ns0:v>
      </ns0:c>
    </ns0:row>
    <ns0:row r="95" ht="23" customHeight="1">
      <ns0:c r="B95" s="10" t="str">
        <ns0:v>APP000090</ns0:v>
      </ns0:c>
      <ns0:c r="C95" s="10" t="str">
        <ns0:v>000090</ns0:v>
      </ns0:c>
      <ns0:c r="D95" s="8" t="str">
        <ns0:v>지원</ns0:v>
      </ns0:c>
      <ns0:c r="E95" s="8" t="str">
        <ns0:v>C12</ns0:v>
      </ns0:c>
      <ns0:c r="F95" s="12" t="d">
        <ns0:v>2026-10-06T00:00:00.000Z</ns0:v>
      </ns0:c>
      <ns0:c r="G95" s="8" t="n">
        <ns0:v>5</ns0:v>
      </ns0:c>
      <ns0:c r="H95" s="8" t="str">
        <ns0:v>승인</ns0:v>
      </ns0:c>
      <ns0:c r="I95" s="14" t="n">
        <ns0:v>0.05</ns0:v>
      </ns0:c>
      <ns0:c r="J95" s="16"/>
      <ns0:c r="K95" s="8" t="n">
        <ns0:v>1</ns0:v>
      </ns0:c>
      <ns0:c r="L95" s="8"/>
      <ns0:c r="M95" s="8" t="str">
        <ns0:v>A</ns0:v>
      </ns0:c>
    </ns0:row>
    <ns0:row r="96" ht="23" customHeight="1">
      <ns0:c r="B96" s="10" t="str">
        <ns0:v>APP000091</ns0:v>
      </ns0:c>
      <ns0:c r="C96" s="10" t="str">
        <ns0:v>000091</ns0:v>
      </ns0:c>
      <ns0:c r="D96" s="8" t="str">
        <ns0:v>개발</ns0:v>
      </ns0:c>
      <ns0:c r="E96" s="8" t="str">
        <ns0:v>C07</ns0:v>
      </ns0:c>
      <ns0:c r="F96" s="12" t="d">
        <ns0:v>2026-10-07T00:00:00.000Z</ns0:v>
      </ns0:c>
      <ns0:c r="G96" s="8" t="n">
        <ns0:v>0</ns0:v>
      </ns0:c>
      <ns0:c r="H96" s="8" t="str">
        <ns0:v>승인</ns0:v>
      </ns0:c>
      <ns0:c r="I96" s="14" t="n">
        <ns0:v>0.1</ns0:v>
      </ns0:c>
      <ns0:c r="J96" s="16"/>
      <ns0:c r="K96" s="8" t="n">
        <ns0:v>1</ns0:v>
      </ns0:c>
      <ns0:c r="L96" s="8"/>
      <ns0:c r="M96" s="8" t="str">
        <ns0:v>A</ns0:v>
      </ns0:c>
    </ns0:row>
    <ns0:row r="97" ht="23" customHeight="1">
      <ns0:c r="B97" s="10" t="str">
        <ns0:v>APP000092</ns0:v>
      </ns0:c>
      <ns0:c r="C97" s="10" t="str">
        <ns0:v>000092</ns0:v>
      </ns0:c>
      <ns0:c r="D97" s="8" t="str">
        <ns0:v>생산</ns0:v>
      </ns0:c>
      <ns0:c r="E97" s="8" t="str">
        <ns0:v>C02</ns0:v>
      </ns0:c>
      <ns0:c r="F97" s="12" t="d">
        <ns0:v>2026-10-08T00:00:00.000Z</ns0:v>
      </ns0:c>
      <ns0:c r="G97" s="8" t="n">
        <ns0:v>1</ns0:v>
      </ns0:c>
      <ns0:c r="H97" s="8" t="str">
        <ns0:v>대기</ns0:v>
      </ns0:c>
      <ns0:c r="I97" s="14" t="n">
        <ns0:v>0.125</ns0:v>
      </ns0:c>
      <ns0:c r="J97" s="16"/>
      <ns0:c r="K97" s="8" t="n">
        <ns0:v>1</ns0:v>
      </ns0:c>
      <ns0:c r="L97" s="8"/>
      <ns0:c r="M97" s="8" t="str">
        <ns0:v>A</ns0:v>
      </ns0:c>
    </ns0:row>
    <ns0:row r="98" ht="23" customHeight="1">
      <ns0:c r="B98" s="10" t="str">
        <ns0:v>APP000093</ns0:v>
      </ns0:c>
      <ns0:c r="C98" s="10" t="str">
        <ns0:v>000093</ns0:v>
      </ns0:c>
      <ns0:c r="D98" s="8" t="str">
        <ns0:v>품질</ns0:v>
      </ns0:c>
      <ns0:c r="E98" s="8" t="str">
        <ns0:v>C09</ns0:v>
      </ns0:c>
      <ns0:c r="F98" s="12" t="d">
        <ns0:v>2026-10-09T00:00:00.000Z</ns0:v>
      </ns0:c>
      <ns0:c r="G98" s="8" t="n">
        <ns0:v>2</ns0:v>
      </ns0:c>
      <ns0:c r="H98" s="8" t="str">
        <ns0:v>승인</ns0:v>
      </ns0:c>
      <ns0:c r="I98" s="14" t="n">
        <ns0:v>0</ns0:v>
      </ns0:c>
      <ns0:c r="J98" s="16"/>
      <ns0:c r="K98" s="8" t="n">
        <ns0:v>1</ns0:v>
      </ns0:c>
      <ns0:c r="L98" s="8"/>
      <ns0:c r="M98" s="8" t="str">
        <ns0:v>A</ns0:v>
      </ns0:c>
    </ns0:row>
    <ns0:row r="99" ht="23" customHeight="1">
      <ns0:c r="B99" s="10" t="str">
        <ns0:v>APP000094</ns0:v>
      </ns0:c>
      <ns0:c r="C99" s="10" t="str">
        <ns0:v>000094</ns0:v>
      </ns0:c>
      <ns0:c r="D99" s="8" t="str">
        <ns0:v>기획</ns0:v>
      </ns0:c>
      <ns0:c r="E99" s="8" t="str">
        <ns0:v>C04</ns0:v>
      </ns0:c>
      <ns0:c r="F99" s="12" t="d">
        <ns0:v>2026-10-10T00:00:00.000Z</ns0:v>
      </ns0:c>
      <ns0:c r="G99" s="8" t="n">
        <ns0:v>3</ns0:v>
      </ns0:c>
      <ns0:c r="H99" s="8" t="str">
        <ns0:v>승인</ns0:v>
      </ns0:c>
      <ns0:c r="I99" s="14" t="n">
        <ns0:v>0.05</ns0:v>
      </ns0:c>
      <ns0:c r="J99" s="16"/>
      <ns0:c r="K99" s="8" t="n">
        <ns0:v>1</ns0:v>
      </ns0:c>
      <ns0:c r="L99" s="8"/>
      <ns0:c r="M99" s="8" t="str">
        <ns0:v>A</ns0:v>
      </ns0:c>
    </ns0:row>
    <ns0:row r="100" ht="23" customHeight="1">
      <ns0:c r="B100" s="10" t="str">
        <ns0:v>APP000095</ns0:v>
      </ns0:c>
      <ns0:c r="C100" s="10" t="str">
        <ns0:v>000095</ns0:v>
      </ns0:c>
      <ns0:c r="D100" s="8" t="str">
        <ns0:v>영업</ns0:v>
      </ns0:c>
      <ns0:c r="E100" s="8" t="str">
        <ns0:v>C11</ns0:v>
      </ns0:c>
      <ns0:c r="F100" s="12" t="d">
        <ns0:v>2026-10-11T00:00:00.000Z</ns0:v>
      </ns0:c>
      <ns0:c r="G100" s="8" t="n">
        <ns0:v>4</ns0:v>
      </ns0:c>
      <ns0:c r="H100" s="8" t="str">
        <ns0:v>승인</ns0:v>
      </ns0:c>
      <ns0:c r="I100" s="14" t="n">
        <ns0:v>0.1</ns0:v>
      </ns0:c>
      <ns0:c r="J100" s="16"/>
      <ns0:c r="K100" s="8" t="n">
        <ns0:v>1</ns0:v>
      </ns0:c>
      <ns0:c r="L100" s="8"/>
      <ns0:c r="M100" s="8" t="str">
        <ns0:v>A</ns0:v>
      </ns0:c>
    </ns0:row>
    <ns0:row r="101" ht="23" customHeight="1">
      <ns0:c r="B101" s="10" t="str">
        <ns0:v>APP000096</ns0:v>
      </ns0:c>
      <ns0:c r="C101" s="10" t="str">
        <ns0:v>000096</ns0:v>
      </ns0:c>
      <ns0:c r="D101" s="8" t="str">
        <ns0:v>지원</ns0:v>
      </ns0:c>
      <ns0:c r="E101" s="8" t="str">
        <ns0:v>C06</ns0:v>
      </ns0:c>
      <ns0:c r="F101" s="12" t="d">
        <ns0:v>2026-10-12T00:00:00.000Z</ns0:v>
      </ns0:c>
      <ns0:c r="G101" s="8" t="n">
        <ns0:v>5</ns0:v>
      </ns0:c>
      <ns0:c r="H101" s="8" t="str">
        <ns0:v>승인</ns0:v>
      </ns0:c>
      <ns0:c r="I101" s="14" t="n">
        <ns0:v>0.125</ns0:v>
      </ns0:c>
      <ns0:c r="J101" s="16"/>
      <ns0:c r="K101" s="8" t="n">
        <ns0:v>1</ns0:v>
      </ns0:c>
      <ns0:c r="L101" s="8"/>
      <ns0:c r="M101" s="8" t="str">
        <ns0:v>A</ns0:v>
      </ns0:c>
    </ns0:row>
    <ns0:row r="102" ht="23" customHeight="1">
      <ns0:c r="B102" s="10" t="str">
        <ns0:v>APP000097</ns0:v>
      </ns0:c>
      <ns0:c r="C102" s="10" t="str">
        <ns0:v>000097</ns0:v>
      </ns0:c>
      <ns0:c r="D102" s="8" t="str">
        <ns0:v>개발</ns0:v>
      </ns0:c>
      <ns0:c r="E102" s="8" t="str">
        <ns0:v>C01</ns0:v>
      </ns0:c>
      <ns0:c r="F102" s="12" t="d">
        <ns0:v>2026-10-13T00:00:00.000Z</ns0:v>
      </ns0:c>
      <ns0:c r="G102" s="8" t="n">
        <ns0:v>0</ns0:v>
      </ns0:c>
      <ns0:c r="H102" s="8" t="str">
        <ns0:v>승인</ns0:v>
      </ns0:c>
      <ns0:c r="I102" s="14" t="n">
        <ns0:v>0</ns0:v>
      </ns0:c>
      <ns0:c r="J102" s="16"/>
      <ns0:c r="K102" s="8" t="n">
        <ns0:v>1</ns0:v>
      </ns0:c>
      <ns0:c r="L102" s="8"/>
      <ns0:c r="M102" s="8" t="str">
        <ns0:v>A</ns0:v>
      </ns0:c>
    </ns0:row>
    <ns0:row r="103" ht="23" customHeight="1">
      <ns0:c r="B103" s="10" t="str">
        <ns0:v>APP000098</ns0:v>
      </ns0:c>
      <ns0:c r="C103" s="10" t="str">
        <ns0:v>000098</ns0:v>
      </ns0:c>
      <ns0:c r="D103" s="8" t="str">
        <ns0:v>생산</ns0:v>
      </ns0:c>
      <ns0:c r="E103" s="8" t="str">
        <ns0:v>C08</ns0:v>
      </ns0:c>
      <ns0:c r="F103" s="12" t="d">
        <ns0:v>2026-10-14T00:00:00.000Z</ns0:v>
      </ns0:c>
      <ns0:c r="G103" s="8" t="n">
        <ns0:v>1</ns0:v>
      </ns0:c>
      <ns0:c r="H103" s="8" t="str">
        <ns0:v>승인</ns0:v>
      </ns0:c>
      <ns0:c r="I103" s="14" t="n">
        <ns0:v>0.05</ns0:v>
      </ns0:c>
      <ns0:c r="J103" s="16"/>
      <ns0:c r="K103" s="8" t="n">
        <ns0:v>1</ns0:v>
      </ns0:c>
      <ns0:c r="L103" s="8"/>
      <ns0:c r="M103" s="8" t="str">
        <ns0:v>A</ns0:v>
      </ns0:c>
    </ns0:row>
    <ns0:row r="104" ht="23" customHeight="1">
      <ns0:c r="B104" s="10" t="str">
        <ns0:v>APP000099</ns0:v>
      </ns0:c>
      <ns0:c r="C104" s="10" t="str">
        <ns0:v>000099</ns0:v>
      </ns0:c>
      <ns0:c r="D104" s="8" t="str">
        <ns0:v>품질</ns0:v>
      </ns0:c>
      <ns0:c r="E104" s="8" t="str">
        <ns0:v>C03</ns0:v>
      </ns0:c>
      <ns0:c r="F104" s="12" t="d">
        <ns0:v>2026-10-15T00:00:00.000Z</ns0:v>
      </ns0:c>
      <ns0:c r="G104" s="8" t="n">
        <ns0:v>2</ns0:v>
      </ns0:c>
      <ns0:c r="H104" s="8" t="str">
        <ns0:v>대기</ns0:v>
      </ns0:c>
      <ns0:c r="I104" s="14" t="n">
        <ns0:v>0.1</ns0:v>
      </ns0:c>
      <ns0:c r="J104" s="16"/>
      <ns0:c r="K104" s="8" t="n">
        <ns0:v>1</ns0:v>
      </ns0:c>
      <ns0:c r="L104" s="8"/>
      <ns0:c r="M104" s="8" t="str">
        <ns0:v>A</ns0:v>
      </ns0:c>
    </ns0:row>
    <ns0:row r="105" ht="23" customHeight="1">
      <ns0:c r="B105" s="10" t="str">
        <ns0:v>APP000100</ns0:v>
      </ns0:c>
      <ns0:c r="C105" s="10" t="str">
        <ns0:v>000100</ns0:v>
      </ns0:c>
      <ns0:c r="D105" s="8" t="str">
        <ns0:v>기획</ns0:v>
      </ns0:c>
      <ns0:c r="E105" s="8" t="str">
        <ns0:v>C10</ns0:v>
      </ns0:c>
      <ns0:c r="F105" s="12" t="d">
        <ns0:v>2026-10-16T00:00:00.000Z</ns0:v>
      </ns0:c>
      <ns0:c r="G105" s="8" t="n">
        <ns0:v>3</ns0:v>
      </ns0:c>
      <ns0:c r="H105" s="8" t="str">
        <ns0:v>취소</ns0:v>
      </ns0:c>
      <ns0:c r="I105" s="14" t="n">
        <ns0:v>0.125</ns0:v>
      </ns0:c>
      <ns0:c r="J105" s="16"/>
      <ns0:c r="K105" s="8" t="n">
        <ns0:v>1</ns0:v>
      </ns0:c>
      <ns0:c r="L105" s="8"/>
      <ns0:c r="M105" s="8" t="str">
        <ns0:v>A</ns0:v>
      </ns0:c>
    </ns0:row>
    <ns0:row r="106" ht="23" customHeight="1">
      <ns0:c r="B106" s="10" t="str">
        <ns0:v>APP000101</ns0:v>
      </ns0:c>
      <ns0:c r="C106" s="10" t="str">
        <ns0:v>000101</ns0:v>
      </ns0:c>
      <ns0:c r="D106" s="8" t="str">
        <ns0:v>영업</ns0:v>
      </ns0:c>
      <ns0:c r="E106" s="8" t="str">
        <ns0:v>C05</ns0:v>
      </ns0:c>
      <ns0:c r="F106" s="12" t="d">
        <ns0:v>2026-10-17T00:00:00.000Z</ns0:v>
      </ns0:c>
      <ns0:c r="G106" s="8" t="n">
        <ns0:v>4</ns0:v>
      </ns0:c>
      <ns0:c r="H106" s="8" t="str">
        <ns0:v>승인</ns0:v>
      </ns0:c>
      <ns0:c r="I106" s="14" t="n">
        <ns0:v>0</ns0:v>
      </ns0:c>
      <ns0:c r="J106" s="16"/>
      <ns0:c r="K106" s="8" t="n">
        <ns0:v>1</ns0:v>
      </ns0:c>
      <ns0:c r="L106" s="8"/>
      <ns0:c r="M106" s="8" t="str">
        <ns0:v>A</ns0:v>
      </ns0:c>
    </ns0:row>
    <ns0:row r="107" ht="23" customHeight="1">
      <ns0:c r="B107" s="10" t="str">
        <ns0:v>APP000102</ns0:v>
      </ns0:c>
      <ns0:c r="C107" s="10" t="str">
        <ns0:v>000102</ns0:v>
      </ns0:c>
      <ns0:c r="D107" s="8" t="str">
        <ns0:v>지원</ns0:v>
      </ns0:c>
      <ns0:c r="E107" s="8" t="str">
        <ns0:v>C12</ns0:v>
      </ns0:c>
      <ns0:c r="F107" s="12" t="d">
        <ns0:v>2026-10-18T00:00:00.000Z</ns0:v>
      </ns0:c>
      <ns0:c r="G107" s="8" t="n">
        <ns0:v>5</ns0:v>
      </ns0:c>
      <ns0:c r="H107" s="8" t="str">
        <ns0:v>승인</ns0:v>
      </ns0:c>
      <ns0:c r="I107" s="14" t="n">
        <ns0:v>0.05</ns0:v>
      </ns0:c>
      <ns0:c r="J107" s="16"/>
      <ns0:c r="K107" s="8" t="n">
        <ns0:v>1</ns0:v>
      </ns0:c>
      <ns0:c r="L107" s="8"/>
      <ns0:c r="M107" s="8" t="str">
        <ns0:v>A</ns0:v>
      </ns0:c>
    </ns0:row>
    <ns0:row r="108" ht="23" customHeight="1">
      <ns0:c r="B108" s="10" t="str">
        <ns0:v>APP000103</ns0:v>
      </ns0:c>
      <ns0:c r="C108" s="10" t="str">
        <ns0:v>000103</ns0:v>
      </ns0:c>
      <ns0:c r="D108" s="8" t="str">
        <ns0:v>개발</ns0:v>
      </ns0:c>
      <ns0:c r="E108" s="8" t="str">
        <ns0:v>C07</ns0:v>
      </ns0:c>
      <ns0:c r="F108" s="12" t="d">
        <ns0:v>2026-10-19T00:00:00.000Z</ns0:v>
      </ns0:c>
      <ns0:c r="G108" s="8" t="n">
        <ns0:v>0</ns0:v>
      </ns0:c>
      <ns0:c r="H108" s="8" t="str">
        <ns0:v>승인</ns0:v>
      </ns0:c>
      <ns0:c r="I108" s="14" t="n">
        <ns0:v>0.1</ns0:v>
      </ns0:c>
      <ns0:c r="J108" s="16"/>
      <ns0:c r="K108" s="8" t="n">
        <ns0:v>1</ns0:v>
      </ns0:c>
      <ns0:c r="L108" s="8"/>
      <ns0:c r="M108" s="8" t="str">
        <ns0:v>A</ns0:v>
      </ns0:c>
    </ns0:row>
    <ns0:row r="109" ht="23" customHeight="1">
      <ns0:c r="B109" s="10" t="str">
        <ns0:v>APP000104</ns0:v>
      </ns0:c>
      <ns0:c r="C109" s="10" t="str">
        <ns0:v>000104</ns0:v>
      </ns0:c>
      <ns0:c r="D109" s="8" t="str">
        <ns0:v>생산</ns0:v>
      </ns0:c>
      <ns0:c r="E109" s="8" t="str">
        <ns0:v>C02</ns0:v>
      </ns0:c>
      <ns0:c r="F109" s="12" t="d">
        <ns0:v>2026-10-20T00:00:00.000Z</ns0:v>
      </ns0:c>
      <ns0:c r="G109" s="8" t="n">
        <ns0:v>1</ns0:v>
      </ns0:c>
      <ns0:c r="H109" s="8" t="str">
        <ns0:v>승인</ns0:v>
      </ns0:c>
      <ns0:c r="I109" s="14" t="n">
        <ns0:v>0.125</ns0:v>
      </ns0:c>
      <ns0:c r="J109" s="16"/>
      <ns0:c r="K109" s="8" t="n">
        <ns0:v>1</ns0:v>
      </ns0:c>
      <ns0:c r="L109" s="8"/>
      <ns0:c r="M109" s="8" t="str">
        <ns0:v>A</ns0:v>
      </ns0:c>
    </ns0:row>
    <ns0:row r="110" ht="23" customHeight="1">
      <ns0:c r="B110" s="10" t="str">
        <ns0:v>APP000105</ns0:v>
      </ns0:c>
      <ns0:c r="C110" s="10" t="str">
        <ns0:v>000105</ns0:v>
      </ns0:c>
      <ns0:c r="D110" s="8" t="str">
        <ns0:v>품질</ns0:v>
      </ns0:c>
      <ns0:c r="E110" s="8" t="str">
        <ns0:v>C09</ns0:v>
      </ns0:c>
      <ns0:c r="F110" s="12" t="d">
        <ns0:v>2026-10-21T00:00:00.000Z</ns0:v>
      </ns0:c>
      <ns0:c r="G110" s="8" t="n">
        <ns0:v>2</ns0:v>
      </ns0:c>
      <ns0:c r="H110" s="8" t="str">
        <ns0:v>승인</ns0:v>
      </ns0:c>
      <ns0:c r="I110" s="14" t="n">
        <ns0:v>0</ns0:v>
      </ns0:c>
      <ns0:c r="J110" s="16"/>
      <ns0:c r="K110" s="8" t="n">
        <ns0:v>1</ns0:v>
      </ns0:c>
      <ns0:c r="L110" s="8"/>
      <ns0:c r="M110" s="8" t="str">
        <ns0:v>A</ns0:v>
      </ns0:c>
    </ns0:row>
    <ns0:row r="111" ht="23" customHeight="1">
      <ns0:c r="B111" s="10" t="str">
        <ns0:v>APP000106</ns0:v>
      </ns0:c>
      <ns0:c r="C111" s="10" t="str">
        <ns0:v>000106</ns0:v>
      </ns0:c>
      <ns0:c r="D111" s="8" t="str">
        <ns0:v>기획</ns0:v>
      </ns0:c>
      <ns0:c r="E111" s="8" t="str">
        <ns0:v>C04</ns0:v>
      </ns0:c>
      <ns0:c r="F111" s="12" t="d">
        <ns0:v>2026-10-22T00:00:00.000Z</ns0:v>
      </ns0:c>
      <ns0:c r="G111" s="8" t="n">
        <ns0:v>3</ns0:v>
      </ns0:c>
      <ns0:c r="H111" s="8" t="str">
        <ns0:v>대기</ns0:v>
      </ns0:c>
      <ns0:c r="I111" s="14" t="n">
        <ns0:v>0.05</ns0:v>
      </ns0:c>
      <ns0:c r="J111" s="16"/>
      <ns0:c r="K111" s="8" t="n">
        <ns0:v>1</ns0:v>
      </ns0:c>
      <ns0:c r="L111" s="8"/>
      <ns0:c r="M111" s="8" t="str">
        <ns0:v>A</ns0:v>
      </ns0:c>
    </ns0:row>
    <ns0:row r="112" ht="23" customHeight="1">
      <ns0:c r="B112" s="10" t="str">
        <ns0:v>APP000107</ns0:v>
      </ns0:c>
      <ns0:c r="C112" s="10" t="str">
        <ns0:v>000107</ns0:v>
      </ns0:c>
      <ns0:c r="D112" s="8" t="str">
        <ns0:v>영업</ns0:v>
      </ns0:c>
      <ns0:c r="E112" s="8" t="str">
        <ns0:v>C11</ns0:v>
      </ns0:c>
      <ns0:c r="F112" s="12" t="d">
        <ns0:v>2026-10-23T00:00:00.000Z</ns0:v>
      </ns0:c>
      <ns0:c r="G112" s="8" t="n">
        <ns0:v>4</ns0:v>
      </ns0:c>
      <ns0:c r="H112" s="8" t="str">
        <ns0:v>승인</ns0:v>
      </ns0:c>
      <ns0:c r="I112" s="14" t="n">
        <ns0:v>0.1</ns0:v>
      </ns0:c>
      <ns0:c r="J112" s="16" t="n">
        <ns0:v>0</ns0:v>
      </ns0:c>
      <ns0:c r="K112" s="8" t="n">
        <ns0:v>1</ns0:v>
      </ns0:c>
      <ns0:c r="L112" s="8" t="str">
        <ns0:v>0원 수동금액 유지</ns0:v>
      </ns0:c>
      <ns0:c r="M112" s="8" t="str">
        <ns0:v>A</ns0:v>
      </ns0:c>
    </ns0:row>
    <ns0:row r="113" ht="23" customHeight="1">
      <ns0:c r="B113" s="10" t="str">
        <ns0:v>APP000108</ns0:v>
      </ns0:c>
      <ns0:c r="C113" s="10" t="str">
        <ns0:v>000108</ns0:v>
      </ns0:c>
      <ns0:c r="D113" s="8" t="str">
        <ns0:v>지원</ns0:v>
      </ns0:c>
      <ns0:c r="E113" s="8" t="str">
        <ns0:v>C06</ns0:v>
      </ns0:c>
      <ns0:c r="F113" s="12" t="d">
        <ns0:v>2026-10-24T00:00:00.000Z</ns0:v>
      </ns0:c>
      <ns0:c r="G113" s="8" t="n">
        <ns0:v>5</ns0:v>
      </ns0:c>
      <ns0:c r="H113" s="8" t="str">
        <ns0:v>승인</ns0:v>
      </ns0:c>
      <ns0:c r="I113" s="14" t="n">
        <ns0:v>0.125</ns0:v>
      </ns0:c>
      <ns0:c r="J113" s="16"/>
      <ns0:c r="K113" s="8" t="n">
        <ns0:v>1</ns0:v>
      </ns0:c>
      <ns0:c r="L113" s="8"/>
      <ns0:c r="M113" s="8" t="str">
        <ns0:v>A</ns0:v>
      </ns0:c>
    </ns0:row>
    <ns0:row r="114" ht="23" customHeight="1">
      <ns0:c r="B114" s="10" t="str">
        <ns0:v>APP000109</ns0:v>
      </ns0:c>
      <ns0:c r="C114" s="10" t="str">
        <ns0:v>000109</ns0:v>
      </ns0:c>
      <ns0:c r="D114" s="8" t="str">
        <ns0:v>개발</ns0:v>
      </ns0:c>
      <ns0:c r="E114" s="8" t="str">
        <ns0:v>C01</ns0:v>
      </ns0:c>
      <ns0:c r="F114" s="12" t="d">
        <ns0:v>2026-10-25T00:00:00.000Z</ns0:v>
      </ns0:c>
      <ns0:c r="G114" s="8" t="n">
        <ns0:v>0</ns0:v>
      </ns0:c>
      <ns0:c r="H114" s="8" t="str">
        <ns0:v>승인</ns0:v>
      </ns0:c>
      <ns0:c r="I114" s="14" t="n">
        <ns0:v>0</ns0:v>
      </ns0:c>
      <ns0:c r="J114" s="16"/>
      <ns0:c r="K114" s="8" t="n">
        <ns0:v>1</ns0:v>
      </ns0:c>
      <ns0:c r="L114" s="8"/>
      <ns0:c r="M114" s="8" t="str">
        <ns0:v>A</ns0:v>
      </ns0:c>
    </ns0:row>
    <ns0:row r="115" ht="23" customHeight="1">
      <ns0:c r="B115" s="10" t="str">
        <ns0:v>APP000110</ns0:v>
      </ns0:c>
      <ns0:c r="C115" s="10" t="str">
        <ns0:v>000110</ns0:v>
      </ns0:c>
      <ns0:c r="D115" s="8" t="str">
        <ns0:v>생산</ns0:v>
      </ns0:c>
      <ns0:c r="E115" s="8" t="str">
        <ns0:v>C08</ns0:v>
      </ns0:c>
      <ns0:c r="F115" s="12" t="d">
        <ns0:v>2026-10-26T00:00:00.000Z</ns0:v>
      </ns0:c>
      <ns0:c r="G115" s="8" t="n">
        <ns0:v>1</ns0:v>
      </ns0:c>
      <ns0:c r="H115" s="8" t="str">
        <ns0:v>승인</ns0:v>
      </ns0:c>
      <ns0:c r="I115" s="14" t="n">
        <ns0:v>0.05</ns0:v>
      </ns0:c>
      <ns0:c r="J115" s="16"/>
      <ns0:c r="K115" s="8" t="n">
        <ns0:v>1</ns0:v>
      </ns0:c>
      <ns0:c r="L115" s="8"/>
      <ns0:c r="M115" s="8" t="str">
        <ns0:v>A</ns0:v>
      </ns0:c>
    </ns0:row>
    <ns0:row r="116" ht="23" customHeight="1">
      <ns0:c r="B116" s="10" t="str">
        <ns0:v>APP000111</ns0:v>
      </ns0:c>
      <ns0:c r="C116" s="10" t="str">
        <ns0:v>000111</ns0:v>
      </ns0:c>
      <ns0:c r="D116" s="8" t="str">
        <ns0:v>품질</ns0:v>
      </ns0:c>
      <ns0:c r="E116" s="8" t="str">
        <ns0:v>C03</ns0:v>
      </ns0:c>
      <ns0:c r="F116" s="12" t="d">
        <ns0:v>2026-10-27T00:00:00.000Z</ns0:v>
      </ns0:c>
      <ns0:c r="G116" s="8" t="n">
        <ns0:v>2</ns0:v>
      </ns0:c>
      <ns0:c r="H116" s="8" t="str">
        <ns0:v>취소</ns0:v>
      </ns0:c>
      <ns0:c r="I116" s="14" t="n">
        <ns0:v>0.1</ns0:v>
      </ns0:c>
      <ns0:c r="J116" s="16"/>
      <ns0:c r="K116" s="8" t="n">
        <ns0:v>1</ns0:v>
      </ns0:c>
      <ns0:c r="L116" s="8"/>
      <ns0:c r="M116" s="8" t="str">
        <ns0:v>A</ns0:v>
      </ns0:c>
    </ns0:row>
    <ns0:row r="117" ht="23" customHeight="1">
      <ns0:c r="B117" s="10" t="str">
        <ns0:v>APP000112</ns0:v>
      </ns0:c>
      <ns0:c r="C117" s="10" t="str">
        <ns0:v>000112</ns0:v>
      </ns0:c>
      <ns0:c r="D117" s="8" t="str">
        <ns0:v>기획</ns0:v>
      </ns0:c>
      <ns0:c r="E117" s="8" t="str">
        <ns0:v>C10</ns0:v>
      </ns0:c>
      <ns0:c r="F117" s="12" t="d">
        <ns0:v>2026-10-28T00:00:00.000Z</ns0:v>
      </ns0:c>
      <ns0:c r="G117" s="8" t="n">
        <ns0:v>3</ns0:v>
      </ns0:c>
      <ns0:c r="H117" s="8" t="str">
        <ns0:v>승인</ns0:v>
      </ns0:c>
      <ns0:c r="I117" s="14" t="n">
        <ns0:v>0.125</ns0:v>
      </ns0:c>
      <ns0:c r="J117" s="16"/>
      <ns0:c r="K117" s="8" t="n">
        <ns0:v>1</ns0:v>
      </ns0:c>
      <ns0:c r="L117" s="8"/>
      <ns0:c r="M117" s="8" t="str">
        <ns0:v>A</ns0:v>
      </ns0:c>
    </ns0:row>
    <ns0:row r="118" ht="23" customHeight="1">
      <ns0:c r="B118" s="10" t="str">
        <ns0:v>APP000113</ns0:v>
      </ns0:c>
      <ns0:c r="C118" s="10" t="str">
        <ns0:v>000113</ns0:v>
      </ns0:c>
      <ns0:c r="D118" s="8" t="str">
        <ns0:v>영업</ns0:v>
      </ns0:c>
      <ns0:c r="E118" s="8" t="str">
        <ns0:v>C05</ns0:v>
      </ns0:c>
      <ns0:c r="F118" s="12" t="d">
        <ns0:v>2026-10-01T00:00:00.000Z</ns0:v>
      </ns0:c>
      <ns0:c r="G118" s="8" t="n">
        <ns0:v>4</ns0:v>
      </ns0:c>
      <ns0:c r="H118" s="8" t="str">
        <ns0:v>대기</ns0:v>
      </ns0:c>
      <ns0:c r="I118" s="14" t="n">
        <ns0:v>0</ns0:v>
      </ns0:c>
      <ns0:c r="J118" s="16"/>
      <ns0:c r="K118" s="8" t="n">
        <ns0:v>1</ns0:v>
      </ns0:c>
      <ns0:c r="L118" s="8"/>
      <ns0:c r="M118" s="8" t="str">
        <ns0:v>A</ns0:v>
      </ns0:c>
    </ns0:row>
    <ns0:row r="119" ht="23" customHeight="1">
      <ns0:c r="B119" s="10" t="str">
        <ns0:v>APP000114</ns0:v>
      </ns0:c>
      <ns0:c r="C119" s="10" t="str">
        <ns0:v>000114</ns0:v>
      </ns0:c>
      <ns0:c r="D119" s="8" t="str">
        <ns0:v>지원</ns0:v>
      </ns0:c>
      <ns0:c r="E119" s="8" t="str">
        <ns0:v>C12</ns0:v>
      </ns0:c>
      <ns0:c r="F119" s="12" t="d">
        <ns0:v>2026-10-02T00:00:00.000Z</ns0:v>
      </ns0:c>
      <ns0:c r="G119" s="8" t="n">
        <ns0:v>5</ns0:v>
      </ns0:c>
      <ns0:c r="H119" s="8" t="str">
        <ns0:v>승인</ns0:v>
      </ns0:c>
      <ns0:c r="I119" s="14" t="n">
        <ns0:v>0.05</ns0:v>
      </ns0:c>
      <ns0:c r="J119" s="16"/>
      <ns0:c r="K119" s="8" t="n">
        <ns0:v>1</ns0:v>
      </ns0:c>
      <ns0:c r="L119" s="8"/>
      <ns0:c r="M119" s="8" t="str">
        <ns0:v>A</ns0:v>
      </ns0:c>
    </ns0:row>
    <ns0:row r="120" ht="23" customHeight="1">
      <ns0:c r="B120" s="10" t="str">
        <ns0:v>APP000115</ns0:v>
      </ns0:c>
      <ns0:c r="C120" s="10" t="str">
        <ns0:v>000115</ns0:v>
      </ns0:c>
      <ns0:c r="D120" s="8" t="str">
        <ns0:v>개발</ns0:v>
      </ns0:c>
      <ns0:c r="E120" s="8" t="str">
        <ns0:v>C07</ns0:v>
      </ns0:c>
      <ns0:c r="F120" s="12" t="d">
        <ns0:v>2026-10-03T00:00:00.000Z</ns0:v>
      </ns0:c>
      <ns0:c r="G120" s="8" t="n">
        <ns0:v>0</ns0:v>
      </ns0:c>
      <ns0:c r="H120" s="8" t="str">
        <ns0:v>승인</ns0:v>
      </ns0:c>
      <ns0:c r="I120" s="14" t="n">
        <ns0:v>0.1</ns0:v>
      </ns0:c>
      <ns0:c r="J120" s="16"/>
      <ns0:c r="K120" s="8" t="n">
        <ns0:v>1</ns0:v>
      </ns0:c>
      <ns0:c r="L120" s="8"/>
      <ns0:c r="M120" s="8" t="str">
        <ns0:v>A</ns0:v>
      </ns0:c>
    </ns0:row>
    <ns0:row r="121" ht="23" customHeight="1">
      <ns0:c r="B121" s="10" t="str">
        <ns0:v>APP000116</ns0:v>
      </ns0:c>
      <ns0:c r="C121" s="10" t="str">
        <ns0:v>000116</ns0:v>
      </ns0:c>
      <ns0:c r="D121" s="8" t="str">
        <ns0:v>생산</ns0:v>
      </ns0:c>
      <ns0:c r="E121" s="8" t="str">
        <ns0:v>C02</ns0:v>
      </ns0:c>
      <ns0:c r="F121" s="12" t="d">
        <ns0:v>2026-10-04T00:00:00.000Z</ns0:v>
      </ns0:c>
      <ns0:c r="G121" s="8" t="n">
        <ns0:v>1</ns0:v>
      </ns0:c>
      <ns0:c r="H121" s="8" t="str">
        <ns0:v>승인</ns0:v>
      </ns0:c>
      <ns0:c r="I121" s="14" t="n">
        <ns0:v>0.125</ns0:v>
      </ns0:c>
      <ns0:c r="J121" s="16"/>
      <ns0:c r="K121" s="8" t="n">
        <ns0:v>1</ns0:v>
      </ns0:c>
      <ns0:c r="L121" s="8"/>
      <ns0:c r="M121" s="8" t="str">
        <ns0:v>A</ns0:v>
      </ns0:c>
    </ns0:row>
    <ns0:row r="122" ht="23" customHeight="1">
      <ns0:c r="B122" s="10" t="str">
        <ns0:v>APP000117</ns0:v>
      </ns0:c>
      <ns0:c r="C122" s="10" t="str">
        <ns0:v>000117</ns0:v>
      </ns0:c>
      <ns0:c r="D122" s="8" t="str">
        <ns0:v>품질</ns0:v>
      </ns0:c>
      <ns0:c r="E122" s="8" t="str">
        <ns0:v>C09</ns0:v>
      </ns0:c>
      <ns0:c r="F122" s="12" t="d">
        <ns0:v>2026-10-05T00:00:00.000Z</ns0:v>
      </ns0:c>
      <ns0:c r="G122" s="8" t="n">
        <ns0:v>2</ns0:v>
      </ns0:c>
      <ns0:c r="H122" s="8" t="str">
        <ns0:v>승인</ns0:v>
      </ns0:c>
      <ns0:c r="I122" s="14" t="n">
        <ns0:v>0</ns0:v>
      </ns0:c>
      <ns0:c r="J122" s="16"/>
      <ns0:c r="K122" s="8" t="n">
        <ns0:v>1</ns0:v>
      </ns0:c>
      <ns0:c r="L122" s="8"/>
      <ns0:c r="M122" s="8" t="str">
        <ns0:v>A</ns0:v>
      </ns0:c>
    </ns0:row>
    <ns0:row r="123" ht="23" customHeight="1">
      <ns0:c r="B123" s="10" t="str">
        <ns0:v>APP000118</ns0:v>
      </ns0:c>
      <ns0:c r="C123" s="10" t="str">
        <ns0:v>000118</ns0:v>
      </ns0:c>
      <ns0:c r="D123" s="8" t="str">
        <ns0:v>기획</ns0:v>
      </ns0:c>
      <ns0:c r="E123" s="8" t="str">
        <ns0:v>C04</ns0:v>
      </ns0:c>
      <ns0:c r="F123" s="12" t="d">
        <ns0:v>2026-10-06T00:00:00.000Z</ns0:v>
      </ns0:c>
      <ns0:c r="G123" s="8" t="n">
        <ns0:v>3</ns0:v>
      </ns0:c>
      <ns0:c r="H123" s="8" t="str">
        <ns0:v>승인</ns0:v>
      </ns0:c>
      <ns0:c r="I123" s="14" t="n">
        <ns0:v>0.05</ns0:v>
      </ns0:c>
      <ns0:c r="J123" s="16"/>
      <ns0:c r="K123" s="8" t="n">
        <ns0:v>1</ns0:v>
      </ns0:c>
      <ns0:c r="L123" s="8"/>
      <ns0:c r="M123" s="8" t="str">
        <ns0:v>A</ns0:v>
      </ns0:c>
    </ns0:row>
    <ns0:row r="124" ht="23" customHeight="1">
      <ns0:c r="B124" s="10" t="str">
        <ns0:v>APP000119</ns0:v>
      </ns0:c>
      <ns0:c r="C124" s="10" t="str">
        <ns0:v>000119</ns0:v>
      </ns0:c>
      <ns0:c r="D124" s="8" t="str">
        <ns0:v>영업</ns0:v>
      </ns0:c>
      <ns0:c r="E124" s="8" t="str">
        <ns0:v>C11</ns0:v>
      </ns0:c>
      <ns0:c r="F124" s="12" t="d">
        <ns0:v>2026-10-07T00:00:00.000Z</ns0:v>
      </ns0:c>
      <ns0:c r="G124" s="8" t="n">
        <ns0:v>4</ns0:v>
      </ns0:c>
      <ns0:c r="H124" s="8" t="str">
        <ns0:v>승인</ns0:v>
      </ns0:c>
      <ns0:c r="I124" s="14" t="n">
        <ns0:v>0.1</ns0:v>
      </ns0:c>
      <ns0:c r="J124" s="16"/>
      <ns0:c r="K124" s="8" t="n">
        <ns0:v>1</ns0:v>
      </ns0:c>
      <ns0:c r="L124" s="8"/>
      <ns0:c r="M124" s="8" t="str">
        <ns0:v>A</ns0:v>
      </ns0:c>
    </ns0:row>
    <ns0:row r="125" ht="23" customHeight="1">
      <ns0:c r="B125" s="10" t="str">
        <ns0:v>APP000120</ns0:v>
      </ns0:c>
      <ns0:c r="C125" s="10" t="str">
        <ns0:v>000120</ns0:v>
      </ns0:c>
      <ns0:c r="D125" s="8" t="str">
        <ns0:v>지원</ns0:v>
      </ns0:c>
      <ns0:c r="E125" s="8" t="str">
        <ns0:v>C06</ns0:v>
      </ns0:c>
      <ns0:c r="F125" s="12" t="d">
        <ns0:v>2026-10-08T00:00:00.000Z</ns0:v>
      </ns0:c>
      <ns0:c r="G125" s="8" t="n">
        <ns0:v>5</ns0:v>
      </ns0:c>
      <ns0:c r="H125" s="8" t="str">
        <ns0:v>대기</ns0:v>
      </ns0:c>
      <ns0:c r="I125" s="14" t="n">
        <ns0:v>0.125</ns0:v>
      </ns0:c>
      <ns0:c r="J125" s="16"/>
      <ns0:c r="K125" s="8" t="n">
        <ns0:v>1</ns0:v>
      </ns0:c>
      <ns0:c r="L125" s="8"/>
      <ns0:c r="M125" s="8" t="str">
        <ns0:v>A</ns0:v>
      </ns0:c>
    </ns0:row>
    <ns0:row r="126" ht="23" customHeight="1">
      <ns0:c r="B126" s="10" t="str">
        <ns0:v>APP000121</ns0:v>
      </ns0:c>
      <ns0:c r="C126" s="10" t="str">
        <ns0:v>000121</ns0:v>
      </ns0:c>
      <ns0:c r="D126" s="8" t="str">
        <ns0:v>개발</ns0:v>
      </ns0:c>
      <ns0:c r="E126" s="8" t="str">
        <ns0:v>C01</ns0:v>
      </ns0:c>
      <ns0:c r="F126" s="12" t="d">
        <ns0:v>2026-10-09T00:00:00.000Z</ns0:v>
      </ns0:c>
      <ns0:c r="G126" s="8" t="n">
        <ns0:v>0</ns0:v>
      </ns0:c>
      <ns0:c r="H126" s="8" t="str">
        <ns0:v>승인</ns0:v>
      </ns0:c>
      <ns0:c r="I126" s="14" t="n">
        <ns0:v>0</ns0:v>
      </ns0:c>
      <ns0:c r="J126" s="16"/>
      <ns0:c r="K126" s="8" t="n">
        <ns0:v>1</ns0:v>
      </ns0:c>
      <ns0:c r="L126" s="8"/>
      <ns0:c r="M126" s="8" t="str">
        <ns0:v>A</ns0:v>
      </ns0:c>
    </ns0:row>
    <ns0:row r="127" ht="23" customHeight="1">
      <ns0:c r="B127" s="10" t="str">
        <ns0:v>APP000122</ns0:v>
      </ns0:c>
      <ns0:c r="C127" s="10" t="str">
        <ns0:v>000122</ns0:v>
      </ns0:c>
      <ns0:c r="D127" s="8" t="str">
        <ns0:v>생산</ns0:v>
      </ns0:c>
      <ns0:c r="E127" s="8" t="str">
        <ns0:v>C08</ns0:v>
      </ns0:c>
      <ns0:c r="F127" s="12" t="d">
        <ns0:v>2026-10-10T00:00:00.000Z</ns0:v>
      </ns0:c>
      <ns0:c r="G127" s="8" t="n">
        <ns0:v>1</ns0:v>
      </ns0:c>
      <ns0:c r="H127" s="8" t="str">
        <ns0:v>취소</ns0:v>
      </ns0:c>
      <ns0:c r="I127" s="14" t="n">
        <ns0:v>0.05</ns0:v>
      </ns0:c>
      <ns0:c r="J127" s="16"/>
      <ns0:c r="K127" s="8" t="n">
        <ns0:v>1</ns0:v>
      </ns0:c>
      <ns0:c r="L127" s="8"/>
      <ns0:c r="M127" s="8" t="str">
        <ns0:v>A</ns0:v>
      </ns0:c>
    </ns0:row>
    <ns0:row r="128" ht="23" customHeight="1">
      <ns0:c r="B128" s="10" t="str">
        <ns0:v>APP000123</ns0:v>
      </ns0:c>
      <ns0:c r="C128" s="10" t="str">
        <ns0:v>000123</ns0:v>
      </ns0:c>
      <ns0:c r="D128" s="8" t="str">
        <ns0:v>품질</ns0:v>
      </ns0:c>
      <ns0:c r="E128" s="8" t="str">
        <ns0:v>C03</ns0:v>
      </ns0:c>
      <ns0:c r="F128" s="12" t="d">
        <ns0:v>2026-10-11T00:00:00.000Z</ns0:v>
      </ns0:c>
      <ns0:c r="G128" s="8" t="n">
        <ns0:v>2</ns0:v>
      </ns0:c>
      <ns0:c r="H128" s="8" t="str">
        <ns0:v>승인</ns0:v>
      </ns0:c>
      <ns0:c r="I128" s="14" t="n">
        <ns0:v>0.1</ns0:v>
      </ns0:c>
      <ns0:c r="J128" s="16"/>
      <ns0:c r="K128" s="8" t="n">
        <ns0:v>1</ns0:v>
      </ns0:c>
      <ns0:c r="L128" s="8"/>
      <ns0:c r="M128" s="8" t="str">
        <ns0:v>A</ns0:v>
      </ns0:c>
    </ns0:row>
    <ns0:row r="129" ht="23" customHeight="1">
      <ns0:c r="B129" s="10" t="str">
        <ns0:v>APP000124</ns0:v>
      </ns0:c>
      <ns0:c r="C129" s="10" t="str">
        <ns0:v>000124</ns0:v>
      </ns0:c>
      <ns0:c r="D129" s="8" t="str">
        <ns0:v>기획</ns0:v>
      </ns0:c>
      <ns0:c r="E129" s="8" t="str">
        <ns0:v>C10</ns0:v>
      </ns0:c>
      <ns0:c r="F129" s="12" t="d">
        <ns0:v>2026-10-12T00:00:00.000Z</ns0:v>
      </ns0:c>
      <ns0:c r="G129" s="8" t="n">
        <ns0:v>3</ns0:v>
      </ns0:c>
      <ns0:c r="H129" s="8" t="str">
        <ns0:v>승인</ns0:v>
      </ns0:c>
      <ns0:c r="I129" s="14" t="n">
        <ns0:v>0.125</ns0:v>
      </ns0:c>
      <ns0:c r="J129" s="16"/>
      <ns0:c r="K129" s="8" t="n">
        <ns0:v>1</ns0:v>
      </ns0:c>
      <ns0:c r="L129" s="8"/>
      <ns0:c r="M129" s="8" t="str">
        <ns0:v>A</ns0:v>
      </ns0:c>
    </ns0:row>
    <ns0:row r="130" ht="23" customHeight="1">
      <ns0:c r="B130" s="10" t="str">
        <ns0:v>APP000125</ns0:v>
      </ns0:c>
      <ns0:c r="C130" s="10" t="str">
        <ns0:v>000125</ns0:v>
      </ns0:c>
      <ns0:c r="D130" s="8" t="str">
        <ns0:v>영업</ns0:v>
      </ns0:c>
      <ns0:c r="E130" s="8" t="str">
        <ns0:v>C05</ns0:v>
      </ns0:c>
      <ns0:c r="F130" s="12" t="d">
        <ns0:v>2026-10-13T00:00:00.000Z</ns0:v>
      </ns0:c>
      <ns0:c r="G130" s="8" t="n">
        <ns0:v>4</ns0:v>
      </ns0:c>
      <ns0:c r="H130" s="8" t="str">
        <ns0:v>승인</ns0:v>
      </ns0:c>
      <ns0:c r="I130" s="14" t="n">
        <ns0:v>0</ns0:v>
      </ns0:c>
      <ns0:c r="J130" s="16"/>
      <ns0:c r="K130" s="8" t="n">
        <ns0:v>1</ns0:v>
      </ns0:c>
      <ns0:c r="L130" s="8"/>
      <ns0:c r="M130" s="8" t="str">
        <ns0:v>A</ns0:v>
      </ns0:c>
    </ns0:row>
    <ns0:row r="131" ht="23" customHeight="1">
      <ns0:c r="B131" s="10" t="str">
        <ns0:v>APP000126</ns0:v>
      </ns0:c>
      <ns0:c r="C131" s="10" t="str">
        <ns0:v>000126</ns0:v>
      </ns0:c>
      <ns0:c r="D131" s="8" t="str">
        <ns0:v>지원</ns0:v>
      </ns0:c>
      <ns0:c r="E131" s="8" t="str">
        <ns0:v>C12</ns0:v>
      </ns0:c>
      <ns0:c r="F131" s="12" t="d">
        <ns0:v>2026-10-14T00:00:00.000Z</ns0:v>
      </ns0:c>
      <ns0:c r="G131" s="8" t="n">
        <ns0:v>5</ns0:v>
      </ns0:c>
      <ns0:c r="H131" s="8" t="str">
        <ns0:v>승인</ns0:v>
      </ns0:c>
      <ns0:c r="I131" s="14" t="n">
        <ns0:v>0.05</ns0:v>
      </ns0:c>
      <ns0:c r="J131" s="16"/>
      <ns0:c r="K131" s="8" t="n">
        <ns0:v>1</ns0:v>
      </ns0:c>
      <ns0:c r="L131" s="8"/>
      <ns0:c r="M131" s="8" t="str">
        <ns0:v>A</ns0:v>
      </ns0:c>
    </ns0:row>
    <ns0:row r="132" ht="23" customHeight="1">
      <ns0:c r="B132" s="10" t="str">
        <ns0:v>APP000127</ns0:v>
      </ns0:c>
      <ns0:c r="C132" s="10" t="str">
        <ns0:v>000127</ns0:v>
      </ns0:c>
      <ns0:c r="D132" s="8" t="str">
        <ns0:v>개발</ns0:v>
      </ns0:c>
      <ns0:c r="E132" s="8" t="str">
        <ns0:v>C07</ns0:v>
      </ns0:c>
      <ns0:c r="F132" s="12" t="d">
        <ns0:v>2026-10-15T00:00:00.000Z</ns0:v>
      </ns0:c>
      <ns0:c r="G132" s="8" t="n">
        <ns0:v>0</ns0:v>
      </ns0:c>
      <ns0:c r="H132" s="8" t="str">
        <ns0:v>대기</ns0:v>
      </ns0:c>
      <ns0:c r="I132" s="14" t="n">
        <ns0:v>0.1</ns0:v>
      </ns0:c>
      <ns0:c r="J132" s="16"/>
      <ns0:c r="K132" s="8" t="n">
        <ns0:v>1</ns0:v>
      </ns0:c>
      <ns0:c r="L132" s="8"/>
      <ns0:c r="M132" s="8" t="str">
        <ns0:v>A</ns0:v>
      </ns0:c>
    </ns0:row>
    <ns0:row r="133" ht="23" customHeight="1">
      <ns0:c r="B133" s="10" t="str">
        <ns0:v>APP000128</ns0:v>
      </ns0:c>
      <ns0:c r="C133" s="10" t="str">
        <ns0:v>000128</ns0:v>
      </ns0:c>
      <ns0:c r="D133" s="8" t="str">
        <ns0:v>생산</ns0:v>
      </ns0:c>
      <ns0:c r="E133" s="8" t="str">
        <ns0:v>C02</ns0:v>
      </ns0:c>
      <ns0:c r="F133" s="12" t="d">
        <ns0:v>2026-10-16T00:00:00.000Z</ns0:v>
      </ns0:c>
      <ns0:c r="G133" s="8" t="n">
        <ns0:v>1</ns0:v>
      </ns0:c>
      <ns0:c r="H133" s="8" t="str">
        <ns0:v>승인</ns0:v>
      </ns0:c>
      <ns0:c r="I133" s="14" t="n">
        <ns0:v>0.125</ns0:v>
      </ns0:c>
      <ns0:c r="J133" s="16"/>
      <ns0:c r="K133" s="8" t="n">
        <ns0:v>1</ns0:v>
      </ns0:c>
      <ns0:c r="L133" s="8"/>
      <ns0:c r="M133" s="8" t="str">
        <ns0:v>A</ns0:v>
      </ns0:c>
    </ns0:row>
    <ns0:row r="134" ht="23" customHeight="1">
      <ns0:c r="B134" s="10" t="str">
        <ns0:v>APP000129</ns0:v>
      </ns0:c>
      <ns0:c r="C134" s="10" t="str">
        <ns0:v>000129</ns0:v>
      </ns0:c>
      <ns0:c r="D134" s="8" t="str">
        <ns0:v>품질</ns0:v>
      </ns0:c>
      <ns0:c r="E134" s="8" t="str">
        <ns0:v>C09</ns0:v>
      </ns0:c>
      <ns0:c r="F134" s="12" t="d">
        <ns0:v>2026-10-17T00:00:00.000Z</ns0:v>
      </ns0:c>
      <ns0:c r="G134" s="8" t="n">
        <ns0:v>2</ns0:v>
      </ns0:c>
      <ns0:c r="H134" s="8" t="str">
        <ns0:v>승인</ns0:v>
      </ns0:c>
      <ns0:c r="I134" s="14" t="n">
        <ns0:v>0</ns0:v>
      </ns0:c>
      <ns0:c r="J134" s="16"/>
      <ns0:c r="K134" s="8" t="n">
        <ns0:v>1</ns0:v>
      </ns0:c>
      <ns0:c r="L134" s="8"/>
      <ns0:c r="M134" s="8" t="str">
        <ns0:v>A</ns0:v>
      </ns0:c>
    </ns0:row>
    <ns0:row r="135" ht="23" customHeight="1">
      <ns0:c r="B135" s="10" t="str">
        <ns0:v>APP000130</ns0:v>
      </ns0:c>
      <ns0:c r="C135" s="10" t="str">
        <ns0:v>000130</ns0:v>
      </ns0:c>
      <ns0:c r="D135" s="8" t="str">
        <ns0:v>기획</ns0:v>
      </ns0:c>
      <ns0:c r="E135" s="8" t="str">
        <ns0:v>C04</ns0:v>
      </ns0:c>
      <ns0:c r="F135" s="12" t="d">
        <ns0:v>2026-10-18T00:00:00.000Z</ns0:v>
      </ns0:c>
      <ns0:c r="G135" s="8" t="n">
        <ns0:v>3</ns0:v>
      </ns0:c>
      <ns0:c r="H135" s="8" t="str">
        <ns0:v>승인</ns0:v>
      </ns0:c>
      <ns0:c r="I135" s="14" t="n">
        <ns0:v>0.05</ns0:v>
      </ns0:c>
      <ns0:c r="J135" s="16"/>
      <ns0:c r="K135" s="8" t="n">
        <ns0:v>1</ns0:v>
      </ns0:c>
      <ns0:c r="L135" s="8"/>
      <ns0:c r="M135" s="8" t="str">
        <ns0:v>A</ns0:v>
      </ns0:c>
    </ns0:row>
    <ns0:row r="136" ht="23" customHeight="1">
      <ns0:c r="B136" s="10" t="str">
        <ns0:v>APP000131</ns0:v>
      </ns0:c>
      <ns0:c r="C136" s="10" t="str">
        <ns0:v>000131</ns0:v>
      </ns0:c>
      <ns0:c r="D136" s="8" t="str">
        <ns0:v>영업</ns0:v>
      </ns0:c>
      <ns0:c r="E136" s="8" t="str">
        <ns0:v>C11</ns0:v>
      </ns0:c>
      <ns0:c r="F136" s="12" t="d">
        <ns0:v>2026-10-19T00:00:00.000Z</ns0:v>
      </ns0:c>
      <ns0:c r="G136" s="8" t="n">
        <ns0:v>4</ns0:v>
      </ns0:c>
      <ns0:c r="H136" s="8" t="str">
        <ns0:v>승인</ns0:v>
      </ns0:c>
      <ns0:c r="I136" s="14" t="n">
        <ns0:v>0.1</ns0:v>
      </ns0:c>
      <ns0:c r="J136" s="16"/>
      <ns0:c r="K136" s="8" t="n">
        <ns0:v>1</ns0:v>
      </ns0:c>
      <ns0:c r="L136" s="8"/>
      <ns0:c r="M136" s="8" t="str">
        <ns0:v>A</ns0:v>
      </ns0:c>
    </ns0:row>
    <ns0:row r="137" ht="23" customHeight="1">
      <ns0:c r="B137" s="10" t="str">
        <ns0:v>APP000132</ns0:v>
      </ns0:c>
      <ns0:c r="C137" s="10" t="str">
        <ns0:v>000132</ns0:v>
      </ns0:c>
      <ns0:c r="D137" s="8" t="str">
        <ns0:v>지원</ns0:v>
      </ns0:c>
      <ns0:c r="E137" s="8" t="str">
        <ns0:v>C06</ns0:v>
      </ns0:c>
      <ns0:c r="F137" s="12" t="d">
        <ns0:v>2026-10-20T00:00:00.000Z</ns0:v>
      </ns0:c>
      <ns0:c r="G137" s="8" t="n">
        <ns0:v>5</ns0:v>
      </ns0:c>
      <ns0:c r="H137" s="8" t="str">
        <ns0:v>승인</ns0:v>
      </ns0:c>
      <ns0:c r="I137" s="14" t="n">
        <ns0:v>0.125</ns0:v>
      </ns0:c>
      <ns0:c r="J137" s="16"/>
      <ns0:c r="K137" s="8" t="n">
        <ns0:v>1</ns0:v>
      </ns0:c>
      <ns0:c r="L137" s="8"/>
      <ns0:c r="M137" s="8" t="str">
        <ns0:v>A</ns0:v>
      </ns0:c>
    </ns0:row>
    <ns0:row r="138" ht="23" customHeight="1">
      <ns0:c r="B138" s="10" t="str">
        <ns0:v>APP000133</ns0:v>
      </ns0:c>
      <ns0:c r="C138" s="10" t="str">
        <ns0:v>000133</ns0:v>
      </ns0:c>
      <ns0:c r="D138" s="8" t="str">
        <ns0:v>개발</ns0:v>
      </ns0:c>
      <ns0:c r="E138" s="8" t="str">
        <ns0:v>C01</ns0:v>
      </ns0:c>
      <ns0:c r="F138" s="12" t="d">
        <ns0:v>2026-10-21T00:00:00.000Z</ns0:v>
      </ns0:c>
      <ns0:c r="G138" s="8" t="n">
        <ns0:v>0</ns0:v>
      </ns0:c>
      <ns0:c r="H138" s="8" t="str">
        <ns0:v>취소</ns0:v>
      </ns0:c>
      <ns0:c r="I138" s="14" t="n">
        <ns0:v>0</ns0:v>
      </ns0:c>
      <ns0:c r="J138" s="16"/>
      <ns0:c r="K138" s="8" t="n">
        <ns0:v>1</ns0:v>
      </ns0:c>
      <ns0:c r="L138" s="8"/>
      <ns0:c r="M138" s="8" t="str">
        <ns0:v>A</ns0:v>
      </ns0:c>
    </ns0:row>
    <ns0:row r="139" ht="23" customHeight="1">
      <ns0:c r="B139" s="10" t="str">
        <ns0:v>APP000134</ns0:v>
      </ns0:c>
      <ns0:c r="C139" s="10" t="str">
        <ns0:v>000134</ns0:v>
      </ns0:c>
      <ns0:c r="D139" s="8" t="str">
        <ns0:v>생산</ns0:v>
      </ns0:c>
      <ns0:c r="E139" s="8" t="str">
        <ns0:v>C08</ns0:v>
      </ns0:c>
      <ns0:c r="F139" s="12" t="d">
        <ns0:v>2026-10-22T00:00:00.000Z</ns0:v>
      </ns0:c>
      <ns0:c r="G139" s="8" t="n">
        <ns0:v>1</ns0:v>
      </ns0:c>
      <ns0:c r="H139" s="8" t="str">
        <ns0:v>대기</ns0:v>
      </ns0:c>
      <ns0:c r="I139" s="14" t="n">
        <ns0:v>0.05</ns0:v>
      </ns0:c>
      <ns0:c r="J139" s="16"/>
      <ns0:c r="K139" s="8" t="n">
        <ns0:v>1</ns0:v>
      </ns0:c>
      <ns0:c r="L139" s="8"/>
      <ns0:c r="M139" s="8" t="str">
        <ns0:v>A</ns0:v>
      </ns0:c>
    </ns0:row>
    <ns0:row r="140" ht="23" customHeight="1">
      <ns0:c r="B140" s="10" t="str">
        <ns0:v>APP000135</ns0:v>
      </ns0:c>
      <ns0:c r="C140" s="10" t="str">
        <ns0:v>000135</ns0:v>
      </ns0:c>
      <ns0:c r="D140" s="8" t="str">
        <ns0:v>품질</ns0:v>
      </ns0:c>
      <ns0:c r="E140" s="8" t="str">
        <ns0:v>C03</ns0:v>
      </ns0:c>
      <ns0:c r="F140" s="12" t="d">
        <ns0:v>2026-10-23T00:00:00.000Z</ns0:v>
      </ns0:c>
      <ns0:c r="G140" s="8" t="n">
        <ns0:v>2</ns0:v>
      </ns0:c>
      <ns0:c r="H140" s="8" t="str">
        <ns0:v>승인</ns0:v>
      </ns0:c>
      <ns0:c r="I140" s="14" t="n">
        <ns0:v>0.1</ns0:v>
      </ns0:c>
      <ns0:c r="J140" s="16"/>
      <ns0:c r="K140" s="8" t="n">
        <ns0:v>1</ns0:v>
      </ns0:c>
      <ns0:c r="L140" s="8"/>
      <ns0:c r="M140" s="8" t="str">
        <ns0:v>A</ns0:v>
      </ns0:c>
    </ns0:row>
    <ns0:row r="141" ht="23" customHeight="1">
      <ns0:c r="B141" s="10" t="str">
        <ns0:v>APP000136</ns0:v>
      </ns0:c>
      <ns0:c r="C141" s="10" t="str">
        <ns0:v>000136</ns0:v>
      </ns0:c>
      <ns0:c r="D141" s="8" t="str">
        <ns0:v>기획</ns0:v>
      </ns0:c>
      <ns0:c r="E141" s="8" t="str">
        <ns0:v>C10</ns0:v>
      </ns0:c>
      <ns0:c r="F141" s="12" t="d">
        <ns0:v>2026-10-24T00:00:00.000Z</ns0:v>
      </ns0:c>
      <ns0:c r="G141" s="8" t="n">
        <ns0:v>3</ns0:v>
      </ns0:c>
      <ns0:c r="H141" s="8" t="str">
        <ns0:v>승인</ns0:v>
      </ns0:c>
      <ns0:c r="I141" s="14" t="n">
        <ns0:v>0.125</ns0:v>
      </ns0:c>
      <ns0:c r="J141" s="16"/>
      <ns0:c r="K141" s="8" t="n">
        <ns0:v>1</ns0:v>
      </ns0:c>
      <ns0:c r="L141" s="8"/>
      <ns0:c r="M141" s="8" t="str">
        <ns0:v>A</ns0:v>
      </ns0:c>
    </ns0:row>
    <ns0:row r="142" ht="23" customHeight="1">
      <ns0:c r="B142" s="10" t="str">
        <ns0:v>APP000137</ns0:v>
      </ns0:c>
      <ns0:c r="C142" s="10" t="str">
        <ns0:v>000137</ns0:v>
      </ns0:c>
      <ns0:c r="D142" s="8" t="str">
        <ns0:v>영업</ns0:v>
      </ns0:c>
      <ns0:c r="E142" s="8" t="str">
        <ns0:v>C05</ns0:v>
      </ns0:c>
      <ns0:c r="F142" s="12" t="d">
        <ns0:v>2026-10-25T00:00:00.000Z</ns0:v>
      </ns0:c>
      <ns0:c r="G142" s="8" t="n">
        <ns0:v>4</ns0:v>
      </ns0:c>
      <ns0:c r="H142" s="8" t="str">
        <ns0:v>승인</ns0:v>
      </ns0:c>
      <ns0:c r="I142" s="14" t="n">
        <ns0:v>0</ns0:v>
      </ns0:c>
      <ns0:c r="J142" s="16"/>
      <ns0:c r="K142" s="8" t="n">
        <ns0:v>1</ns0:v>
      </ns0:c>
      <ns0:c r="L142" s="8"/>
      <ns0:c r="M142" s="8" t="str">
        <ns0:v>A</ns0:v>
      </ns0:c>
    </ns0:row>
    <ns0:row r="143" ht="23" customHeight="1">
      <ns0:c r="B143" s="10" t="str">
        <ns0:v>APP000138</ns0:v>
      </ns0:c>
      <ns0:c r="C143" s="10" t="str">
        <ns0:v>000138</ns0:v>
      </ns0:c>
      <ns0:c r="D143" s="8" t="str">
        <ns0:v>지원</ns0:v>
      </ns0:c>
      <ns0:c r="E143" s="8" t="str">
        <ns0:v>C12</ns0:v>
      </ns0:c>
      <ns0:c r="F143" s="12" t="d">
        <ns0:v>2026-10-26T00:00:00.000Z</ns0:v>
      </ns0:c>
      <ns0:c r="G143" s="8" t="n">
        <ns0:v>5</ns0:v>
      </ns0:c>
      <ns0:c r="H143" s="8" t="str">
        <ns0:v>승인</ns0:v>
      </ns0:c>
      <ns0:c r="I143" s="14" t="n">
        <ns0:v>0.05</ns0:v>
      </ns0:c>
      <ns0:c r="J143" s="16"/>
      <ns0:c r="K143" s="8" t="n">
        <ns0:v>1</ns0:v>
      </ns0:c>
      <ns0:c r="L143" s="8"/>
      <ns0:c r="M143" s="8" t="str">
        <ns0:v>A</ns0:v>
      </ns0:c>
    </ns0:row>
    <ns0:row r="144" ht="23" customHeight="1">
      <ns0:c r="B144" s="10" t="str">
        <ns0:v>APP000139</ns0:v>
      </ns0:c>
      <ns0:c r="C144" s="10" t="str">
        <ns0:v>000139</ns0:v>
      </ns0:c>
      <ns0:c r="D144" s="8" t="str">
        <ns0:v>개발</ns0:v>
      </ns0:c>
      <ns0:c r="E144" s="8" t="str">
        <ns0:v>C07</ns0:v>
      </ns0:c>
      <ns0:c r="F144" s="12" t="d">
        <ns0:v>2026-10-27T00:00:00.000Z</ns0:v>
      </ns0:c>
      <ns0:c r="G144" s="8" t="n">
        <ns0:v>0</ns0:v>
      </ns0:c>
      <ns0:c r="H144" s="8" t="str">
        <ns0:v>승인</ns0:v>
      </ns0:c>
      <ns0:c r="I144" s="14" t="n">
        <ns0:v>0.1</ns0:v>
      </ns0:c>
      <ns0:c r="J144" s="16"/>
      <ns0:c r="K144" s="8" t="n">
        <ns0:v>1</ns0:v>
      </ns0:c>
      <ns0:c r="L144" s="8"/>
      <ns0:c r="M144" s="8" t="str">
        <ns0:v>A</ns0:v>
      </ns0:c>
    </ns0:row>
    <ns0:row r="145" ht="23" customHeight="1">
      <ns0:c r="B145" s="10" t="str">
        <ns0:v>APP000140</ns0:v>
      </ns0:c>
      <ns0:c r="C145" s="10" t="str">
        <ns0:v>000140</ns0:v>
      </ns0:c>
      <ns0:c r="D145" s="8" t="str">
        <ns0:v>생산</ns0:v>
      </ns0:c>
      <ns0:c r="E145" s="8" t="str">
        <ns0:v>C02</ns0:v>
      </ns0:c>
      <ns0:c r="F145" s="12" t="d">
        <ns0:v>2026-10-28T00:00:00.000Z</ns0:v>
      </ns0:c>
      <ns0:c r="G145" s="8" t="n">
        <ns0:v>1</ns0:v>
      </ns0:c>
      <ns0:c r="H145" s="8" t="str">
        <ns0:v>승인</ns0:v>
      </ns0:c>
      <ns0:c r="I145" s="14" t="n">
        <ns0:v>0.125</ns0:v>
      </ns0:c>
      <ns0:c r="J145" s="16"/>
      <ns0:c r="K145" s="8" t="n">
        <ns0:v>1</ns0:v>
      </ns0:c>
      <ns0:c r="L145" s="8"/>
      <ns0:c r="M145" s="8" t="str">
        <ns0:v>A</ns0:v>
      </ns0:c>
    </ns0:row>
    <ns0:row r="146" ht="23" customHeight="1">
      <ns0:c r="B146" s="10" t="str">
        <ns0:v>APP000141</ns0:v>
      </ns0:c>
      <ns0:c r="C146" s="10" t="str">
        <ns0:v>000141</ns0:v>
      </ns0:c>
      <ns0:c r="D146" s="8" t="str">
        <ns0:v>품질</ns0:v>
      </ns0:c>
      <ns0:c r="E146" s="8" t="str">
        <ns0:v>C09</ns0:v>
      </ns0:c>
      <ns0:c r="F146" s="12" t="d">
        <ns0:v>2026-10-01T00:00:00.000Z</ns0:v>
      </ns0:c>
      <ns0:c r="G146" s="8" t="n">
        <ns0:v>2</ns0:v>
      </ns0:c>
      <ns0:c r="H146" s="8" t="str">
        <ns0:v>대기</ns0:v>
      </ns0:c>
      <ns0:c r="I146" s="14" t="n">
        <ns0:v>0</ns0:v>
      </ns0:c>
      <ns0:c r="J146" s="16"/>
      <ns0:c r="K146" s="8" t="n">
        <ns0:v>1</ns0:v>
      </ns0:c>
      <ns0:c r="L146" s="8"/>
      <ns0:c r="M146" s="8" t="str">
        <ns0:v>A</ns0:v>
      </ns0:c>
    </ns0:row>
    <ns0:row r="147" ht="23" customHeight="1">
      <ns0:c r="B147" s="10" t="str">
        <ns0:v>APP000142</ns0:v>
      </ns0:c>
      <ns0:c r="C147" s="10" t="str">
        <ns0:v>000142</ns0:v>
      </ns0:c>
      <ns0:c r="D147" s="8" t="str">
        <ns0:v>기획</ns0:v>
      </ns0:c>
      <ns0:c r="E147" s="8" t="str">
        <ns0:v>C04</ns0:v>
      </ns0:c>
      <ns0:c r="F147" s="12" t="d">
        <ns0:v>2026-10-02T00:00:00.000Z</ns0:v>
      </ns0:c>
      <ns0:c r="G147" s="8" t="n">
        <ns0:v>3</ns0:v>
      </ns0:c>
      <ns0:c r="H147" s="8" t="str">
        <ns0:v>승인</ns0:v>
      </ns0:c>
      <ns0:c r="I147" s="14" t="n">
        <ns0:v>0.05</ns0:v>
      </ns0:c>
      <ns0:c r="J147" s="16"/>
      <ns0:c r="K147" s="8" t="n">
        <ns0:v>1</ns0:v>
      </ns0:c>
      <ns0:c r="L147" s="8"/>
      <ns0:c r="M147" s="8" t="str">
        <ns0:v>A</ns0:v>
      </ns0:c>
    </ns0:row>
    <ns0:row r="148" ht="23" customHeight="1">
      <ns0:c r="B148" s="10" t="str">
        <ns0:v>APP000143</ns0:v>
      </ns0:c>
      <ns0:c r="C148" s="10" t="str">
        <ns0:v>000143</ns0:v>
      </ns0:c>
      <ns0:c r="D148" s="8" t="str">
        <ns0:v>영업</ns0:v>
      </ns0:c>
      <ns0:c r="E148" s="8" t="str">
        <ns0:v>C11</ns0:v>
      </ns0:c>
      <ns0:c r="F148" s="12" t="d">
        <ns0:v>2026-10-03T00:00:00.000Z</ns0:v>
      </ns0:c>
      <ns0:c r="G148" s="8" t="n">
        <ns0:v>4</ns0:v>
      </ns0:c>
      <ns0:c r="H148" s="8" t="str">
        <ns0:v>승인</ns0:v>
      </ns0:c>
      <ns0:c r="I148" s="14" t="n">
        <ns0:v>0.1</ns0:v>
      </ns0:c>
      <ns0:c r="J148" s="16"/>
      <ns0:c r="K148" s="8" t="n">
        <ns0:v>1</ns0:v>
      </ns0:c>
      <ns0:c r="L148" s="8"/>
      <ns0:c r="M148" s="8" t="str">
        <ns0:v>A</ns0:v>
      </ns0:c>
    </ns0:row>
    <ns0:row r="149" ht="23" customHeight="1">
      <ns0:c r="B149" s="10" t="str">
        <ns0:v>APP000144</ns0:v>
      </ns0:c>
      <ns0:c r="C149" s="10" t="str">
        <ns0:v>000144</ns0:v>
      </ns0:c>
      <ns0:c r="D149" s="8" t="str">
        <ns0:v>지원</ns0:v>
      </ns0:c>
      <ns0:c r="E149" s="8" t="str">
        <ns0:v>C06</ns0:v>
      </ns0:c>
      <ns0:c r="F149" s="12" t="d">
        <ns0:v>2026-10-04T00:00:00.000Z</ns0:v>
      </ns0:c>
      <ns0:c r="G149" s="8" t="n">
        <ns0:v>5</ns0:v>
      </ns0:c>
      <ns0:c r="H149" s="8" t="str">
        <ns0:v>취소</ns0:v>
      </ns0:c>
      <ns0:c r="I149" s="14" t="n">
        <ns0:v>0.125</ns0:v>
      </ns0:c>
      <ns0:c r="J149" s="16"/>
      <ns0:c r="K149" s="8" t="n">
        <ns0:v>1</ns0:v>
      </ns0:c>
      <ns0:c r="L149" s="8"/>
      <ns0:c r="M149" s="8" t="str">
        <ns0:v>A</ns0:v>
      </ns0:c>
    </ns0:row>
    <ns0:row r="150" ht="23" customHeight="1">
      <ns0:c r="B150" s="10" t="str">
        <ns0:v>APP000145</ns0:v>
      </ns0:c>
      <ns0:c r="C150" s="10" t="str">
        <ns0:v>000145</ns0:v>
      </ns0:c>
      <ns0:c r="D150" s="8" t="str">
        <ns0:v>개발</ns0:v>
      </ns0:c>
      <ns0:c r="E150" s="8" t="str">
        <ns0:v>C01</ns0:v>
      </ns0:c>
      <ns0:c r="F150" s="12" t="d">
        <ns0:v>2026-10-05T00:00:00.000Z</ns0:v>
      </ns0:c>
      <ns0:c r="G150" s="8" t="n">
        <ns0:v>0</ns0:v>
      </ns0:c>
      <ns0:c r="H150" s="8" t="str">
        <ns0:v>승인</ns0:v>
      </ns0:c>
      <ns0:c r="I150" s="14" t="n">
        <ns0:v>0</ns0:v>
      </ns0:c>
      <ns0:c r="J150" s="16"/>
      <ns0:c r="K150" s="8" t="n">
        <ns0:v>1</ns0:v>
      </ns0:c>
      <ns0:c r="L150" s="8"/>
      <ns0:c r="M150" s="8" t="str">
        <ns0:v>A</ns0:v>
      </ns0:c>
    </ns0:row>
    <ns0:row r="151" ht="23" customHeight="1">
      <ns0:c r="B151" s="10" t="str">
        <ns0:v>APP000146</ns0:v>
      </ns0:c>
      <ns0:c r="C151" s="10" t="str">
        <ns0:v>000146</ns0:v>
      </ns0:c>
      <ns0:c r="D151" s="8" t="str">
        <ns0:v>생산</ns0:v>
      </ns0:c>
      <ns0:c r="E151" s="8" t="str">
        <ns0:v>C08</ns0:v>
      </ns0:c>
      <ns0:c r="F151" s="12" t="d">
        <ns0:v>2026-10-06T00:00:00.000Z</ns0:v>
      </ns0:c>
      <ns0:c r="G151" s="8" t="n">
        <ns0:v>1</ns0:v>
      </ns0:c>
      <ns0:c r="H151" s="8" t="str">
        <ns0:v>승인</ns0:v>
      </ns0:c>
      <ns0:c r="I151" s="14" t="n">
        <ns0:v>0.05</ns0:v>
      </ns0:c>
      <ns0:c r="J151" s="16"/>
      <ns0:c r="K151" s="8" t="n">
        <ns0:v>1</ns0:v>
      </ns0:c>
      <ns0:c r="L151" s="8"/>
      <ns0:c r="M151" s="8" t="str">
        <ns0:v>A</ns0:v>
      </ns0:c>
    </ns0:row>
    <ns0:row r="152" ht="23" customHeight="1">
      <ns0:c r="B152" s="10" t="str">
        <ns0:v>APP000147</ns0:v>
      </ns0:c>
      <ns0:c r="C152" s="10" t="str">
        <ns0:v>000147</ns0:v>
      </ns0:c>
      <ns0:c r="D152" s="8" t="str">
        <ns0:v>품질</ns0:v>
      </ns0:c>
      <ns0:c r="E152" s="8" t="str">
        <ns0:v>C03</ns0:v>
      </ns0:c>
      <ns0:c r="F152" s="12" t="d">
        <ns0:v>2026-10-07T00:00:00.000Z</ns0:v>
      </ns0:c>
      <ns0:c r="G152" s="8" t="n">
        <ns0:v>2</ns0:v>
      </ns0:c>
      <ns0:c r="H152" s="8" t="str">
        <ns0:v>승인</ns0:v>
      </ns0:c>
      <ns0:c r="I152" s="14" t="n">
        <ns0:v>0.1</ns0:v>
      </ns0:c>
      <ns0:c r="J152" s="16"/>
      <ns0:c r="K152" s="8" t="n">
        <ns0:v>1</ns0:v>
      </ns0:c>
      <ns0:c r="L152" s="8"/>
      <ns0:c r="M152" s="8" t="str">
        <ns0:v>A</ns0:v>
      </ns0:c>
    </ns0:row>
    <ns0:row r="153" ht="23" customHeight="1">
      <ns0:c r="B153" s="10" t="str">
        <ns0:v>APP000148</ns0:v>
      </ns0:c>
      <ns0:c r="C153" s="10" t="str">
        <ns0:v>000148</ns0:v>
      </ns0:c>
      <ns0:c r="D153" s="8" t="str">
        <ns0:v>기획</ns0:v>
      </ns0:c>
      <ns0:c r="E153" s="8" t="str">
        <ns0:v>C10</ns0:v>
      </ns0:c>
      <ns0:c r="F153" s="12" t="d">
        <ns0:v>2026-10-08T00:00:00.000Z</ns0:v>
      </ns0:c>
      <ns0:c r="G153" s="8" t="n">
        <ns0:v>3</ns0:v>
      </ns0:c>
      <ns0:c r="H153" s="8" t="str">
        <ns0:v>대기</ns0:v>
      </ns0:c>
      <ns0:c r="I153" s="14" t="n">
        <ns0:v>0.125</ns0:v>
      </ns0:c>
      <ns0:c r="J153" s="16"/>
      <ns0:c r="K153" s="8" t="n">
        <ns0:v>1</ns0:v>
      </ns0:c>
      <ns0:c r="L153" s="8"/>
      <ns0:c r="M153" s="8" t="str">
        <ns0:v>A</ns0:v>
      </ns0:c>
    </ns0:row>
    <ns0:row r="154" ht="23" customHeight="1">
      <ns0:c r="B154" s="10" t="str">
        <ns0:v>APP000149</ns0:v>
      </ns0:c>
      <ns0:c r="C154" s="10" t="str">
        <ns0:v>000149</ns0:v>
      </ns0:c>
      <ns0:c r="D154" s="8" t="str">
        <ns0:v>영업</ns0:v>
      </ns0:c>
      <ns0:c r="E154" s="8" t="str">
        <ns0:v>C05</ns0:v>
      </ns0:c>
      <ns0:c r="F154" s="12" t="d">
        <ns0:v>2026-10-09T00:00:00.000Z</ns0:v>
      </ns0:c>
      <ns0:c r="G154" s="8" t="n">
        <ns0:v>4</ns0:v>
      </ns0:c>
      <ns0:c r="H154" s="8" t="str">
        <ns0:v>승인</ns0:v>
      </ns0:c>
      <ns0:c r="I154" s="14" t="n">
        <ns0:v>0</ns0:v>
      </ns0:c>
      <ns0:c r="J154" s="16"/>
      <ns0:c r="K154" s="8" t="n">
        <ns0:v>1</ns0:v>
      </ns0:c>
      <ns0:c r="L154" s="8"/>
      <ns0:c r="M154" s="8" t="str">
        <ns0:v>A</ns0:v>
      </ns0:c>
    </ns0:row>
    <ns0:row r="155" ht="23" customHeight="1">
      <ns0:c r="B155" s="10" t="str">
        <ns0:v>APP000150</ns0:v>
      </ns0:c>
      <ns0:c r="C155" s="10" t="str">
        <ns0:v>000150</ns0:v>
      </ns0:c>
      <ns0:c r="D155" s="8" t="str">
        <ns0:v>지원</ns0:v>
      </ns0:c>
      <ns0:c r="E155" s="8" t="str">
        <ns0:v>C12</ns0:v>
      </ns0:c>
      <ns0:c r="F155" s="12" t="d">
        <ns0:v>2026-10-10T00:00:00.000Z</ns0:v>
      </ns0:c>
      <ns0:c r="G155" s="8" t="n">
        <ns0:v>5</ns0:v>
      </ns0:c>
      <ns0:c r="H155" s="8" t="str">
        <ns0:v>승인</ns0:v>
      </ns0:c>
      <ns0:c r="I155" s="14" t="n">
        <ns0:v>0.05</ns0:v>
      </ns0:c>
      <ns0:c r="J155" s="16"/>
      <ns0:c r="K155" s="8" t="n">
        <ns0:v>1</ns0:v>
      </ns0:c>
      <ns0:c r="L155" s="8"/>
      <ns0:c r="M155" s="8" t="str">
        <ns0:v>A</ns0:v>
      </ns0:c>
    </ns0:row>
    <ns0:row r="156" ht="23" customHeight="1">
      <ns0:c r="B156" s="10" t="str">
        <ns0:v>APP000151</ns0:v>
      </ns0:c>
      <ns0:c r="C156" s="10" t="str">
        <ns0:v>000151</ns0:v>
      </ns0:c>
      <ns0:c r="D156" s="8" t="str">
        <ns0:v>개발</ns0:v>
      </ns0:c>
      <ns0:c r="E156" s="8" t="str">
        <ns0:v>C07</ns0:v>
      </ns0:c>
      <ns0:c r="F156" s="12" t="d">
        <ns0:v>2026-10-11T00:00:00.000Z</ns0:v>
      </ns0:c>
      <ns0:c r="G156" s="8" t="n">
        <ns0:v>0</ns0:v>
      </ns0:c>
      <ns0:c r="H156" s="8" t="str">
        <ns0:v>승인</ns0:v>
      </ns0:c>
      <ns0:c r="I156" s="14" t="n">
        <ns0:v>0.1</ns0:v>
      </ns0:c>
      <ns0:c r="J156" s="16"/>
      <ns0:c r="K156" s="8" t="n">
        <ns0:v>1</ns0:v>
      </ns0:c>
      <ns0:c r="L156" s="8"/>
      <ns0:c r="M156" s="8" t="str">
        <ns0:v>A</ns0:v>
      </ns0:c>
    </ns0:row>
    <ns0:row r="157" ht="23" customHeight="1">
      <ns0:c r="B157" s="10" t="str">
        <ns0:v>APP000152</ns0:v>
      </ns0:c>
      <ns0:c r="C157" s="10" t="str">
        <ns0:v>000152</ns0:v>
      </ns0:c>
      <ns0:c r="D157" s="8" t="str">
        <ns0:v>생산</ns0:v>
      </ns0:c>
      <ns0:c r="E157" s="8" t="str">
        <ns0:v>C02</ns0:v>
      </ns0:c>
      <ns0:c r="F157" s="12" t="d">
        <ns0:v>2026-10-12T00:00:00.000Z</ns0:v>
      </ns0:c>
      <ns0:c r="G157" s="8" t="n">
        <ns0:v>1</ns0:v>
      </ns0:c>
      <ns0:c r="H157" s="8" t="str">
        <ns0:v>승인</ns0:v>
      </ns0:c>
      <ns0:c r="I157" s="14" t="n">
        <ns0:v>0.125</ns0:v>
      </ns0:c>
      <ns0:c r="J157" s="16"/>
      <ns0:c r="K157" s="8" t="n">
        <ns0:v>1</ns0:v>
      </ns0:c>
      <ns0:c r="L157" s="8"/>
      <ns0:c r="M157" s="8" t="str">
        <ns0:v>A</ns0:v>
      </ns0:c>
    </ns0:row>
    <ns0:row r="158" ht="23" customHeight="1">
      <ns0:c r="B158" s="10" t="str">
        <ns0:v>APP000153</ns0:v>
      </ns0:c>
      <ns0:c r="C158" s="10" t="str">
        <ns0:v>000153</ns0:v>
      </ns0:c>
      <ns0:c r="D158" s="8" t="str">
        <ns0:v>품질</ns0:v>
      </ns0:c>
      <ns0:c r="E158" s="8" t="str">
        <ns0:v>C09</ns0:v>
      </ns0:c>
      <ns0:c r="F158" s="12" t="d">
        <ns0:v>2026-10-13T00:00:00.000Z</ns0:v>
      </ns0:c>
      <ns0:c r="G158" s="8" t="n">
        <ns0:v>2</ns0:v>
      </ns0:c>
      <ns0:c r="H158" s="8" t="str">
        <ns0:v>승인</ns0:v>
      </ns0:c>
      <ns0:c r="I158" s="14" t="n">
        <ns0:v>0</ns0:v>
      </ns0:c>
      <ns0:c r="J158" s="16"/>
      <ns0:c r="K158" s="8" t="n">
        <ns0:v>1</ns0:v>
      </ns0:c>
      <ns0:c r="L158" s="8"/>
      <ns0:c r="M158" s="8" t="str">
        <ns0:v>A</ns0:v>
      </ns0:c>
    </ns0:row>
    <ns0:row r="159" ht="23" customHeight="1">
      <ns0:c r="B159" s="10" t="str">
        <ns0:v>APP000154</ns0:v>
      </ns0:c>
      <ns0:c r="C159" s="10" t="str">
        <ns0:v>000154</ns0:v>
      </ns0:c>
      <ns0:c r="D159" s="8" t="str">
        <ns0:v>기획</ns0:v>
      </ns0:c>
      <ns0:c r="E159" s="8" t="str">
        <ns0:v>C04</ns0:v>
      </ns0:c>
      <ns0:c r="F159" s="12" t="d">
        <ns0:v>2026-10-14T00:00:00.000Z</ns0:v>
      </ns0:c>
      <ns0:c r="G159" s="8" t="n">
        <ns0:v>3</ns0:v>
      </ns0:c>
      <ns0:c r="H159" s="8" t="str">
        <ns0:v>승인</ns0:v>
      </ns0:c>
      <ns0:c r="I159" s="14" t="n">
        <ns0:v>0.05</ns0:v>
      </ns0:c>
      <ns0:c r="J159" s="16"/>
      <ns0:c r="K159" s="8" t="n">
        <ns0:v>1</ns0:v>
      </ns0:c>
      <ns0:c r="L159" s="8"/>
      <ns0:c r="M159" s="8" t="str">
        <ns0:v>A</ns0:v>
      </ns0:c>
    </ns0:row>
    <ns0:row r="160" ht="23" customHeight="1">
      <ns0:c r="B160" s="10" t="str">
        <ns0:v>APP000155</ns0:v>
      </ns0:c>
      <ns0:c r="C160" s="10" t="str">
        <ns0:v>000155</ns0:v>
      </ns0:c>
      <ns0:c r="D160" s="8" t="str">
        <ns0:v>영업</ns0:v>
      </ns0:c>
      <ns0:c r="E160" s="8" t="str">
        <ns0:v>C11</ns0:v>
      </ns0:c>
      <ns0:c r="F160" s="12" t="d">
        <ns0:v>2026-10-15T00:00:00.000Z</ns0:v>
      </ns0:c>
      <ns0:c r="G160" s="8" t="n">
        <ns0:v>4</ns0:v>
      </ns0:c>
      <ns0:c r="H160" s="8" t="str">
        <ns0:v>취소</ns0:v>
      </ns0:c>
      <ns0:c r="I160" s="14" t="n">
        <ns0:v>0.1</ns0:v>
      </ns0:c>
      <ns0:c r="J160" s="16"/>
      <ns0:c r="K160" s="8" t="n">
        <ns0:v>1</ns0:v>
      </ns0:c>
      <ns0:c r="L160" s="8"/>
      <ns0:c r="M160" s="8" t="str">
        <ns0:v>A</ns0:v>
      </ns0:c>
    </ns0:row>
    <ns0:row r="161" ht="23" customHeight="1">
      <ns0:c r="B161" s="10" t="str">
        <ns0:v>APP000156</ns0:v>
      </ns0:c>
      <ns0:c r="C161" s="10" t="str">
        <ns0:v>000156</ns0:v>
      </ns0:c>
      <ns0:c r="D161" s="8" t="str">
        <ns0:v>지원</ns0:v>
      </ns0:c>
      <ns0:c r="E161" s="8" t="str">
        <ns0:v>C06</ns0:v>
      </ns0:c>
      <ns0:c r="F161" s="12" t="d">
        <ns0:v>2026-10-16T00:00:00.000Z</ns0:v>
      </ns0:c>
      <ns0:c r="G161" s="8" t="n">
        <ns0:v>5</ns0:v>
      </ns0:c>
      <ns0:c r="H161" s="8" t="str">
        <ns0:v>승인</ns0:v>
      </ns0:c>
      <ns0:c r="I161" s="14" t="n">
        <ns0:v>0.125</ns0:v>
      </ns0:c>
      <ns0:c r="J161" s="16"/>
      <ns0:c r="K161" s="8" t="n">
        <ns0:v>1</ns0:v>
      </ns0:c>
      <ns0:c r="L161" s="8"/>
      <ns0:c r="M161" s="8" t="str">
        <ns0:v>A</ns0:v>
      </ns0:c>
    </ns0:row>
    <ns0:row r="162" ht="23" customHeight="1">
      <ns0:c r="B162" s="10" t="str">
        <ns0:v>APP000157</ns0:v>
      </ns0:c>
      <ns0:c r="C162" s="10" t="str">
        <ns0:v>000157</ns0:v>
      </ns0:c>
      <ns0:c r="D162" s="8" t="str">
        <ns0:v>개발</ns0:v>
      </ns0:c>
      <ns0:c r="E162" s="8" t="str">
        <ns0:v>C01</ns0:v>
      </ns0:c>
      <ns0:c r="F162" s="12" t="d">
        <ns0:v>2026-10-17T00:00:00.000Z</ns0:v>
      </ns0:c>
      <ns0:c r="G162" s="8" t="n">
        <ns0:v>0</ns0:v>
      </ns0:c>
      <ns0:c r="H162" s="8" t="str">
        <ns0:v>승인</ns0:v>
      </ns0:c>
      <ns0:c r="I162" s="14" t="n">
        <ns0:v>0</ns0:v>
      </ns0:c>
      <ns0:c r="J162" s="16"/>
      <ns0:c r="K162" s="8" t="n">
        <ns0:v>1</ns0:v>
      </ns0:c>
      <ns0:c r="L162" s="8"/>
      <ns0:c r="M162" s="8" t="str">
        <ns0:v>A</ns0:v>
      </ns0:c>
    </ns0:row>
    <ns0:row r="163" ht="23" customHeight="1">
      <ns0:c r="B163" s="10" t="str">
        <ns0:v>APP000158</ns0:v>
      </ns0:c>
      <ns0:c r="C163" s="10" t="str">
        <ns0:v>000158</ns0:v>
      </ns0:c>
      <ns0:c r="D163" s="8" t="str">
        <ns0:v>생산</ns0:v>
      </ns0:c>
      <ns0:c r="E163" s="8" t="str">
        <ns0:v>C08</ns0:v>
      </ns0:c>
      <ns0:c r="F163" s="12" t="d">
        <ns0:v>2026-10-18T00:00:00.000Z</ns0:v>
      </ns0:c>
      <ns0:c r="G163" s="8" t="n">
        <ns0:v>1</ns0:v>
      </ns0:c>
      <ns0:c r="H163" s="8" t="str">
        <ns0:v>승인</ns0:v>
      </ns0:c>
      <ns0:c r="I163" s="14" t="n">
        <ns0:v>0.05</ns0:v>
      </ns0:c>
      <ns0:c r="J163" s="16"/>
      <ns0:c r="K163" s="8" t="n">
        <ns0:v>1</ns0:v>
      </ns0:c>
      <ns0:c r="L163" s="8"/>
      <ns0:c r="M163" s="8" t="str">
        <ns0:v>A</ns0:v>
      </ns0:c>
    </ns0:row>
    <ns0:row r="164" ht="23" customHeight="1">
      <ns0:c r="B164" s="10" t="str">
        <ns0:v>APP000159</ns0:v>
      </ns0:c>
      <ns0:c r="C164" s="10" t="str">
        <ns0:v>000159</ns0:v>
      </ns0:c>
      <ns0:c r="D164" s="8" t="str">
        <ns0:v>품질</ns0:v>
      </ns0:c>
      <ns0:c r="E164" s="8" t="str">
        <ns0:v>C03</ns0:v>
      </ns0:c>
      <ns0:c r="F164" s="12" t="d">
        <ns0:v>2026-10-19T00:00:00.000Z</ns0:v>
      </ns0:c>
      <ns0:c r="G164" s="8" t="n">
        <ns0:v>2</ns0:v>
      </ns0:c>
      <ns0:c r="H164" s="8" t="str">
        <ns0:v>승인</ns0:v>
      </ns0:c>
      <ns0:c r="I164" s="14" t="n">
        <ns0:v>0.1</ns0:v>
      </ns0:c>
      <ns0:c r="J164" s="16" t="n">
        <ns0:v>12345</ns0:v>
      </ns0:c>
      <ns0:c r="K164" s="8" t="n">
        <ns0:v>1</ns0:v>
      </ns0:c>
      <ns0:c r="L164" s="8"/>
      <ns0:c r="M164" s="8" t="str">
        <ns0:v>A</ns0:v>
      </ns0:c>
    </ns0:row>
    <ns0:row r="165" ht="23" customHeight="1">
      <ns0:c r="B165" s="10" t="str">
        <ns0:v>APP000160</ns0:v>
      </ns0:c>
      <ns0:c r="C165" s="10" t="str">
        <ns0:v>000160</ns0:v>
      </ns0:c>
      <ns0:c r="D165" s="8" t="str">
        <ns0:v>기획</ns0:v>
      </ns0:c>
      <ns0:c r="E165" s="8" t="str">
        <ns0:v>C10</ns0:v>
      </ns0:c>
      <ns0:c r="F165" s="12" t="d">
        <ns0:v>2026-10-20T00:00:00.000Z</ns0:v>
      </ns0:c>
      <ns0:c r="G165" s="8" t="n">
        <ns0:v>3</ns0:v>
      </ns0:c>
      <ns0:c r="H165" s="8" t="str">
        <ns0:v>승인</ns0:v>
      </ns0:c>
      <ns0:c r="I165" s="14" t="n">
        <ns0:v>0.125</ns0:v>
      </ns0:c>
      <ns0:c r="J165" s="16" t="n">
        <ns0:v>0</ns0:v>
      </ns0:c>
      <ns0:c r="K165" s="8" t="n">
        <ns0:v>1</ns0:v>
      </ns0:c>
      <ns0:c r="L165" s="8" t="str">
        <ns0:v>0원 수동금액 유지</ns0:v>
      </ns0:c>
      <ns0:c r="M165" s="8" t="str">
        <ns0:v>A</ns0:v>
      </ns0:c>
    </ns0:row>
    <ns0:row r="166" ht="23" customHeight="1">
      <ns0:c r="B166" s="10" t="str">
        <ns0:v>APP000161</ns0:v>
      </ns0:c>
      <ns0:c r="C166" s="10" t="str">
        <ns0:v>000001</ns0:v>
      </ns0:c>
      <ns0:c r="D166" s="8" t="str">
        <ns0:v>개발</ns0:v>
      </ns0:c>
      <ns0:c r="E166" s="8" t="str">
        <ns0:v>C05</ns0:v>
      </ns0:c>
      <ns0:c r="F166" s="12" t="d">
        <ns0:v>2026-10-21T00:00:00.000Z</ns0:v>
      </ns0:c>
      <ns0:c r="G166" s="8" t="n">
        <ns0:v>4</ns0:v>
      </ns0:c>
      <ns0:c r="H166" s="8" t="str">
        <ns0:v>승인</ns0:v>
      </ns0:c>
      <ns0:c r="I166" s="14" t="n">
        <ns0:v>0</ns0:v>
      </ns0:c>
      <ns0:c r="J166" s="16"/>
      <ns0:c r="K166" s="8" t="n">
        <ns0:v>1</ns0:v>
      </ns0:c>
      <ns0:c r="L166" s="8"/>
      <ns0:c r="M166" s="8" t="str">
        <ns0:v>B</ns0:v>
      </ns0:c>
    </ns0:row>
    <ns0:row r="167" ht="23" customHeight="1">
      <ns0:c r="B167" s="10" t="str">
        <ns0:v>APP000162</ns0:v>
      </ns0:c>
      <ns0:c r="C167" s="10" t="str">
        <ns0:v>000002</ns0:v>
      </ns0:c>
      <ns0:c r="D167" s="8" t="str">
        <ns0:v>생산</ns0:v>
      </ns0:c>
      <ns0:c r="E167" s="8" t="str">
        <ns0:v>C12</ns0:v>
      </ns0:c>
      <ns0:c r="F167" s="12" t="d">
        <ns0:v>2026-10-22T00:00:00.000Z</ns0:v>
      </ns0:c>
      <ns0:c r="G167" s="8" t="n">
        <ns0:v>5</ns0:v>
      </ns0:c>
      <ns0:c r="H167" s="8" t="str">
        <ns0:v>대기</ns0:v>
      </ns0:c>
      <ns0:c r="I167" s="14" t="n">
        <ns0:v>0.05</ns0:v>
      </ns0:c>
      <ns0:c r="J167" s="16"/>
      <ns0:c r="K167" s="8" t="n">
        <ns0:v>1</ns0:v>
      </ns0:c>
      <ns0:c r="L167" s="8"/>
      <ns0:c r="M167" s="8" t="str">
        <ns0:v>B</ns0:v>
      </ns0:c>
    </ns0:row>
    <ns0:row r="168" ht="23" customHeight="1">
      <ns0:c r="B168" s="10" t="str">
        <ns0:v>APP000163</ns0:v>
      </ns0:c>
      <ns0:c r="C168" s="10" t="str">
        <ns0:v>000003</ns0:v>
      </ns0:c>
      <ns0:c r="D168" s="8" t="str">
        <ns0:v>품질</ns0:v>
      </ns0:c>
      <ns0:c r="E168" s="8" t="str">
        <ns0:v>C07</ns0:v>
      </ns0:c>
      <ns0:c r="F168" s="12" t="d">
        <ns0:v>2026-10-23T00:00:00.000Z</ns0:v>
      </ns0:c>
      <ns0:c r="G168" s="8" t="n">
        <ns0:v>0</ns0:v>
      </ns0:c>
      <ns0:c r="H168" s="8" t="str">
        <ns0:v>승인</ns0:v>
      </ns0:c>
      <ns0:c r="I168" s="14" t="n">
        <ns0:v>0.1</ns0:v>
      </ns0:c>
      <ns0:c r="J168" s="16"/>
      <ns0:c r="K168" s="8" t="n">
        <ns0:v>1</ns0:v>
      </ns0:c>
      <ns0:c r="L168" s="8"/>
      <ns0:c r="M168" s="8" t="str">
        <ns0:v>B</ns0:v>
      </ns0:c>
    </ns0:row>
    <ns0:row r="169" ht="23" customHeight="1">
      <ns0:c r="B169" s="10" t="str">
        <ns0:v>APP000164</ns0:v>
      </ns0:c>
      <ns0:c r="C169" s="10" t="str">
        <ns0:v>000004</ns0:v>
      </ns0:c>
      <ns0:c r="D169" s="8" t="str">
        <ns0:v>기획</ns0:v>
      </ns0:c>
      <ns0:c r="E169" s="8" t="str">
        <ns0:v>C02</ns0:v>
      </ns0:c>
      <ns0:c r="F169" s="12" t="d">
        <ns0:v>2026-10-24T00:00:00.000Z</ns0:v>
      </ns0:c>
      <ns0:c r="G169" s="8" t="n">
        <ns0:v>1</ns0:v>
      </ns0:c>
      <ns0:c r="H169" s="8" t="str">
        <ns0:v>승인</ns0:v>
      </ns0:c>
      <ns0:c r="I169" s="14" t="n">
        <ns0:v>0.125</ns0:v>
      </ns0:c>
      <ns0:c r="J169" s="16"/>
      <ns0:c r="K169" s="8" t="n">
        <ns0:v>1</ns0:v>
      </ns0:c>
      <ns0:c r="L169" s="8"/>
      <ns0:c r="M169" s="8" t="str">
        <ns0:v>B</ns0:v>
      </ns0:c>
    </ns0:row>
    <ns0:row r="170" ht="23" customHeight="1">
      <ns0:c r="B170" s="10" t="str">
        <ns0:v>APP000165</ns0:v>
      </ns0:c>
      <ns0:c r="C170" s="10" t="str">
        <ns0:v>000005</ns0:v>
      </ns0:c>
      <ns0:c r="D170" s="8" t="str">
        <ns0:v>영업</ns0:v>
      </ns0:c>
      <ns0:c r="E170" s="8" t="str">
        <ns0:v>C09</ns0:v>
      </ns0:c>
      <ns0:c r="F170" s="12" t="d">
        <ns0:v>2026-10-25T00:00:00.000Z</ns0:v>
      </ns0:c>
      <ns0:c r="G170" s="8" t="n">
        <ns0:v>2</ns0:v>
      </ns0:c>
      <ns0:c r="H170" s="8" t="str">
        <ns0:v>승인</ns0:v>
      </ns0:c>
      <ns0:c r="I170" s="14" t="n">
        <ns0:v>0</ns0:v>
      </ns0:c>
      <ns0:c r="J170" s="16"/>
      <ns0:c r="K170" s="8" t="n">
        <ns0:v>1</ns0:v>
      </ns0:c>
      <ns0:c r="L170" s="8"/>
      <ns0:c r="M170" s="8" t="str">
        <ns0:v>B</ns0:v>
      </ns0:c>
    </ns0:row>
    <ns0:row r="171" ht="23" customHeight="1">
      <ns0:c r="B171" s="10" t="str">
        <ns0:v>APP000166</ns0:v>
      </ns0:c>
      <ns0:c r="C171" s="10" t="str">
        <ns0:v>000006</ns0:v>
      </ns0:c>
      <ns0:c r="D171" s="8" t="str">
        <ns0:v>지원</ns0:v>
      </ns0:c>
      <ns0:c r="E171" s="8" t="str">
        <ns0:v>C04</ns0:v>
      </ns0:c>
      <ns0:c r="F171" s="12" t="d">
        <ns0:v>2026-10-26T00:00:00.000Z</ns0:v>
      </ns0:c>
      <ns0:c r="G171" s="8" t="n">
        <ns0:v>3</ns0:v>
      </ns0:c>
      <ns0:c r="H171" s="8" t="str">
        <ns0:v>취소</ns0:v>
      </ns0:c>
      <ns0:c r="I171" s="14" t="n">
        <ns0:v>0.05</ns0:v>
      </ns0:c>
      <ns0:c r="J171" s="16"/>
      <ns0:c r="K171" s="8" t="n">
        <ns0:v>1</ns0:v>
      </ns0:c>
      <ns0:c r="L171" s="8"/>
      <ns0:c r="M171" s="8" t="str">
        <ns0:v>B</ns0:v>
      </ns0:c>
    </ns0:row>
    <ns0:row r="172" ht="23" customHeight="1">
      <ns0:c r="B172" s="10" t="str">
        <ns0:v>APP000167</ns0:v>
      </ns0:c>
      <ns0:c r="C172" s="10" t="str">
        <ns0:v>000007</ns0:v>
      </ns0:c>
      <ns0:c r="D172" s="8" t="str">
        <ns0:v>개발</ns0:v>
      </ns0:c>
      <ns0:c r="E172" s="8" t="str">
        <ns0:v>C11</ns0:v>
      </ns0:c>
      <ns0:c r="F172" s="12" t="d">
        <ns0:v>2026-10-27T00:00:00.000Z</ns0:v>
      </ns0:c>
      <ns0:c r="G172" s="8" t="n">
        <ns0:v>4</ns0:v>
      </ns0:c>
      <ns0:c r="H172" s="8" t="str">
        <ns0:v>승인</ns0:v>
      </ns0:c>
      <ns0:c r="I172" s="14" t="n">
        <ns0:v>0.1</ns0:v>
      </ns0:c>
      <ns0:c r="J172" s="16"/>
      <ns0:c r="K172" s="8" t="n">
        <ns0:v>1</ns0:v>
      </ns0:c>
      <ns0:c r="L172" s="8"/>
      <ns0:c r="M172" s="8" t="str">
        <ns0:v>B</ns0:v>
      </ns0:c>
    </ns0:row>
    <ns0:row r="173" ht="23" customHeight="1">
      <ns0:c r="B173" s="10" t="str">
        <ns0:v>APP000168</ns0:v>
      </ns0:c>
      <ns0:c r="C173" s="10" t="str">
        <ns0:v>000008</ns0:v>
      </ns0:c>
      <ns0:c r="D173" s="8" t="str">
        <ns0:v>생산</ns0:v>
      </ns0:c>
      <ns0:c r="E173" s="8" t="str">
        <ns0:v>C06</ns0:v>
      </ns0:c>
      <ns0:c r="F173" s="12" t="d">
        <ns0:v>2026-10-28T00:00:00.000Z</ns0:v>
      </ns0:c>
      <ns0:c r="G173" s="8" t="n">
        <ns0:v>5</ns0:v>
      </ns0:c>
      <ns0:c r="H173" s="8" t="str">
        <ns0:v>승인</ns0:v>
      </ns0:c>
      <ns0:c r="I173" s="14" t="n">
        <ns0:v>0.125</ns0:v>
      </ns0:c>
      <ns0:c r="J173" s="16"/>
      <ns0:c r="K173" s="8" t="n">
        <ns0:v>1</ns0:v>
      </ns0:c>
      <ns0:c r="L173" s="8"/>
      <ns0:c r="M173" s="8" t="str">
        <ns0:v>B</ns0:v>
      </ns0:c>
    </ns0:row>
    <ns0:row r="174" ht="23" customHeight="1">
      <ns0:c r="B174" s="10" t="str">
        <ns0:v>APP000169</ns0:v>
      </ns0:c>
      <ns0:c r="C174" s="10" t="str">
        <ns0:v>000009</ns0:v>
      </ns0:c>
      <ns0:c r="D174" s="8" t="str">
        <ns0:v>품질</ns0:v>
      </ns0:c>
      <ns0:c r="E174" s="8" t="str">
        <ns0:v>C01</ns0:v>
      </ns0:c>
      <ns0:c r="F174" s="12" t="d">
        <ns0:v>2026-10-01T00:00:00.000Z</ns0:v>
      </ns0:c>
      <ns0:c r="G174" s="8" t="n">
        <ns0:v>0</ns0:v>
      </ns0:c>
      <ns0:c r="H174" s="8" t="str">
        <ns0:v>대기</ns0:v>
      </ns0:c>
      <ns0:c r="I174" s="14" t="n">
        <ns0:v>0</ns0:v>
      </ns0:c>
      <ns0:c r="J174" s="16"/>
      <ns0:c r="K174" s="8" t="n">
        <ns0:v>1</ns0:v>
      </ns0:c>
      <ns0:c r="L174" s="8"/>
      <ns0:c r="M174" s="8" t="str">
        <ns0:v>B</ns0:v>
      </ns0:c>
    </ns0:row>
    <ns0:row r="175" ht="23" customHeight="1">
      <ns0:c r="B175" s="10" t="str">
        <ns0:v>APP000170</ns0:v>
      </ns0:c>
      <ns0:c r="C175" s="10" t="str">
        <ns0:v>000010</ns0:v>
      </ns0:c>
      <ns0:c r="D175" s="8" t="str">
        <ns0:v>기획</ns0:v>
      </ns0:c>
      <ns0:c r="E175" s="8" t="str">
        <ns0:v>C08</ns0:v>
      </ns0:c>
      <ns0:c r="F175" s="12" t="d">
        <ns0:v>2026-10-02T00:00:00.000Z</ns0:v>
      </ns0:c>
      <ns0:c r="G175" s="8" t="n">
        <ns0:v>1</ns0:v>
      </ns0:c>
      <ns0:c r="H175" s="8" t="str">
        <ns0:v>승인</ns0:v>
      </ns0:c>
      <ns0:c r="I175" s="14" t="n">
        <ns0:v>0.05</ns0:v>
      </ns0:c>
      <ns0:c r="J175" s="16"/>
      <ns0:c r="K175" s="8" t="n">
        <ns0:v>1</ns0:v>
      </ns0:c>
      <ns0:c r="L175" s="8"/>
      <ns0:c r="M175" s="8" t="str">
        <ns0:v>B</ns0:v>
      </ns0:c>
    </ns0:row>
    <ns0:row r="176" ht="23" customHeight="1">
      <ns0:c r="B176" s="10" t="str">
        <ns0:v>APP000171</ns0:v>
      </ns0:c>
      <ns0:c r="C176" s="10" t="str">
        <ns0:v>000011</ns0:v>
      </ns0:c>
      <ns0:c r="D176" s="8" t="str">
        <ns0:v>영업</ns0:v>
      </ns0:c>
      <ns0:c r="E176" s="8" t="str">
        <ns0:v>C03</ns0:v>
      </ns0:c>
      <ns0:c r="F176" s="12" t="d">
        <ns0:v>2026-10-03T00:00:00.000Z</ns0:v>
      </ns0:c>
      <ns0:c r="G176" s="8" t="n">
        <ns0:v>2</ns0:v>
      </ns0:c>
      <ns0:c r="H176" s="8" t="str">
        <ns0:v>승인</ns0:v>
      </ns0:c>
      <ns0:c r="I176" s="14" t="n">
        <ns0:v>0.1</ns0:v>
      </ns0:c>
      <ns0:c r="J176" s="16"/>
      <ns0:c r="K176" s="8" t="n">
        <ns0:v>1</ns0:v>
      </ns0:c>
      <ns0:c r="L176" s="8"/>
      <ns0:c r="M176" s="8" t="str">
        <ns0:v>B</ns0:v>
      </ns0:c>
    </ns0:row>
    <ns0:row r="177" ht="23" customHeight="1">
      <ns0:c r="B177" s="10" t="str">
        <ns0:v>APP000172</ns0:v>
      </ns0:c>
      <ns0:c r="C177" s="10" t="str">
        <ns0:v>000012</ns0:v>
      </ns0:c>
      <ns0:c r="D177" s="8" t="str">
        <ns0:v>지원</ns0:v>
      </ns0:c>
      <ns0:c r="E177" s="8" t="str">
        <ns0:v>C10</ns0:v>
      </ns0:c>
      <ns0:c r="F177" s="12" t="d">
        <ns0:v>2026-10-04T00:00:00.000Z</ns0:v>
      </ns0:c>
      <ns0:c r="G177" s="8" t="n">
        <ns0:v>3</ns0:v>
      </ns0:c>
      <ns0:c r="H177" s="8" t="str">
        <ns0:v>승인</ns0:v>
      </ns0:c>
      <ns0:c r="I177" s="14" t="n">
        <ns0:v>0.125</ns0:v>
      </ns0:c>
      <ns0:c r="J177" s="16"/>
      <ns0:c r="K177" s="8" t="n">
        <ns0:v>1</ns0:v>
      </ns0:c>
      <ns0:c r="L177" s="8"/>
      <ns0:c r="M177" s="8" t="str">
        <ns0:v>B</ns0:v>
      </ns0:c>
    </ns0:row>
    <ns0:row r="178" ht="23" customHeight="1">
      <ns0:c r="B178" s="10" t="str">
        <ns0:v>APP000173</ns0:v>
      </ns0:c>
      <ns0:c r="C178" s="10" t="str">
        <ns0:v>000013</ns0:v>
      </ns0:c>
      <ns0:c r="D178" s="8" t="str">
        <ns0:v>개발</ns0:v>
      </ns0:c>
      <ns0:c r="E178" s="8" t="str">
        <ns0:v>C05</ns0:v>
      </ns0:c>
      <ns0:c r="F178" s="12" t="d">
        <ns0:v>2026-10-05T00:00:00.000Z</ns0:v>
      </ns0:c>
      <ns0:c r="G178" s="8" t="n">
        <ns0:v>4</ns0:v>
      </ns0:c>
      <ns0:c r="H178" s="8" t="str">
        <ns0:v>승인</ns0:v>
      </ns0:c>
      <ns0:c r="I178" s="14" t="n">
        <ns0:v>0</ns0:v>
      </ns0:c>
      <ns0:c r="J178" s="16"/>
      <ns0:c r="K178" s="8" t="n">
        <ns0:v>1</ns0:v>
      </ns0:c>
      <ns0:c r="L178" s="8"/>
      <ns0:c r="M178" s="8" t="str">
        <ns0:v>B</ns0:v>
      </ns0:c>
    </ns0:row>
    <ns0:row r="179" ht="23" customHeight="1">
      <ns0:c r="B179" s="10" t="str">
        <ns0:v>APP000174</ns0:v>
      </ns0:c>
      <ns0:c r="C179" s="10" t="str">
        <ns0:v>000014</ns0:v>
      </ns0:c>
      <ns0:c r="D179" s="8" t="str">
        <ns0:v>생산</ns0:v>
      </ns0:c>
      <ns0:c r="E179" s="8" t="str">
        <ns0:v>C12</ns0:v>
      </ns0:c>
      <ns0:c r="F179" s="12" t="d">
        <ns0:v>2026-10-06T00:00:00.000Z</ns0:v>
      </ns0:c>
      <ns0:c r="G179" s="8" t="n">
        <ns0:v>5</ns0:v>
      </ns0:c>
      <ns0:c r="H179" s="8" t="str">
        <ns0:v>승인</ns0:v>
      </ns0:c>
      <ns0:c r="I179" s="14" t="n">
        <ns0:v>0.05</ns0:v>
      </ns0:c>
      <ns0:c r="J179" s="16"/>
      <ns0:c r="K179" s="8" t="n">
        <ns0:v>1</ns0:v>
      </ns0:c>
      <ns0:c r="L179" s="8"/>
      <ns0:c r="M179" s="8" t="str">
        <ns0:v>B</ns0:v>
      </ns0:c>
    </ns0:row>
    <ns0:row r="180" ht="23" customHeight="1">
      <ns0:c r="B180" s="10" t="str">
        <ns0:v>APP000175</ns0:v>
      </ns0:c>
      <ns0:c r="C180" s="10" t="str">
        <ns0:v>000015</ns0:v>
      </ns0:c>
      <ns0:c r="D180" s="8" t="str">
        <ns0:v>품질</ns0:v>
      </ns0:c>
      <ns0:c r="E180" s="8" t="str">
        <ns0:v>C07</ns0:v>
      </ns0:c>
      <ns0:c r="F180" s="12" t="d">
        <ns0:v>2026-10-07T00:00:00.000Z</ns0:v>
      </ns0:c>
      <ns0:c r="G180" s="8" t="n">
        <ns0:v>0</ns0:v>
      </ns0:c>
      <ns0:c r="H180" s="8" t="str">
        <ns0:v>승인</ns0:v>
      </ns0:c>
      <ns0:c r="I180" s="14" t="n">
        <ns0:v>0.1</ns0:v>
      </ns0:c>
      <ns0:c r="J180" s="16"/>
      <ns0:c r="K180" s="8" t="n">
        <ns0:v>1</ns0:v>
      </ns0:c>
      <ns0:c r="L180" s="8"/>
      <ns0:c r="M180" s="8" t="str">
        <ns0:v>B</ns0:v>
      </ns0:c>
    </ns0:row>
    <ns0:row r="181" ht="23" customHeight="1">
      <ns0:c r="B181" s="10" t="str">
        <ns0:v>APP000176</ns0:v>
      </ns0:c>
      <ns0:c r="C181" s="10" t="str">
        <ns0:v>000016</ns0:v>
      </ns0:c>
      <ns0:c r="D181" s="8" t="str">
        <ns0:v>기획</ns0:v>
      </ns0:c>
      <ns0:c r="E181" s="8" t="str">
        <ns0:v>C02</ns0:v>
      </ns0:c>
      <ns0:c r="F181" s="12" t="d">
        <ns0:v>2026-10-08T00:00:00.000Z</ns0:v>
      </ns0:c>
      <ns0:c r="G181" s="8" t="n">
        <ns0:v>1</ns0:v>
      </ns0:c>
      <ns0:c r="H181" s="8" t="str">
        <ns0:v>대기</ns0:v>
      </ns0:c>
      <ns0:c r="I181" s="14" t="n">
        <ns0:v>0.125</ns0:v>
      </ns0:c>
      <ns0:c r="J181" s="16"/>
      <ns0:c r="K181" s="8" t="n">
        <ns0:v>1</ns0:v>
      </ns0:c>
      <ns0:c r="L181" s="8"/>
      <ns0:c r="M181" s="8" t="str">
        <ns0:v>B</ns0:v>
      </ns0:c>
    </ns0:row>
    <ns0:row r="182" ht="23" customHeight="1">
      <ns0:c r="B182" s="10" t="str">
        <ns0:v>APP000177</ns0:v>
      </ns0:c>
      <ns0:c r="C182" s="10" t="str">
        <ns0:v>000017</ns0:v>
      </ns0:c>
      <ns0:c r="D182" s="8" t="str">
        <ns0:v>영업</ns0:v>
      </ns0:c>
      <ns0:c r="E182" s="8" t="str">
        <ns0:v>C09</ns0:v>
      </ns0:c>
      <ns0:c r="F182" s="12" t="d">
        <ns0:v>2026-10-09T00:00:00.000Z</ns0:v>
      </ns0:c>
      <ns0:c r="G182" s="8" t="n">
        <ns0:v>2</ns0:v>
      </ns0:c>
      <ns0:c r="H182" s="8" t="str">
        <ns0:v>취소</ns0:v>
      </ns0:c>
      <ns0:c r="I182" s="14" t="n">
        <ns0:v>0</ns0:v>
      </ns0:c>
      <ns0:c r="J182" s="16"/>
      <ns0:c r="K182" s="8" t="n">
        <ns0:v>1</ns0:v>
      </ns0:c>
      <ns0:c r="L182" s="8"/>
      <ns0:c r="M182" s="8" t="str">
        <ns0:v>B</ns0:v>
      </ns0:c>
    </ns0:row>
    <ns0:row r="183" ht="23" customHeight="1">
      <ns0:c r="B183" s="10" t="str">
        <ns0:v>APP000178</ns0:v>
      </ns0:c>
      <ns0:c r="C183" s="10" t="str">
        <ns0:v>000018</ns0:v>
      </ns0:c>
      <ns0:c r="D183" s="8" t="str">
        <ns0:v>지원</ns0:v>
      </ns0:c>
      <ns0:c r="E183" s="8" t="str">
        <ns0:v>C04</ns0:v>
      </ns0:c>
      <ns0:c r="F183" s="12" t="d">
        <ns0:v>2026-10-10T00:00:00.000Z</ns0:v>
      </ns0:c>
      <ns0:c r="G183" s="8" t="n">
        <ns0:v>3</ns0:v>
      </ns0:c>
      <ns0:c r="H183" s="8" t="str">
        <ns0:v>승인</ns0:v>
      </ns0:c>
      <ns0:c r="I183" s="14" t="n">
        <ns0:v>0.05</ns0:v>
      </ns0:c>
      <ns0:c r="J183" s="16"/>
      <ns0:c r="K183" s="8" t="n">
        <ns0:v>1</ns0:v>
      </ns0:c>
      <ns0:c r="L183" s="8"/>
      <ns0:c r="M183" s="8" t="str">
        <ns0:v>B</ns0:v>
      </ns0:c>
    </ns0:row>
    <ns0:row r="184" ht="23" customHeight="1">
      <ns0:c r="B184" s="10" t="str">
        <ns0:v>APP000179</ns0:v>
      </ns0:c>
      <ns0:c r="C184" s="10" t="str">
        <ns0:v>000019</ns0:v>
      </ns0:c>
      <ns0:c r="D184" s="8" t="str">
        <ns0:v>개발</ns0:v>
      </ns0:c>
      <ns0:c r="E184" s="8" t="str">
        <ns0:v>C11</ns0:v>
      </ns0:c>
      <ns0:c r="F184" s="12" t="d">
        <ns0:v>2026-10-11T00:00:00.000Z</ns0:v>
      </ns0:c>
      <ns0:c r="G184" s="8" t="n">
        <ns0:v>4</ns0:v>
      </ns0:c>
      <ns0:c r="H184" s="8" t="str">
        <ns0:v>승인</ns0:v>
      </ns0:c>
      <ns0:c r="I184" s="14" t="n">
        <ns0:v>0.1</ns0:v>
      </ns0:c>
      <ns0:c r="J184" s="16"/>
      <ns0:c r="K184" s="8" t="n">
        <ns0:v>1</ns0:v>
      </ns0:c>
      <ns0:c r="L184" s="8"/>
      <ns0:c r="M184" s="8" t="str">
        <ns0:v>B</ns0:v>
      </ns0:c>
    </ns0:row>
    <ns0:row r="185" ht="23" customHeight="1">
      <ns0:c r="B185" s="10" t="str">
        <ns0:v>APP000180</ns0:v>
      </ns0:c>
      <ns0:c r="C185" s="10" t="str">
        <ns0:v>000020</ns0:v>
      </ns0:c>
      <ns0:c r="D185" s="8" t="str">
        <ns0:v>생산</ns0:v>
      </ns0:c>
      <ns0:c r="E185" s="8" t="str">
        <ns0:v>C06</ns0:v>
      </ns0:c>
      <ns0:c r="F185" s="12" t="d">
        <ns0:v>2026-10-12T00:00:00.000Z</ns0:v>
      </ns0:c>
      <ns0:c r="G185" s="8" t="n">
        <ns0:v>5</ns0:v>
      </ns0:c>
      <ns0:c r="H185" s="8" t="str">
        <ns0:v>승인</ns0:v>
      </ns0:c>
      <ns0:c r="I185" s="14" t="n">
        <ns0:v>0.125</ns0:v>
      </ns0:c>
      <ns0:c r="J185" s="16"/>
      <ns0:c r="K185" s="8" t="n">
        <ns0:v>1</ns0:v>
      </ns0:c>
      <ns0:c r="L185" s="8"/>
      <ns0:c r="M185" s="8" t="str">
        <ns0:v>B</ns0:v>
      </ns0:c>
    </ns0:row>
    <ns0:row r="186" ht="23" customHeight="1">
      <ns0:c r="B186" s="10" t="str">
        <ns0:v>APP000181</ns0:v>
      </ns0:c>
      <ns0:c r="C186" s="10" t="str">
        <ns0:v>000021</ns0:v>
      </ns0:c>
      <ns0:c r="D186" s="8" t="str">
        <ns0:v>품질</ns0:v>
      </ns0:c>
      <ns0:c r="E186" s="8" t="str">
        <ns0:v>C01</ns0:v>
      </ns0:c>
      <ns0:c r="F186" s="12" t="d">
        <ns0:v>2026-10-13T00:00:00.000Z</ns0:v>
      </ns0:c>
      <ns0:c r="G186" s="8" t="n">
        <ns0:v>0</ns0:v>
      </ns0:c>
      <ns0:c r="H186" s="8" t="str">
        <ns0:v>승인</ns0:v>
      </ns0:c>
      <ns0:c r="I186" s="14" t="n">
        <ns0:v>0</ns0:v>
      </ns0:c>
      <ns0:c r="J186" s="16"/>
      <ns0:c r="K186" s="8" t="n">
        <ns0:v>1</ns0:v>
      </ns0:c>
      <ns0:c r="L186" s="8"/>
      <ns0:c r="M186" s="8" t="str">
        <ns0:v>B</ns0:v>
      </ns0:c>
    </ns0:row>
    <ns0:row r="187" ht="23" customHeight="1">
      <ns0:c r="B187" s="10" t="str">
        <ns0:v>APP000182</ns0:v>
      </ns0:c>
      <ns0:c r="C187" s="10" t="str">
        <ns0:v>000022</ns0:v>
      </ns0:c>
      <ns0:c r="D187" s="8" t="str">
        <ns0:v>기획</ns0:v>
      </ns0:c>
      <ns0:c r="E187" s="8" t="str">
        <ns0:v>C08</ns0:v>
      </ns0:c>
      <ns0:c r="F187" s="12" t="d">
        <ns0:v>2026-10-14T00:00:00.000Z</ns0:v>
      </ns0:c>
      <ns0:c r="G187" s="8" t="n">
        <ns0:v>1</ns0:v>
      </ns0:c>
      <ns0:c r="H187" s="8" t="str">
        <ns0:v>승인</ns0:v>
      </ns0:c>
      <ns0:c r="I187" s="14" t="n">
        <ns0:v>0.05</ns0:v>
      </ns0:c>
      <ns0:c r="J187" s="16"/>
      <ns0:c r="K187" s="8" t="n">
        <ns0:v>1</ns0:v>
      </ns0:c>
      <ns0:c r="L187" s="8"/>
      <ns0:c r="M187" s="8" t="str">
        <ns0:v>B</ns0:v>
      </ns0:c>
    </ns0:row>
    <ns0:row r="188" ht="23" customHeight="1">
      <ns0:c r="B188" s="10" t="str">
        <ns0:v>APP000183</ns0:v>
      </ns0:c>
      <ns0:c r="C188" s="10" t="str">
        <ns0:v>000023</ns0:v>
      </ns0:c>
      <ns0:c r="D188" s="8" t="str">
        <ns0:v>영업</ns0:v>
      </ns0:c>
      <ns0:c r="E188" s="8" t="str">
        <ns0:v>C03</ns0:v>
      </ns0:c>
      <ns0:c r="F188" s="12" t="d">
        <ns0:v>2026-10-15T00:00:00.000Z</ns0:v>
      </ns0:c>
      <ns0:c r="G188" s="8" t="n">
        <ns0:v>2</ns0:v>
      </ns0:c>
      <ns0:c r="H188" s="8" t="str">
        <ns0:v>대기</ns0:v>
      </ns0:c>
      <ns0:c r="I188" s="14" t="n">
        <ns0:v>0.1</ns0:v>
      </ns0:c>
      <ns0:c r="J188" s="16"/>
      <ns0:c r="K188" s="8" t="n">
        <ns0:v>1</ns0:v>
      </ns0:c>
      <ns0:c r="L188" s="8"/>
      <ns0:c r="M188" s="8" t="str">
        <ns0:v>B</ns0:v>
      </ns0:c>
    </ns0:row>
    <ns0:row r="189" ht="23" customHeight="1">
      <ns0:c r="B189" s="10" t="str">
        <ns0:v>APP000184</ns0:v>
      </ns0:c>
      <ns0:c r="C189" s="10" t="str">
        <ns0:v>000024</ns0:v>
      </ns0:c>
      <ns0:c r="D189" s="8" t="str">
        <ns0:v>지원</ns0:v>
      </ns0:c>
      <ns0:c r="E189" s="8" t="str">
        <ns0:v>C10</ns0:v>
      </ns0:c>
      <ns0:c r="F189" s="12" t="d">
        <ns0:v>2026-10-16T00:00:00.000Z</ns0:v>
      </ns0:c>
      <ns0:c r="G189" s="8" t="n">
        <ns0:v>3</ns0:v>
      </ns0:c>
      <ns0:c r="H189" s="8" t="str">
        <ns0:v>승인</ns0:v>
      </ns0:c>
      <ns0:c r="I189" s="14" t="n">
        <ns0:v>0.125</ns0:v>
      </ns0:c>
      <ns0:c r="J189" s="16"/>
      <ns0:c r="K189" s="8" t="n">
        <ns0:v>1</ns0:v>
      </ns0:c>
      <ns0:c r="L189" s="8"/>
      <ns0:c r="M189" s="8" t="str">
        <ns0:v>B</ns0:v>
      </ns0:c>
    </ns0:row>
    <ns0:row r="190" ht="23" customHeight="1">
      <ns0:c r="B190" s="10" t="str">
        <ns0:v>APP000185</ns0:v>
      </ns0:c>
      <ns0:c r="C190" s="10" t="str">
        <ns0:v>000025</ns0:v>
      </ns0:c>
      <ns0:c r="D190" s="8" t="str">
        <ns0:v>개발</ns0:v>
      </ns0:c>
      <ns0:c r="E190" s="8" t="str">
        <ns0:v>C05</ns0:v>
      </ns0:c>
      <ns0:c r="F190" s="12" t="d">
        <ns0:v>2026-10-17T00:00:00.000Z</ns0:v>
      </ns0:c>
      <ns0:c r="G190" s="8" t="n">
        <ns0:v>4</ns0:v>
      </ns0:c>
      <ns0:c r="H190" s="8" t="str">
        <ns0:v>승인</ns0:v>
      </ns0:c>
      <ns0:c r="I190" s="14" t="n">
        <ns0:v>0</ns0:v>
      </ns0:c>
      <ns0:c r="J190" s="16"/>
      <ns0:c r="K190" s="8" t="n">
        <ns0:v>1</ns0:v>
      </ns0:c>
      <ns0:c r="L190" s="8"/>
      <ns0:c r="M190" s="8" t="str">
        <ns0:v>B</ns0:v>
      </ns0:c>
    </ns0:row>
    <ns0:row r="191" ht="23" customHeight="1">
      <ns0:c r="B191" s="10" t="str">
        <ns0:v>APP000186</ns0:v>
      </ns0:c>
      <ns0:c r="C191" s="10" t="str">
        <ns0:v>000026</ns0:v>
      </ns0:c>
      <ns0:c r="D191" s="8" t="str">
        <ns0:v>생산</ns0:v>
      </ns0:c>
      <ns0:c r="E191" s="8" t="str">
        <ns0:v>C12</ns0:v>
      </ns0:c>
      <ns0:c r="F191" s="12" t="d">
        <ns0:v>2026-10-18T00:00:00.000Z</ns0:v>
      </ns0:c>
      <ns0:c r="G191" s="8" t="n">
        <ns0:v>5</ns0:v>
      </ns0:c>
      <ns0:c r="H191" s="8" t="str">
        <ns0:v>승인</ns0:v>
      </ns0:c>
      <ns0:c r="I191" s="14" t="n">
        <ns0:v>0.05</ns0:v>
      </ns0:c>
      <ns0:c r="J191" s="16"/>
      <ns0:c r="K191" s="8" t="n">
        <ns0:v>1</ns0:v>
      </ns0:c>
      <ns0:c r="L191" s="8"/>
      <ns0:c r="M191" s="8" t="str">
        <ns0:v>B</ns0:v>
      </ns0:c>
    </ns0:row>
    <ns0:row r="192" ht="23" customHeight="1">
      <ns0:c r="B192" s="10" t="str">
        <ns0:v>APP000187</ns0:v>
      </ns0:c>
      <ns0:c r="C192" s="10" t="str">
        <ns0:v>000027</ns0:v>
      </ns0:c>
      <ns0:c r="D192" s="8" t="str">
        <ns0:v>품질</ns0:v>
      </ns0:c>
      <ns0:c r="E192" s="8" t="str">
        <ns0:v>C07</ns0:v>
      </ns0:c>
      <ns0:c r="F192" s="12" t="d">
        <ns0:v>2026-10-19T00:00:00.000Z</ns0:v>
      </ns0:c>
      <ns0:c r="G192" s="8" t="n">
        <ns0:v>0</ns0:v>
      </ns0:c>
      <ns0:c r="H192" s="8" t="str">
        <ns0:v>승인</ns0:v>
      </ns0:c>
      <ns0:c r="I192" s="14" t="n">
        <ns0:v>0.1</ns0:v>
      </ns0:c>
      <ns0:c r="J192" s="16"/>
      <ns0:c r="K192" s="8" t="n">
        <ns0:v>1</ns0:v>
      </ns0:c>
      <ns0:c r="L192" s="8"/>
      <ns0:c r="M192" s="8" t="str">
        <ns0:v>B</ns0:v>
      </ns0:c>
    </ns0:row>
    <ns0:row r="193" ht="23" customHeight="1">
      <ns0:c r="B193" s="10" t="str">
        <ns0:v>APP000188</ns0:v>
      </ns0:c>
      <ns0:c r="C193" s="10" t="str">
        <ns0:v>000028</ns0:v>
      </ns0:c>
      <ns0:c r="D193" s="8" t="str">
        <ns0:v>기획</ns0:v>
      </ns0:c>
      <ns0:c r="E193" s="8" t="str">
        <ns0:v>C02</ns0:v>
      </ns0:c>
      <ns0:c r="F193" s="12" t="d">
        <ns0:v>2026-10-20T00:00:00.000Z</ns0:v>
      </ns0:c>
      <ns0:c r="G193" s="8" t="n">
        <ns0:v>1</ns0:v>
      </ns0:c>
      <ns0:c r="H193" s="8" t="str">
        <ns0:v>취소</ns0:v>
      </ns0:c>
      <ns0:c r="I193" s="14" t="n">
        <ns0:v>0.125</ns0:v>
      </ns0:c>
      <ns0:c r="J193" s="16"/>
      <ns0:c r="K193" s="8" t="n">
        <ns0:v>1</ns0:v>
      </ns0:c>
      <ns0:c r="L193" s="8"/>
      <ns0:c r="M193" s="8" t="str">
        <ns0:v>B</ns0:v>
      </ns0:c>
    </ns0:row>
    <ns0:row r="194" ht="23" customHeight="1">
      <ns0:c r="B194" s="10" t="str">
        <ns0:v>APP000189</ns0:v>
      </ns0:c>
      <ns0:c r="C194" s="10" t="str">
        <ns0:v>000029</ns0:v>
      </ns0:c>
      <ns0:c r="D194" s="8" t="str">
        <ns0:v>영업</ns0:v>
      </ns0:c>
      <ns0:c r="E194" s="8" t="str">
        <ns0:v>C09</ns0:v>
      </ns0:c>
      <ns0:c r="F194" s="12" t="d">
        <ns0:v>2026-10-21T00:00:00.000Z</ns0:v>
      </ns0:c>
      <ns0:c r="G194" s="8" t="n">
        <ns0:v>2</ns0:v>
      </ns0:c>
      <ns0:c r="H194" s="8" t="str">
        <ns0:v>승인</ns0:v>
      </ns0:c>
      <ns0:c r="I194" s="14" t="n">
        <ns0:v>0</ns0:v>
      </ns0:c>
      <ns0:c r="J194" s="16"/>
      <ns0:c r="K194" s="8" t="n">
        <ns0:v>1</ns0:v>
      </ns0:c>
      <ns0:c r="L194" s="8"/>
      <ns0:c r="M194" s="8" t="str">
        <ns0:v>B</ns0:v>
      </ns0:c>
    </ns0:row>
    <ns0:row r="195" ht="23" customHeight="1">
      <ns0:c r="B195" s="10" t="str">
        <ns0:v>APP000190</ns0:v>
      </ns0:c>
      <ns0:c r="C195" s="10" t="str">
        <ns0:v>000030</ns0:v>
      </ns0:c>
      <ns0:c r="D195" s="8" t="str">
        <ns0:v>지원</ns0:v>
      </ns0:c>
      <ns0:c r="E195" s="8" t="str">
        <ns0:v>C04</ns0:v>
      </ns0:c>
      <ns0:c r="F195" s="12" t="d">
        <ns0:v>2026-10-22T00:00:00.000Z</ns0:v>
      </ns0:c>
      <ns0:c r="G195" s="8" t="n">
        <ns0:v>3</ns0:v>
      </ns0:c>
      <ns0:c r="H195" s="8" t="str">
        <ns0:v>대기</ns0:v>
      </ns0:c>
      <ns0:c r="I195" s="14" t="n">
        <ns0:v>0.05</ns0:v>
      </ns0:c>
      <ns0:c r="J195" s="16"/>
      <ns0:c r="K195" s="8" t="n">
        <ns0:v>1</ns0:v>
      </ns0:c>
      <ns0:c r="L195" s="8"/>
      <ns0:c r="M195" s="8" t="str">
        <ns0:v>B</ns0:v>
      </ns0:c>
    </ns0:row>
    <ns0:row r="196" ht="23" customHeight="1">
      <ns0:c r="B196" s="10" t="str">
        <ns0:v>APP000191</ns0:v>
      </ns0:c>
      <ns0:c r="C196" s="10" t="str">
        <ns0:v>000031</ns0:v>
      </ns0:c>
      <ns0:c r="D196" s="8" t="str">
        <ns0:v>개발</ns0:v>
      </ns0:c>
      <ns0:c r="E196" s="8" t="str">
        <ns0:v>C11</ns0:v>
      </ns0:c>
      <ns0:c r="F196" s="12" t="d">
        <ns0:v>2026-10-23T00:00:00.000Z</ns0:v>
      </ns0:c>
      <ns0:c r="G196" s="8" t="n">
        <ns0:v>4</ns0:v>
      </ns0:c>
      <ns0:c r="H196" s="8" t="str">
        <ns0:v>승인</ns0:v>
      </ns0:c>
      <ns0:c r="I196" s="14" t="n">
        <ns0:v>0.1</ns0:v>
      </ns0:c>
      <ns0:c r="J196" s="16"/>
      <ns0:c r="K196" s="8" t="n">
        <ns0:v>1</ns0:v>
      </ns0:c>
      <ns0:c r="L196" s="8"/>
      <ns0:c r="M196" s="8" t="str">
        <ns0:v>B</ns0:v>
      </ns0:c>
    </ns0:row>
    <ns0:row r="197" ht="23" customHeight="1">
      <ns0:c r="B197" s="10" t="str">
        <ns0:v>APP000192</ns0:v>
      </ns0:c>
      <ns0:c r="C197" s="10" t="str">
        <ns0:v>000032</ns0:v>
      </ns0:c>
      <ns0:c r="D197" s="8" t="str">
        <ns0:v>생산</ns0:v>
      </ns0:c>
      <ns0:c r="E197" s="8" t="str">
        <ns0:v>C06</ns0:v>
      </ns0:c>
      <ns0:c r="F197" s="12" t="d">
        <ns0:v>2026-10-24T00:00:00.000Z</ns0:v>
      </ns0:c>
      <ns0:c r="G197" s="8" t="n">
        <ns0:v>5</ns0:v>
      </ns0:c>
      <ns0:c r="H197" s="8" t="str">
        <ns0:v>승인</ns0:v>
      </ns0:c>
      <ns0:c r="I197" s="14" t="n">
        <ns0:v>0.125</ns0:v>
      </ns0:c>
      <ns0:c r="J197" s="16"/>
      <ns0:c r="K197" s="8" t="n">
        <ns0:v>1</ns0:v>
      </ns0:c>
      <ns0:c r="L197" s="8"/>
      <ns0:c r="M197" s="8" t="str">
        <ns0:v>B</ns0:v>
      </ns0:c>
    </ns0:row>
    <ns0:row r="198" ht="23" customHeight="1">
      <ns0:c r="B198" s="10" t="str">
        <ns0:v>APP000193</ns0:v>
      </ns0:c>
      <ns0:c r="C198" s="10" t="str">
        <ns0:v>000033</ns0:v>
      </ns0:c>
      <ns0:c r="D198" s="8" t="str">
        <ns0:v>품질</ns0:v>
      </ns0:c>
      <ns0:c r="E198" s="8" t="str">
        <ns0:v>C01</ns0:v>
      </ns0:c>
      <ns0:c r="F198" s="12" t="d">
        <ns0:v>2026-10-25T00:00:00.000Z</ns0:v>
      </ns0:c>
      <ns0:c r="G198" s="8" t="n">
        <ns0:v>0</ns0:v>
      </ns0:c>
      <ns0:c r="H198" s="8" t="str">
        <ns0:v>승인</ns0:v>
      </ns0:c>
      <ns0:c r="I198" s="14" t="n">
        <ns0:v>0</ns0:v>
      </ns0:c>
      <ns0:c r="J198" s="16"/>
      <ns0:c r="K198" s="8" t="n">
        <ns0:v>1</ns0:v>
      </ns0:c>
      <ns0:c r="L198" s="8"/>
      <ns0:c r="M198" s="8" t="str">
        <ns0:v>B</ns0:v>
      </ns0:c>
    </ns0:row>
    <ns0:row r="199" ht="23" customHeight="1">
      <ns0:c r="B199" s="10" t="str">
        <ns0:v>APP000194</ns0:v>
      </ns0:c>
      <ns0:c r="C199" s="10" t="str">
        <ns0:v>000034</ns0:v>
      </ns0:c>
      <ns0:c r="D199" s="8" t="str">
        <ns0:v>기획</ns0:v>
      </ns0:c>
      <ns0:c r="E199" s="8" t="str">
        <ns0:v>C08</ns0:v>
      </ns0:c>
      <ns0:c r="F199" s="12" t="d">
        <ns0:v>2026-10-26T00:00:00.000Z</ns0:v>
      </ns0:c>
      <ns0:c r="G199" s="8" t="n">
        <ns0:v>1</ns0:v>
      </ns0:c>
      <ns0:c r="H199" s="8" t="str">
        <ns0:v>승인</ns0:v>
      </ns0:c>
      <ns0:c r="I199" s="14" t="n">
        <ns0:v>0.05</ns0:v>
      </ns0:c>
      <ns0:c r="J199" s="16"/>
      <ns0:c r="K199" s="8" t="n">
        <ns0:v>1</ns0:v>
      </ns0:c>
      <ns0:c r="L199" s="8"/>
      <ns0:c r="M199" s="8" t="str">
        <ns0:v>B</ns0:v>
      </ns0:c>
    </ns0:row>
    <ns0:row r="200" ht="23" customHeight="1">
      <ns0:c r="B200" s="10" t="str">
        <ns0:v>APP000195</ns0:v>
      </ns0:c>
      <ns0:c r="C200" s="10" t="str">
        <ns0:v>000035</ns0:v>
      </ns0:c>
      <ns0:c r="D200" s="8" t="str">
        <ns0:v>영업</ns0:v>
      </ns0:c>
      <ns0:c r="E200" s="8" t="str">
        <ns0:v>C03</ns0:v>
      </ns0:c>
      <ns0:c r="F200" s="12" t="d">
        <ns0:v>2026-10-27T00:00:00.000Z</ns0:v>
      </ns0:c>
      <ns0:c r="G200" s="8" t="n">
        <ns0:v>2</ns0:v>
      </ns0:c>
      <ns0:c r="H200" s="8" t="str">
        <ns0:v>승인</ns0:v>
      </ns0:c>
      <ns0:c r="I200" s="14" t="n">
        <ns0:v>0.1</ns0:v>
      </ns0:c>
      <ns0:c r="J200" s="16"/>
      <ns0:c r="K200" s="8" t="n">
        <ns0:v>1</ns0:v>
      </ns0:c>
      <ns0:c r="L200" s="8"/>
      <ns0:c r="M200" s="8" t="str">
        <ns0:v>B</ns0:v>
      </ns0:c>
    </ns0:row>
    <ns0:row r="201" ht="23" customHeight="1">
      <ns0:c r="B201" s="10" t="str">
        <ns0:v>APP000196</ns0:v>
      </ns0:c>
      <ns0:c r="C201" s="10" t="str">
        <ns0:v>000036</ns0:v>
      </ns0:c>
      <ns0:c r="D201" s="8" t="str">
        <ns0:v>지원</ns0:v>
      </ns0:c>
      <ns0:c r="E201" s="8" t="str">
        <ns0:v>C10</ns0:v>
      </ns0:c>
      <ns0:c r="F201" s="12" t="d">
        <ns0:v>2026-10-28T00:00:00.000Z</ns0:v>
      </ns0:c>
      <ns0:c r="G201" s="8" t="n">
        <ns0:v>3</ns0:v>
      </ns0:c>
      <ns0:c r="H201" s="8" t="str">
        <ns0:v>승인</ns0:v>
      </ns0:c>
      <ns0:c r="I201" s="14" t="n">
        <ns0:v>0.125</ns0:v>
      </ns0:c>
      <ns0:c r="J201" s="16"/>
      <ns0:c r="K201" s="8" t="n">
        <ns0:v>1</ns0:v>
      </ns0:c>
      <ns0:c r="L201" s="8"/>
      <ns0:c r="M201" s="8" t="str">
        <ns0:v>B</ns0:v>
      </ns0:c>
    </ns0:row>
    <ns0:row r="202" ht="23" customHeight="1">
      <ns0:c r="B202" s="10" t="str">
        <ns0:v>APP000197</ns0:v>
      </ns0:c>
      <ns0:c r="C202" s="10" t="str">
        <ns0:v>000037</ns0:v>
      </ns0:c>
      <ns0:c r="D202" s="8" t="str">
        <ns0:v>개발</ns0:v>
      </ns0:c>
      <ns0:c r="E202" s="8" t="str">
        <ns0:v>C05</ns0:v>
      </ns0:c>
      <ns0:c r="F202" s="12" t="d">
        <ns0:v>2026-10-01T00:00:00.000Z</ns0:v>
      </ns0:c>
      <ns0:c r="G202" s="8" t="n">
        <ns0:v>4</ns0:v>
      </ns0:c>
      <ns0:c r="H202" s="8" t="str">
        <ns0:v>대기</ns0:v>
      </ns0:c>
      <ns0:c r="I202" s="14" t="n">
        <ns0:v>0</ns0:v>
      </ns0:c>
      <ns0:c r="J202" s="16"/>
      <ns0:c r="K202" s="8" t="n">
        <ns0:v>1</ns0:v>
      </ns0:c>
      <ns0:c r="L202" s="8"/>
      <ns0:c r="M202" s="8" t="str">
        <ns0:v>B</ns0:v>
      </ns0:c>
    </ns0:row>
    <ns0:row r="203" ht="23" customHeight="1">
      <ns0:c r="B203" s="10" t="str">
        <ns0:v>APP000198</ns0:v>
      </ns0:c>
      <ns0:c r="C203" s="10" t="str">
        <ns0:v>000038</ns0:v>
      </ns0:c>
      <ns0:c r="D203" s="8" t="str">
        <ns0:v>생산</ns0:v>
      </ns0:c>
      <ns0:c r="E203" s="8" t="str">
        <ns0:v>C12</ns0:v>
      </ns0:c>
      <ns0:c r="F203" s="12" t="d">
        <ns0:v>2026-10-02T00:00:00.000Z</ns0:v>
      </ns0:c>
      <ns0:c r="G203" s="8" t="n">
        <ns0:v>5</ns0:v>
      </ns0:c>
      <ns0:c r="H203" s="8" t="str">
        <ns0:v>승인</ns0:v>
      </ns0:c>
      <ns0:c r="I203" s="14" t="n">
        <ns0:v>0.05</ns0:v>
      </ns0:c>
      <ns0:c r="J203" s="16"/>
      <ns0:c r="K203" s="8" t="n">
        <ns0:v>1</ns0:v>
      </ns0:c>
      <ns0:c r="L203" s="8"/>
      <ns0:c r="M203" s="8" t="str">
        <ns0:v>B</ns0:v>
      </ns0:c>
    </ns0:row>
    <ns0:row r="204" ht="23" customHeight="1">
      <ns0:c r="B204" s="10" t="str">
        <ns0:v>APP000199</ns0:v>
      </ns0:c>
      <ns0:c r="C204" s="10" t="str">
        <ns0:v>000039</ns0:v>
      </ns0:c>
      <ns0:c r="D204" s="8" t="str">
        <ns0:v>품질</ns0:v>
      </ns0:c>
      <ns0:c r="E204" s="8" t="str">
        <ns0:v>C07</ns0:v>
      </ns0:c>
      <ns0:c r="F204" s="12" t="d">
        <ns0:v>2026-10-03T00:00:00.000Z</ns0:v>
      </ns0:c>
      <ns0:c r="G204" s="8" t="n">
        <ns0:v>0</ns0:v>
      </ns0:c>
      <ns0:c r="H204" s="8" t="str">
        <ns0:v>취소</ns0:v>
      </ns0:c>
      <ns0:c r="I204" s="14" t="n">
        <ns0:v>0.1</ns0:v>
      </ns0:c>
      <ns0:c r="J204" s="16"/>
      <ns0:c r="K204" s="8" t="n">
        <ns0:v>1</ns0:v>
      </ns0:c>
      <ns0:c r="L204" s="8"/>
      <ns0:c r="M204" s="8" t="str">
        <ns0:v>B</ns0:v>
      </ns0:c>
    </ns0:row>
    <ns0:row r="205" ht="23" customHeight="1">
      <ns0:c r="B205" s="10" t="str">
        <ns0:v>APP000200</ns0:v>
      </ns0:c>
      <ns0:c r="C205" s="10" t="str">
        <ns0:v>000040</ns0:v>
      </ns0:c>
      <ns0:c r="D205" s="8" t="str">
        <ns0:v>기획</ns0:v>
      </ns0:c>
      <ns0:c r="E205" s="8" t="str">
        <ns0:v>C02</ns0:v>
      </ns0:c>
      <ns0:c r="F205" s="12" t="d">
        <ns0:v>2026-10-04T00:00:00.000Z</ns0:v>
      </ns0:c>
      <ns0:c r="G205" s="8" t="n">
        <ns0:v>1</ns0:v>
      </ns0:c>
      <ns0:c r="H205" s="8" t="str">
        <ns0:v>승인</ns0:v>
      </ns0:c>
      <ns0:c r="I205" s="14" t="n">
        <ns0:v>0.125</ns0:v>
      </ns0:c>
      <ns0:c r="J205" s="16"/>
      <ns0:c r="K205" s="8" t="n">
        <ns0:v>1</ns0:v>
      </ns0:c>
      <ns0:c r="L205" s="8"/>
      <ns0:c r="M205" s="8" t="str">
        <ns0:v>B</ns0:v>
      </ns0:c>
    </ns0:row>
    <ns0:row r="206" ht="23" customHeight="1">
      <ns0:c r="B206" s="10" t="str">
        <ns0:v>APP000201</ns0:v>
      </ns0:c>
      <ns0:c r="C206" s="10" t="str">
        <ns0:v>000041</ns0:v>
      </ns0:c>
      <ns0:c r="D206" s="8" t="str">
        <ns0:v>영업</ns0:v>
      </ns0:c>
      <ns0:c r="E206" s="8" t="str">
        <ns0:v>C09</ns0:v>
      </ns0:c>
      <ns0:c r="F206" s="12" t="d">
        <ns0:v>2026-10-05T00:00:00.000Z</ns0:v>
      </ns0:c>
      <ns0:c r="G206" s="8" t="n">
        <ns0:v>2</ns0:v>
      </ns0:c>
      <ns0:c r="H206" s="8" t="str">
        <ns0:v>승인</ns0:v>
      </ns0:c>
      <ns0:c r="I206" s="14" t="n">
        <ns0:v>0</ns0:v>
      </ns0:c>
      <ns0:c r="J206" s="16"/>
      <ns0:c r="K206" s="8" t="n">
        <ns0:v>1</ns0:v>
      </ns0:c>
      <ns0:c r="L206" s="8"/>
      <ns0:c r="M206" s="8" t="str">
        <ns0:v>B</ns0:v>
      </ns0:c>
    </ns0:row>
    <ns0:row r="207" ht="23" customHeight="1">
      <ns0:c r="B207" s="10" t="str">
        <ns0:v>APP000202</ns0:v>
      </ns0:c>
      <ns0:c r="C207" s="10" t="str">
        <ns0:v>000042</ns0:v>
      </ns0:c>
      <ns0:c r="D207" s="8" t="str">
        <ns0:v>지원</ns0:v>
      </ns0:c>
      <ns0:c r="E207" s="8" t="str">
        <ns0:v>C04</ns0:v>
      </ns0:c>
      <ns0:c r="F207" s="12" t="d">
        <ns0:v>2026-10-06T00:00:00.000Z</ns0:v>
      </ns0:c>
      <ns0:c r="G207" s="8" t="n">
        <ns0:v>3</ns0:v>
      </ns0:c>
      <ns0:c r="H207" s="8" t="str">
        <ns0:v>승인</ns0:v>
      </ns0:c>
      <ns0:c r="I207" s="14" t="n">
        <ns0:v>0.05</ns0:v>
      </ns0:c>
      <ns0:c r="J207" s="16"/>
      <ns0:c r="K207" s="8" t="n">
        <ns0:v>1</ns0:v>
      </ns0:c>
      <ns0:c r="L207" s="8"/>
      <ns0:c r="M207" s="8" t="str">
        <ns0:v>B</ns0:v>
      </ns0:c>
    </ns0:row>
    <ns0:row r="208" ht="23" customHeight="1">
      <ns0:c r="B208" s="10" t="str">
        <ns0:v>APP000203</ns0:v>
      </ns0:c>
      <ns0:c r="C208" s="10" t="str">
        <ns0:v>000043</ns0:v>
      </ns0:c>
      <ns0:c r="D208" s="8" t="str">
        <ns0:v>개발</ns0:v>
      </ns0:c>
      <ns0:c r="E208" s="8" t="str">
        <ns0:v>C11</ns0:v>
      </ns0:c>
      <ns0:c r="F208" s="12" t="d">
        <ns0:v>2026-10-07T00:00:00.000Z</ns0:v>
      </ns0:c>
      <ns0:c r="G208" s="8" t="n">
        <ns0:v>4</ns0:v>
      </ns0:c>
      <ns0:c r="H208" s="8" t="str">
        <ns0:v>승인</ns0:v>
      </ns0:c>
      <ns0:c r="I208" s="14" t="n">
        <ns0:v>0.1</ns0:v>
      </ns0:c>
      <ns0:c r="J208" s="16"/>
      <ns0:c r="K208" s="8" t="n">
        <ns0:v>1</ns0:v>
      </ns0:c>
      <ns0:c r="L208" s="8"/>
      <ns0:c r="M208" s="8" t="str">
        <ns0:v>B</ns0:v>
      </ns0:c>
    </ns0:row>
    <ns0:row r="209" ht="23" customHeight="1">
      <ns0:c r="B209" s="10" t="str">
        <ns0:v>APP000204</ns0:v>
      </ns0:c>
      <ns0:c r="C209" s="10" t="str">
        <ns0:v>000044</ns0:v>
      </ns0:c>
      <ns0:c r="D209" s="8" t="str">
        <ns0:v>생산</ns0:v>
      </ns0:c>
      <ns0:c r="E209" s="8" t="str">
        <ns0:v>C06</ns0:v>
      </ns0:c>
      <ns0:c r="F209" s="12" t="d">
        <ns0:v>2026-10-08T00:00:00.000Z</ns0:v>
      </ns0:c>
      <ns0:c r="G209" s="8" t="n">
        <ns0:v>5</ns0:v>
      </ns0:c>
      <ns0:c r="H209" s="8" t="str">
        <ns0:v>대기</ns0:v>
      </ns0:c>
      <ns0:c r="I209" s="14" t="n">
        <ns0:v>0.125</ns0:v>
      </ns0:c>
      <ns0:c r="J209" s="16"/>
      <ns0:c r="K209" s="8" t="n">
        <ns0:v>1</ns0:v>
      </ns0:c>
      <ns0:c r="L209" s="8"/>
      <ns0:c r="M209" s="8" t="str">
        <ns0:v>B</ns0:v>
      </ns0:c>
    </ns0:row>
    <ns0:row r="210" ht="23" customHeight="1">
      <ns0:c r="B210" s="10" t="str">
        <ns0:v>APP000205</ns0:v>
      </ns0:c>
      <ns0:c r="C210" s="10" t="str">
        <ns0:v>000045</ns0:v>
      </ns0:c>
      <ns0:c r="D210" s="8" t="str">
        <ns0:v>품질</ns0:v>
      </ns0:c>
      <ns0:c r="E210" s="8" t="str">
        <ns0:v>C01</ns0:v>
      </ns0:c>
      <ns0:c r="F210" s="12" t="d">
        <ns0:v>2026-10-09T00:00:00.000Z</ns0:v>
      </ns0:c>
      <ns0:c r="G210" s="8" t="n">
        <ns0:v>0</ns0:v>
      </ns0:c>
      <ns0:c r="H210" s="8" t="str">
        <ns0:v>승인</ns0:v>
      </ns0:c>
      <ns0:c r="I210" s="14" t="n">
        <ns0:v>0</ns0:v>
      </ns0:c>
      <ns0:c r="J210" s="16"/>
      <ns0:c r="K210" s="8" t="n">
        <ns0:v>1</ns0:v>
      </ns0:c>
      <ns0:c r="L210" s="8"/>
      <ns0:c r="M210" s="8" t="str">
        <ns0:v>B</ns0:v>
      </ns0:c>
    </ns0:row>
    <ns0:row r="211" ht="23" customHeight="1">
      <ns0:c r="B211" s="10" t="str">
        <ns0:v>APP000206</ns0:v>
      </ns0:c>
      <ns0:c r="C211" s="10" t="str">
        <ns0:v>000046</ns0:v>
      </ns0:c>
      <ns0:c r="D211" s="8" t="str">
        <ns0:v>기획</ns0:v>
      </ns0:c>
      <ns0:c r="E211" s="8" t="str">
        <ns0:v>C08</ns0:v>
      </ns0:c>
      <ns0:c r="F211" s="12" t="d">
        <ns0:v>2026-10-10T00:00:00.000Z</ns0:v>
      </ns0:c>
      <ns0:c r="G211" s="8" t="n">
        <ns0:v>1</ns0:v>
      </ns0:c>
      <ns0:c r="H211" s="8" t="str">
        <ns0:v>승인</ns0:v>
      </ns0:c>
      <ns0:c r="I211" s="14" t="n">
        <ns0:v>0.05</ns0:v>
      </ns0:c>
      <ns0:c r="J211" s="16"/>
      <ns0:c r="K211" s="8" t="n">
        <ns0:v>1</ns0:v>
      </ns0:c>
      <ns0:c r="L211" s="8"/>
      <ns0:c r="M211" s="8" t="str">
        <ns0:v>B</ns0:v>
      </ns0:c>
    </ns0:row>
    <ns0:row r="212" ht="23" customHeight="1">
      <ns0:c r="B212" s="10" t="str">
        <ns0:v>APP000207</ns0:v>
      </ns0:c>
      <ns0:c r="C212" s="10" t="str">
        <ns0:v>000047</ns0:v>
      </ns0:c>
      <ns0:c r="D212" s="8" t="str">
        <ns0:v>영업</ns0:v>
      </ns0:c>
      <ns0:c r="E212" s="8" t="str">
        <ns0:v>C03</ns0:v>
      </ns0:c>
      <ns0:c r="F212" s="12" t="d">
        <ns0:v>2026-10-11T00:00:00.000Z</ns0:v>
      </ns0:c>
      <ns0:c r="G212" s="8" t="n">
        <ns0:v>2</ns0:v>
      </ns0:c>
      <ns0:c r="H212" s="8" t="str">
        <ns0:v>승인</ns0:v>
      </ns0:c>
      <ns0:c r="I212" s="14" t="n">
        <ns0:v>0.1</ns0:v>
      </ns0:c>
      <ns0:c r="J212" s="16"/>
      <ns0:c r="K212" s="8" t="n">
        <ns0:v>1</ns0:v>
      </ns0:c>
      <ns0:c r="L212" s="8"/>
      <ns0:c r="M212" s="8" t="str">
        <ns0:v>B</ns0:v>
      </ns0:c>
    </ns0:row>
    <ns0:row r="213" ht="23" customHeight="1">
      <ns0:c r="B213" s="10" t="str">
        <ns0:v>APP000208</ns0:v>
      </ns0:c>
      <ns0:c r="C213" s="10" t="str">
        <ns0:v>000048</ns0:v>
      </ns0:c>
      <ns0:c r="D213" s="8" t="str">
        <ns0:v>지원</ns0:v>
      </ns0:c>
      <ns0:c r="E213" s="8" t="str">
        <ns0:v>C10</ns0:v>
      </ns0:c>
      <ns0:c r="F213" s="12" t="d">
        <ns0:v>2026-10-12T00:00:00.000Z</ns0:v>
      </ns0:c>
      <ns0:c r="G213" s="8" t="n">
        <ns0:v>3</ns0:v>
      </ns0:c>
      <ns0:c r="H213" s="8" t="str">
        <ns0:v>승인</ns0:v>
      </ns0:c>
      <ns0:c r="I213" s="14" t="n">
        <ns0:v>0.125</ns0:v>
      </ns0:c>
      <ns0:c r="J213" s="16"/>
      <ns0:c r="K213" s="8" t="n">
        <ns0:v>1</ns0:v>
      </ns0:c>
      <ns0:c r="L213" s="8"/>
      <ns0:c r="M213" s="8" t="str">
        <ns0:v>B</ns0:v>
      </ns0:c>
    </ns0:row>
    <ns0:row r="214" ht="23" customHeight="1">
      <ns0:c r="B214" s="10" t="str">
        <ns0:v>APP000209</ns0:v>
      </ns0:c>
      <ns0:c r="C214" s="10" t="str">
        <ns0:v>000049</ns0:v>
      </ns0:c>
      <ns0:c r="D214" s="8" t="str">
        <ns0:v>개발</ns0:v>
      </ns0:c>
      <ns0:c r="E214" s="8" t="str">
        <ns0:v>C05</ns0:v>
      </ns0:c>
      <ns0:c r="F214" s="12" t="d">
        <ns0:v>2026-10-13T00:00:00.000Z</ns0:v>
      </ns0:c>
      <ns0:c r="G214" s="8" t="n">
        <ns0:v>4</ns0:v>
      </ns0:c>
      <ns0:c r="H214" s="8" t="str">
        <ns0:v>승인</ns0:v>
      </ns0:c>
      <ns0:c r="I214" s="14" t="n">
        <ns0:v>0</ns0:v>
      </ns0:c>
      <ns0:c r="J214" s="16"/>
      <ns0:c r="K214" s="8" t="n">
        <ns0:v>1</ns0:v>
      </ns0:c>
      <ns0:c r="L214" s="8"/>
      <ns0:c r="M214" s="8" t="str">
        <ns0:v>B</ns0:v>
      </ns0:c>
    </ns0:row>
    <ns0:row r="215" ht="23" customHeight="1">
      <ns0:c r="B215" s="10" t="str">
        <ns0:v>APP000210</ns0:v>
      </ns0:c>
      <ns0:c r="C215" s="10" t="str">
        <ns0:v>000050</ns0:v>
      </ns0:c>
      <ns0:c r="D215" s="8" t="str">
        <ns0:v>생산</ns0:v>
      </ns0:c>
      <ns0:c r="E215" s="8" t="str">
        <ns0:v>C12</ns0:v>
      </ns0:c>
      <ns0:c r="F215" s="12" t="d">
        <ns0:v>2026-10-14T00:00:00.000Z</ns0:v>
      </ns0:c>
      <ns0:c r="G215" s="8" t="n">
        <ns0:v>5</ns0:v>
      </ns0:c>
      <ns0:c r="H215" s="8" t="str">
        <ns0:v>취소</ns0:v>
      </ns0:c>
      <ns0:c r="I215" s="14" t="n">
        <ns0:v>0.05</ns0:v>
      </ns0:c>
      <ns0:c r="J215" s="16"/>
      <ns0:c r="K215" s="8" t="n">
        <ns0:v>1</ns0:v>
      </ns0:c>
      <ns0:c r="L215" s="8"/>
      <ns0:c r="M215" s="8" t="str">
        <ns0:v>B</ns0:v>
      </ns0:c>
    </ns0:row>
    <ns0:row r="216" ht="23" customHeight="1">
      <ns0:c r="B216" s="10" t="str">
        <ns0:v>APP000211</ns0:v>
      </ns0:c>
      <ns0:c r="C216" s="10" t="str">
        <ns0:v>000051</ns0:v>
      </ns0:c>
      <ns0:c r="D216" s="8" t="str">
        <ns0:v>품질</ns0:v>
      </ns0:c>
      <ns0:c r="E216" s="8" t="str">
        <ns0:v>C07</ns0:v>
      </ns0:c>
      <ns0:c r="F216" s="12" t="d">
        <ns0:v>2026-10-15T00:00:00.000Z</ns0:v>
      </ns0:c>
      <ns0:c r="G216" s="8" t="n">
        <ns0:v>0</ns0:v>
      </ns0:c>
      <ns0:c r="H216" s="8" t="str">
        <ns0:v>대기</ns0:v>
      </ns0:c>
      <ns0:c r="I216" s="14" t="n">
        <ns0:v>0.1</ns0:v>
      </ns0:c>
      <ns0:c r="J216" s="16"/>
      <ns0:c r="K216" s="8" t="n">
        <ns0:v>1</ns0:v>
      </ns0:c>
      <ns0:c r="L216" s="8"/>
      <ns0:c r="M216" s="8" t="str">
        <ns0:v>B</ns0:v>
      </ns0:c>
    </ns0:row>
    <ns0:row r="217" ht="23" customHeight="1">
      <ns0:c r="B217" s="10" t="str">
        <ns0:v>APP000212</ns0:v>
      </ns0:c>
      <ns0:c r="C217" s="10" t="str">
        <ns0:v>000052</ns0:v>
      </ns0:c>
      <ns0:c r="D217" s="8" t="str">
        <ns0:v>기획</ns0:v>
      </ns0:c>
      <ns0:c r="E217" s="8" t="str">
        <ns0:v>C02</ns0:v>
      </ns0:c>
      <ns0:c r="F217" s="12" t="d">
        <ns0:v>2026-10-16T00:00:00.000Z</ns0:v>
      </ns0:c>
      <ns0:c r="G217" s="8" t="n">
        <ns0:v>1</ns0:v>
      </ns0:c>
      <ns0:c r="H217" s="8" t="str">
        <ns0:v>승인</ns0:v>
      </ns0:c>
      <ns0:c r="I217" s="14" t="n">
        <ns0:v>0.125</ns0:v>
      </ns0:c>
      <ns0:c r="J217" s="16"/>
      <ns0:c r="K217" s="8" t="n">
        <ns0:v>1</ns0:v>
      </ns0:c>
      <ns0:c r="L217" s="8"/>
      <ns0:c r="M217" s="8" t="str">
        <ns0:v>B</ns0:v>
      </ns0:c>
    </ns0:row>
    <ns0:row r="218" ht="23" customHeight="1">
      <ns0:c r="B218" s="10" t="str">
        <ns0:v>APP000213</ns0:v>
      </ns0:c>
      <ns0:c r="C218" s="10" t="str">
        <ns0:v>000053</ns0:v>
      </ns0:c>
      <ns0:c r="D218" s="8" t="str">
        <ns0:v>영업</ns0:v>
      </ns0:c>
      <ns0:c r="E218" s="8" t="str">
        <ns0:v>C09</ns0:v>
      </ns0:c>
      <ns0:c r="F218" s="12" t="d">
        <ns0:v>2026-10-17T00:00:00.000Z</ns0:v>
      </ns0:c>
      <ns0:c r="G218" s="8" t="n">
        <ns0:v>2</ns0:v>
      </ns0:c>
      <ns0:c r="H218" s="8" t="str">
        <ns0:v>승인</ns0:v>
      </ns0:c>
      <ns0:c r="I218" s="14" t="n">
        <ns0:v>0</ns0:v>
      </ns0:c>
      <ns0:c r="J218" s="16" t="n">
        <ns0:v>0</ns0:v>
      </ns0:c>
      <ns0:c r="K218" s="8" t="n">
        <ns0:v>1</ns0:v>
      </ns0:c>
      <ns0:c r="L218" s="8" t="str">
        <ns0:v>0원 수동금액 유지</ns0:v>
      </ns0:c>
      <ns0:c r="M218" s="8" t="str">
        <ns0:v>B</ns0:v>
      </ns0:c>
    </ns0:row>
    <ns0:row r="219" ht="23" customHeight="1">
      <ns0:c r="B219" s="10" t="str">
        <ns0:v>APP000214</ns0:v>
      </ns0:c>
      <ns0:c r="C219" s="10" t="str">
        <ns0:v>000054</ns0:v>
      </ns0:c>
      <ns0:c r="D219" s="8" t="str">
        <ns0:v>지원</ns0:v>
      </ns0:c>
      <ns0:c r="E219" s="8" t="str">
        <ns0:v>C04</ns0:v>
      </ns0:c>
      <ns0:c r="F219" s="12" t="d">
        <ns0:v>2026-10-18T00:00:00.000Z</ns0:v>
      </ns0:c>
      <ns0:c r="G219" s="8" t="n">
        <ns0:v>3</ns0:v>
      </ns0:c>
      <ns0:c r="H219" s="8" t="str">
        <ns0:v>승인</ns0:v>
      </ns0:c>
      <ns0:c r="I219" s="14" t="n">
        <ns0:v>0.05</ns0:v>
      </ns0:c>
      <ns0:c r="J219" s="16"/>
      <ns0:c r="K219" s="8" t="n">
        <ns0:v>1</ns0:v>
      </ns0:c>
      <ns0:c r="L219" s="8"/>
      <ns0:c r="M219" s="8" t="str">
        <ns0:v>B</ns0:v>
      </ns0:c>
    </ns0:row>
    <ns0:row r="220" ht="23" customHeight="1">
      <ns0:c r="B220" s="10" t="str">
        <ns0:v>APP000215</ns0:v>
      </ns0:c>
      <ns0:c r="C220" s="10" t="str">
        <ns0:v>000055</ns0:v>
      </ns0:c>
      <ns0:c r="D220" s="8" t="str">
        <ns0:v>개발</ns0:v>
      </ns0:c>
      <ns0:c r="E220" s="8" t="str">
        <ns0:v>C11</ns0:v>
      </ns0:c>
      <ns0:c r="F220" s="12" t="d">
        <ns0:v>2026-10-19T00:00:00.000Z</ns0:v>
      </ns0:c>
      <ns0:c r="G220" s="8" t="n">
        <ns0:v>4</ns0:v>
      </ns0:c>
      <ns0:c r="H220" s="8" t="str">
        <ns0:v>승인</ns0:v>
      </ns0:c>
      <ns0:c r="I220" s="14" t="n">
        <ns0:v>0.1</ns0:v>
      </ns0:c>
      <ns0:c r="J220" s="16"/>
      <ns0:c r="K220" s="8" t="n">
        <ns0:v>1</ns0:v>
      </ns0:c>
      <ns0:c r="L220" s="8"/>
      <ns0:c r="M220" s="8" t="str">
        <ns0:v>B</ns0:v>
      </ns0:c>
    </ns0:row>
    <ns0:row r="221" ht="23" customHeight="1">
      <ns0:c r="B221" s="10" t="str">
        <ns0:v>APP000216</ns0:v>
      </ns0:c>
      <ns0:c r="C221" s="10" t="str">
        <ns0:v>000056</ns0:v>
      </ns0:c>
      <ns0:c r="D221" s="8" t="str">
        <ns0:v>생산</ns0:v>
      </ns0:c>
      <ns0:c r="E221" s="8" t="str">
        <ns0:v>C06</ns0:v>
      </ns0:c>
      <ns0:c r="F221" s="12" t="d">
        <ns0:v>2026-10-20T00:00:00.000Z</ns0:v>
      </ns0:c>
      <ns0:c r="G221" s="8" t="n">
        <ns0:v>5</ns0:v>
      </ns0:c>
      <ns0:c r="H221" s="8" t="str">
        <ns0:v>승인</ns0:v>
      </ns0:c>
      <ns0:c r="I221" s="14" t="n">
        <ns0:v>0.125</ns0:v>
      </ns0:c>
      <ns0:c r="J221" s="16"/>
      <ns0:c r="K221" s="8" t="n">
        <ns0:v>1</ns0:v>
      </ns0:c>
      <ns0:c r="L221" s="8"/>
      <ns0:c r="M221" s="8" t="str">
        <ns0:v>B</ns0:v>
      </ns0:c>
    </ns0:row>
    <ns0:row r="222" ht="23" customHeight="1">
      <ns0:c r="B222" s="10" t="str">
        <ns0:v>APP000217</ns0:v>
      </ns0:c>
      <ns0:c r="C222" s="10" t="str">
        <ns0:v>000057</ns0:v>
      </ns0:c>
      <ns0:c r="D222" s="8" t="str">
        <ns0:v>품질</ns0:v>
      </ns0:c>
      <ns0:c r="E222" s="8" t="str">
        <ns0:v>C01</ns0:v>
      </ns0:c>
      <ns0:c r="F222" s="12" t="d">
        <ns0:v>2026-10-21T00:00:00.000Z</ns0:v>
      </ns0:c>
      <ns0:c r="G222" s="8" t="n">
        <ns0:v>0</ns0:v>
      </ns0:c>
      <ns0:c r="H222" s="8" t="str">
        <ns0:v>승인</ns0:v>
      </ns0:c>
      <ns0:c r="I222" s="14" t="n">
        <ns0:v>0</ns0:v>
      </ns0:c>
      <ns0:c r="J222" s="16"/>
      <ns0:c r="K222" s="8" t="n">
        <ns0:v>1</ns0:v>
      </ns0:c>
      <ns0:c r="L222" s="8"/>
      <ns0:c r="M222" s="8" t="str">
        <ns0:v>B</ns0:v>
      </ns0:c>
    </ns0:row>
    <ns0:row r="223" ht="23" customHeight="1">
      <ns0:c r="B223" s="10" t="str">
        <ns0:v>APP000218</ns0:v>
      </ns0:c>
      <ns0:c r="C223" s="10" t="str">
        <ns0:v>000058</ns0:v>
      </ns0:c>
      <ns0:c r="D223" s="8" t="str">
        <ns0:v>기획</ns0:v>
      </ns0:c>
      <ns0:c r="E223" s="8" t="str">
        <ns0:v>C08</ns0:v>
      </ns0:c>
      <ns0:c r="F223" s="12" t="d">
        <ns0:v>2026-10-22T00:00:00.000Z</ns0:v>
      </ns0:c>
      <ns0:c r="G223" s="8" t="n">
        <ns0:v>1</ns0:v>
      </ns0:c>
      <ns0:c r="H223" s="8" t="str">
        <ns0:v>대기</ns0:v>
      </ns0:c>
      <ns0:c r="I223" s="14" t="n">
        <ns0:v>0.05</ns0:v>
      </ns0:c>
      <ns0:c r="J223" s="16"/>
      <ns0:c r="K223" s="8" t="n">
        <ns0:v>1</ns0:v>
      </ns0:c>
      <ns0:c r="L223" s="8"/>
      <ns0:c r="M223" s="8" t="str">
        <ns0:v>B</ns0:v>
      </ns0:c>
    </ns0:row>
    <ns0:row r="224" ht="23" customHeight="1">
      <ns0:c r="B224" s="10" t="str">
        <ns0:v>APP000219</ns0:v>
      </ns0:c>
      <ns0:c r="C224" s="10" t="str">
        <ns0:v>000059</ns0:v>
      </ns0:c>
      <ns0:c r="D224" s="8" t="str">
        <ns0:v>영업</ns0:v>
      </ns0:c>
      <ns0:c r="E224" s="8" t="str">
        <ns0:v>C03</ns0:v>
      </ns0:c>
      <ns0:c r="F224" s="12" t="d">
        <ns0:v>2026-10-23T00:00:00.000Z</ns0:v>
      </ns0:c>
      <ns0:c r="G224" s="8" t="n">
        <ns0:v>2</ns0:v>
      </ns0:c>
      <ns0:c r="H224" s="8" t="str">
        <ns0:v>승인</ns0:v>
      </ns0:c>
      <ns0:c r="I224" s="14" t="n">
        <ns0:v>0.1</ns0:v>
      </ns0:c>
      <ns0:c r="J224" s="16"/>
      <ns0:c r="K224" s="8" t="n">
        <ns0:v>1</ns0:v>
      </ns0:c>
      <ns0:c r="L224" s="8"/>
      <ns0:c r="M224" s="8" t="str">
        <ns0:v>B</ns0:v>
      </ns0:c>
    </ns0:row>
    <ns0:row r="225" ht="23" customHeight="1">
      <ns0:c r="B225" s="10" t="str">
        <ns0:v>APP000220</ns0:v>
      </ns0:c>
      <ns0:c r="C225" s="10" t="str">
        <ns0:v>000060</ns0:v>
      </ns0:c>
      <ns0:c r="D225" s="8" t="str">
        <ns0:v>지원</ns0:v>
      </ns0:c>
      <ns0:c r="E225" s="8" t="str">
        <ns0:v>C10</ns0:v>
      </ns0:c>
      <ns0:c r="F225" s="12" t="d">
        <ns0:v>2026-10-24T00:00:00.000Z</ns0:v>
      </ns0:c>
      <ns0:c r="G225" s="8" t="n">
        <ns0:v>3</ns0:v>
      </ns0:c>
      <ns0:c r="H225" s="8" t="str">
        <ns0:v>승인</ns0:v>
      </ns0:c>
      <ns0:c r="I225" s="14" t="n">
        <ns0:v>0.125</ns0:v>
      </ns0:c>
      <ns0:c r="J225" s="16"/>
      <ns0:c r="K225" s="8" t="n">
        <ns0:v>1</ns0:v>
      </ns0:c>
      <ns0:c r="L225" s="8"/>
      <ns0:c r="M225" s="8" t="str">
        <ns0:v>B</ns0:v>
      </ns0:c>
    </ns0:row>
    <ns0:row r="226" ht="23" customHeight="1">
      <ns0:c r="B226" s="10" t="str">
        <ns0:v>APP000221</ns0:v>
      </ns0:c>
      <ns0:c r="C226" s="10" t="str">
        <ns0:v>000061</ns0:v>
      </ns0:c>
      <ns0:c r="D226" s="8" t="str">
        <ns0:v>개발</ns0:v>
      </ns0:c>
      <ns0:c r="E226" s="8" t="str">
        <ns0:v>C05</ns0:v>
      </ns0:c>
      <ns0:c r="F226" s="12" t="d">
        <ns0:v>2026-10-25T00:00:00.000Z</ns0:v>
      </ns0:c>
      <ns0:c r="G226" s="8" t="n">
        <ns0:v>4</ns0:v>
      </ns0:c>
      <ns0:c r="H226" s="8" t="str">
        <ns0:v>취소</ns0:v>
      </ns0:c>
      <ns0:c r="I226" s="14" t="n">
        <ns0:v>0</ns0:v>
      </ns0:c>
      <ns0:c r="J226" s="16"/>
      <ns0:c r="K226" s="8" t="n">
        <ns0:v>1</ns0:v>
      </ns0:c>
      <ns0:c r="L226" s="8"/>
      <ns0:c r="M226" s="8" t="str">
        <ns0:v>B</ns0:v>
      </ns0:c>
    </ns0:row>
    <ns0:row r="227" ht="23" customHeight="1">
      <ns0:c r="B227" s="10" t="str">
        <ns0:v>APP000222</ns0:v>
      </ns0:c>
      <ns0:c r="C227" s="10" t="str">
        <ns0:v>000062</ns0:v>
      </ns0:c>
      <ns0:c r="D227" s="8" t="str">
        <ns0:v>생산</ns0:v>
      </ns0:c>
      <ns0:c r="E227" s="8" t="str">
        <ns0:v>C12</ns0:v>
      </ns0:c>
      <ns0:c r="F227" s="12" t="d">
        <ns0:v>2026-10-26T00:00:00.000Z</ns0:v>
      </ns0:c>
      <ns0:c r="G227" s="8" t="n">
        <ns0:v>5</ns0:v>
      </ns0:c>
      <ns0:c r="H227" s="8" t="str">
        <ns0:v>승인</ns0:v>
      </ns0:c>
      <ns0:c r="I227" s="14" t="n">
        <ns0:v>0.05</ns0:v>
      </ns0:c>
      <ns0:c r="J227" s="16"/>
      <ns0:c r="K227" s="8" t="n">
        <ns0:v>1</ns0:v>
      </ns0:c>
      <ns0:c r="L227" s="8"/>
      <ns0:c r="M227" s="8" t="str">
        <ns0:v>B</ns0:v>
      </ns0:c>
    </ns0:row>
    <ns0:row r="228" ht="23" customHeight="1">
      <ns0:c r="B228" s="10" t="str">
        <ns0:v>APP000223</ns0:v>
      </ns0:c>
      <ns0:c r="C228" s="10" t="str">
        <ns0:v>000063</ns0:v>
      </ns0:c>
      <ns0:c r="D228" s="8" t="str">
        <ns0:v>품질</ns0:v>
      </ns0:c>
      <ns0:c r="E228" s="8" t="str">
        <ns0:v>C07</ns0:v>
      </ns0:c>
      <ns0:c r="F228" s="12" t="d">
        <ns0:v>2026-10-27T00:00:00.000Z</ns0:v>
      </ns0:c>
      <ns0:c r="G228" s="8" t="n">
        <ns0:v>0</ns0:v>
      </ns0:c>
      <ns0:c r="H228" s="8" t="str">
        <ns0:v>승인</ns0:v>
      </ns0:c>
      <ns0:c r="I228" s="14" t="n">
        <ns0:v>0.1</ns0:v>
      </ns0:c>
      <ns0:c r="J228" s="16"/>
      <ns0:c r="K228" s="8" t="n">
        <ns0:v>1</ns0:v>
      </ns0:c>
      <ns0:c r="L228" s="8"/>
      <ns0:c r="M228" s="8" t="str">
        <ns0:v>B</ns0:v>
      </ns0:c>
    </ns0:row>
    <ns0:row r="229" ht="23" customHeight="1">
      <ns0:c r="B229" s="10" t="str">
        <ns0:v>APP000224</ns0:v>
      </ns0:c>
      <ns0:c r="C229" s="10" t="str">
        <ns0:v>000064</ns0:v>
      </ns0:c>
      <ns0:c r="D229" s="8" t="str">
        <ns0:v>기획</ns0:v>
      </ns0:c>
      <ns0:c r="E229" s="8" t="str">
        <ns0:v>C02</ns0:v>
      </ns0:c>
      <ns0:c r="F229" s="12" t="d">
        <ns0:v>2026-10-28T00:00:00.000Z</ns0:v>
      </ns0:c>
      <ns0:c r="G229" s="8" t="n">
        <ns0:v>1</ns0:v>
      </ns0:c>
      <ns0:c r="H229" s="8" t="str">
        <ns0:v>승인</ns0:v>
      </ns0:c>
      <ns0:c r="I229" s="14" t="n">
        <ns0:v>0.125</ns0:v>
      </ns0:c>
      <ns0:c r="J229" s="16"/>
      <ns0:c r="K229" s="8" t="n">
        <ns0:v>1</ns0:v>
      </ns0:c>
      <ns0:c r="L229" s="8"/>
      <ns0:c r="M229" s="8" t="str">
        <ns0:v>B</ns0:v>
      </ns0:c>
    </ns0:row>
    <ns0:row r="230" ht="23" customHeight="1">
      <ns0:c r="B230" s="10" t="str">
        <ns0:v>APP000225</ns0:v>
      </ns0:c>
      <ns0:c r="C230" s="10" t="str">
        <ns0:v>000065</ns0:v>
      </ns0:c>
      <ns0:c r="D230" s="8" t="str">
        <ns0:v>영업</ns0:v>
      </ns0:c>
      <ns0:c r="E230" s="8" t="str">
        <ns0:v>C09</ns0:v>
      </ns0:c>
      <ns0:c r="F230" s="12" t="d">
        <ns0:v>2026-10-01T00:00:00.000Z</ns0:v>
      </ns0:c>
      <ns0:c r="G230" s="8" t="n">
        <ns0:v>2</ns0:v>
      </ns0:c>
      <ns0:c r="H230" s="8" t="str">
        <ns0:v>대기</ns0:v>
      </ns0:c>
      <ns0:c r="I230" s="14" t="n">
        <ns0:v>0</ns0:v>
      </ns0:c>
      <ns0:c r="J230" s="16"/>
      <ns0:c r="K230" s="8" t="n">
        <ns0:v>1</ns0:v>
      </ns0:c>
      <ns0:c r="L230" s="8"/>
      <ns0:c r="M230" s="8" t="str">
        <ns0:v>B</ns0:v>
      </ns0:c>
    </ns0:row>
    <ns0:row r="231" ht="23" customHeight="1">
      <ns0:c r="B231" s="10" t="str">
        <ns0:v>APP000226</ns0:v>
      </ns0:c>
      <ns0:c r="C231" s="10" t="str">
        <ns0:v>000066</ns0:v>
      </ns0:c>
      <ns0:c r="D231" s="8" t="str">
        <ns0:v>지원</ns0:v>
      </ns0:c>
      <ns0:c r="E231" s="8" t="str">
        <ns0:v>C04</ns0:v>
      </ns0:c>
      <ns0:c r="F231" s="12" t="d">
        <ns0:v>2026-10-02T00:00:00.000Z</ns0:v>
      </ns0:c>
      <ns0:c r="G231" s="8" t="n">
        <ns0:v>3</ns0:v>
      </ns0:c>
      <ns0:c r="H231" s="8" t="str">
        <ns0:v>승인</ns0:v>
      </ns0:c>
      <ns0:c r="I231" s="14" t="n">
        <ns0:v>0.05</ns0:v>
      </ns0:c>
      <ns0:c r="J231" s="16"/>
      <ns0:c r="K231" s="8" t="n">
        <ns0:v>1</ns0:v>
      </ns0:c>
      <ns0:c r="L231" s="8"/>
      <ns0:c r="M231" s="8" t="str">
        <ns0:v>B</ns0:v>
      </ns0:c>
    </ns0:row>
    <ns0:row r="232" ht="23" customHeight="1">
      <ns0:c r="B232" s="10" t="str">
        <ns0:v>APP000227</ns0:v>
      </ns0:c>
      <ns0:c r="C232" s="10" t="str">
        <ns0:v>000067</ns0:v>
      </ns0:c>
      <ns0:c r="D232" s="8" t="str">
        <ns0:v>개발</ns0:v>
      </ns0:c>
      <ns0:c r="E232" s="8" t="str">
        <ns0:v>C11</ns0:v>
      </ns0:c>
      <ns0:c r="F232" s="12" t="d">
        <ns0:v>2026-10-03T00:00:00.000Z</ns0:v>
      </ns0:c>
      <ns0:c r="G232" s="8" t="n">
        <ns0:v>4</ns0:v>
      </ns0:c>
      <ns0:c r="H232" s="8" t="str">
        <ns0:v>승인</ns0:v>
      </ns0:c>
      <ns0:c r="I232" s="14" t="n">
        <ns0:v>0.1</ns0:v>
      </ns0:c>
      <ns0:c r="J232" s="16"/>
      <ns0:c r="K232" s="8" t="n">
        <ns0:v>1</ns0:v>
      </ns0:c>
      <ns0:c r="L232" s="8"/>
      <ns0:c r="M232" s="8" t="str">
        <ns0:v>B</ns0:v>
      </ns0:c>
    </ns0:row>
    <ns0:row r="233" ht="23" customHeight="1">
      <ns0:c r="B233" s="10" t="str">
        <ns0:v>APP000228</ns0:v>
      </ns0:c>
      <ns0:c r="C233" s="10" t="str">
        <ns0:v>000068</ns0:v>
      </ns0:c>
      <ns0:c r="D233" s="8" t="str">
        <ns0:v>생산</ns0:v>
      </ns0:c>
      <ns0:c r="E233" s="8" t="str">
        <ns0:v>C06</ns0:v>
      </ns0:c>
      <ns0:c r="F233" s="12" t="d">
        <ns0:v>2026-10-04T00:00:00.000Z</ns0:v>
      </ns0:c>
      <ns0:c r="G233" s="8" t="n">
        <ns0:v>5</ns0:v>
      </ns0:c>
      <ns0:c r="H233" s="8" t="str">
        <ns0:v>승인</ns0:v>
      </ns0:c>
      <ns0:c r="I233" s="14" t="n">
        <ns0:v>0.125</ns0:v>
      </ns0:c>
      <ns0:c r="J233" s="16"/>
      <ns0:c r="K233" s="8" t="n">
        <ns0:v>1</ns0:v>
      </ns0:c>
      <ns0:c r="L233" s="8"/>
      <ns0:c r="M233" s="8" t="str">
        <ns0:v>B</ns0:v>
      </ns0:c>
    </ns0:row>
    <ns0:row r="234" ht="23" customHeight="1">
      <ns0:c r="B234" s="10" t="str">
        <ns0:v>APP000229</ns0:v>
      </ns0:c>
      <ns0:c r="C234" s="10" t="str">
        <ns0:v>000069</ns0:v>
      </ns0:c>
      <ns0:c r="D234" s="8" t="str">
        <ns0:v>품질</ns0:v>
      </ns0:c>
      <ns0:c r="E234" s="8" t="str">
        <ns0:v>C01</ns0:v>
      </ns0:c>
      <ns0:c r="F234" s="12" t="d">
        <ns0:v>2026-10-05T00:00:00.000Z</ns0:v>
      </ns0:c>
      <ns0:c r="G234" s="8" t="n">
        <ns0:v>0</ns0:v>
      </ns0:c>
      <ns0:c r="H234" s="8" t="str">
        <ns0:v>승인</ns0:v>
      </ns0:c>
      <ns0:c r="I234" s="14" t="n">
        <ns0:v>0</ns0:v>
      </ns0:c>
      <ns0:c r="J234" s="16"/>
      <ns0:c r="K234" s="8" t="n">
        <ns0:v>1</ns0:v>
      </ns0:c>
      <ns0:c r="L234" s="8"/>
      <ns0:c r="M234" s="8" t="str">
        <ns0:v>B</ns0:v>
      </ns0:c>
    </ns0:row>
    <ns0:row r="235" ht="23" customHeight="1">
      <ns0:c r="B235" s="10" t="str">
        <ns0:v>APP000230</ns0:v>
      </ns0:c>
      <ns0:c r="C235" s="10" t="str">
        <ns0:v>000070</ns0:v>
      </ns0:c>
      <ns0:c r="D235" s="8" t="str">
        <ns0:v>기획</ns0:v>
      </ns0:c>
      <ns0:c r="E235" s="8" t="str">
        <ns0:v>C08</ns0:v>
      </ns0:c>
      <ns0:c r="F235" s="12" t="d">
        <ns0:v>2026-10-06T00:00:00.000Z</ns0:v>
      </ns0:c>
      <ns0:c r="G235" s="8" t="n">
        <ns0:v>1</ns0:v>
      </ns0:c>
      <ns0:c r="H235" s="8" t="str">
        <ns0:v>승인</ns0:v>
      </ns0:c>
      <ns0:c r="I235" s="14" t="n">
        <ns0:v>0.05</ns0:v>
      </ns0:c>
      <ns0:c r="J235" s="16"/>
      <ns0:c r="K235" s="8" t="n">
        <ns0:v>1</ns0:v>
      </ns0:c>
      <ns0:c r="L235" s="8"/>
      <ns0:c r="M235" s="8" t="str">
        <ns0:v>B</ns0:v>
      </ns0:c>
    </ns0:row>
    <ns0:row r="236" ht="23" customHeight="1">
      <ns0:c r="B236" s="10" t="str">
        <ns0:v>APP000231</ns0:v>
      </ns0:c>
      <ns0:c r="C236" s="10" t="str">
        <ns0:v>000071</ns0:v>
      </ns0:c>
      <ns0:c r="D236" s="8" t="str">
        <ns0:v>영업</ns0:v>
      </ns0:c>
      <ns0:c r="E236" s="8" t="str">
        <ns0:v>C03</ns0:v>
      </ns0:c>
      <ns0:c r="F236" s="12" t="d">
        <ns0:v>2026-10-07T00:00:00.000Z</ns0:v>
      </ns0:c>
      <ns0:c r="G236" s="8" t="n">
        <ns0:v>2</ns0:v>
      </ns0:c>
      <ns0:c r="H236" s="8" t="str">
        <ns0:v>승인</ns0:v>
      </ns0:c>
      <ns0:c r="I236" s="14" t="n">
        <ns0:v>0.1</ns0:v>
      </ns0:c>
      <ns0:c r="J236" s="16"/>
      <ns0:c r="K236" s="8" t="n">
        <ns0:v>1</ns0:v>
      </ns0:c>
      <ns0:c r="L236" s="8"/>
      <ns0:c r="M236" s="8" t="str">
        <ns0:v>B</ns0:v>
      </ns0:c>
    </ns0:row>
    <ns0:row r="237" ht="23" customHeight="1">
      <ns0:c r="B237" s="10" t="str">
        <ns0:v>APP000232</ns0:v>
      </ns0:c>
      <ns0:c r="C237" s="10" t="str">
        <ns0:v>000072</ns0:v>
      </ns0:c>
      <ns0:c r="D237" s="8" t="str">
        <ns0:v>지원</ns0:v>
      </ns0:c>
      <ns0:c r="E237" s="8" t="str">
        <ns0:v>C10</ns0:v>
      </ns0:c>
      <ns0:c r="F237" s="12" t="d">
        <ns0:v>2026-10-08T00:00:00.000Z</ns0:v>
      </ns0:c>
      <ns0:c r="G237" s="8" t="n">
        <ns0:v>3</ns0:v>
      </ns0:c>
      <ns0:c r="H237" s="8" t="str">
        <ns0:v>취소</ns0:v>
      </ns0:c>
      <ns0:c r="I237" s="14" t="n">
        <ns0:v>0.125</ns0:v>
      </ns0:c>
      <ns0:c r="J237" s="16"/>
      <ns0:c r="K237" s="8" t="n">
        <ns0:v>1</ns0:v>
      </ns0:c>
      <ns0:c r="L237" s="8"/>
      <ns0:c r="M237" s="8" t="str">
        <ns0:v>B</ns0:v>
      </ns0:c>
    </ns0:row>
    <ns0:row r="238" ht="23" customHeight="1">
      <ns0:c r="B238" s="10" t="str">
        <ns0:v>APP000233</ns0:v>
      </ns0:c>
      <ns0:c r="C238" s="10" t="str">
        <ns0:v>000073</ns0:v>
      </ns0:c>
      <ns0:c r="D238" s="8" t="str">
        <ns0:v>개발</ns0:v>
      </ns0:c>
      <ns0:c r="E238" s="8" t="str">
        <ns0:v>C05</ns0:v>
      </ns0:c>
      <ns0:c r="F238" s="12" t="d">
        <ns0:v>2026-10-09T00:00:00.000Z</ns0:v>
      </ns0:c>
      <ns0:c r="G238" s="8" t="n">
        <ns0:v>4</ns0:v>
      </ns0:c>
      <ns0:c r="H238" s="8" t="str">
        <ns0:v>승인</ns0:v>
      </ns0:c>
      <ns0:c r="I238" s="14" t="n">
        <ns0:v>0</ns0:v>
      </ns0:c>
      <ns0:c r="J238" s="16"/>
      <ns0:c r="K238" s="8" t="n">
        <ns0:v>1</ns0:v>
      </ns0:c>
      <ns0:c r="L238" s="8"/>
      <ns0:c r="M238" s="8" t="str">
        <ns0:v>B</ns0:v>
      </ns0:c>
    </ns0:row>
    <ns0:row r="239" ht="23" customHeight="1">
      <ns0:c r="B239" s="10" t="str">
        <ns0:v>APP000234</ns0:v>
      </ns0:c>
      <ns0:c r="C239" s="10" t="str">
        <ns0:v>000074</ns0:v>
      </ns0:c>
      <ns0:c r="D239" s="8" t="str">
        <ns0:v>생산</ns0:v>
      </ns0:c>
      <ns0:c r="E239" s="8" t="str">
        <ns0:v>C12</ns0:v>
      </ns0:c>
      <ns0:c r="F239" s="12" t="d">
        <ns0:v>2026-10-10T00:00:00.000Z</ns0:v>
      </ns0:c>
      <ns0:c r="G239" s="8" t="n">
        <ns0:v>5</ns0:v>
      </ns0:c>
      <ns0:c r="H239" s="8" t="str">
        <ns0:v>승인</ns0:v>
      </ns0:c>
      <ns0:c r="I239" s="14" t="n">
        <ns0:v>0.05</ns0:v>
      </ns0:c>
      <ns0:c r="J239" s="16"/>
      <ns0:c r="K239" s="8" t="n">
        <ns0:v>1</ns0:v>
      </ns0:c>
      <ns0:c r="L239" s="8"/>
      <ns0:c r="M239" s="8" t="str">
        <ns0:v>B</ns0:v>
      </ns0:c>
    </ns0:row>
    <ns0:row r="240" ht="23" customHeight="1">
      <ns0:c r="B240" s="10" t="str">
        <ns0:v>APP000235</ns0:v>
      </ns0:c>
      <ns0:c r="C240" s="10" t="str">
        <ns0:v>000075</ns0:v>
      </ns0:c>
      <ns0:c r="D240" s="8" t="str">
        <ns0:v>품질</ns0:v>
      </ns0:c>
      <ns0:c r="E240" s="8" t="str">
        <ns0:v>C07</ns0:v>
      </ns0:c>
      <ns0:c r="F240" s="12" t="d">
        <ns0:v>2026-10-11T00:00:00.000Z</ns0:v>
      </ns0:c>
      <ns0:c r="G240" s="8" t="n">
        <ns0:v>0</ns0:v>
      </ns0:c>
      <ns0:c r="H240" s="8" t="str">
        <ns0:v>승인</ns0:v>
      </ns0:c>
      <ns0:c r="I240" s="14" t="n">
        <ns0:v>0.1</ns0:v>
      </ns0:c>
      <ns0:c r="J240" s="16"/>
      <ns0:c r="K240" s="8" t="n">
        <ns0:v>1</ns0:v>
      </ns0:c>
      <ns0:c r="L240" s="8"/>
      <ns0:c r="M240" s="8" t="str">
        <ns0:v>B</ns0:v>
      </ns0:c>
    </ns0:row>
    <ns0:row r="241" ht="23" customHeight="1">
      <ns0:c r="B241" s="10" t="str">
        <ns0:v>APP000236</ns0:v>
      </ns0:c>
      <ns0:c r="C241" s="10" t="str">
        <ns0:v>000076</ns0:v>
      </ns0:c>
      <ns0:c r="D241" s="8" t="str">
        <ns0:v>기획</ns0:v>
      </ns0:c>
      <ns0:c r="E241" s="8" t="str">
        <ns0:v>C02</ns0:v>
      </ns0:c>
      <ns0:c r="F241" s="12" t="d">
        <ns0:v>2026-10-12T00:00:00.000Z</ns0:v>
      </ns0:c>
      <ns0:c r="G241" s="8" t="n">
        <ns0:v>1</ns0:v>
      </ns0:c>
      <ns0:c r="H241" s="8" t="str">
        <ns0:v>승인</ns0:v>
      </ns0:c>
      <ns0:c r="I241" s="14" t="n">
        <ns0:v>0.125</ns0:v>
      </ns0:c>
      <ns0:c r="J241" s="16"/>
      <ns0:c r="K241" s="8" t="n">
        <ns0:v>1</ns0:v>
      </ns0:c>
      <ns0:c r="L241" s="8"/>
      <ns0:c r="M241" s="8" t="str">
        <ns0:v>B</ns0:v>
      </ns0:c>
    </ns0:row>
    <ns0:row r="242" ht="23" customHeight="1">
      <ns0:c r="B242" s="10" t="str">
        <ns0:v>APP000237</ns0:v>
      </ns0:c>
      <ns0:c r="C242" s="10" t="str">
        <ns0:v>000077</ns0:v>
      </ns0:c>
      <ns0:c r="D242" s="8" t="str">
        <ns0:v>영업</ns0:v>
      </ns0:c>
      <ns0:c r="E242" s="8" t="str">
        <ns0:v>C09</ns0:v>
      </ns0:c>
      <ns0:c r="F242" s="12" t="d">
        <ns0:v>2026-10-13T00:00:00.000Z</ns0:v>
      </ns0:c>
      <ns0:c r="G242" s="8" t="n">
        <ns0:v>2</ns0:v>
      </ns0:c>
      <ns0:c r="H242" s="8" t="str">
        <ns0:v>승인</ns0:v>
      </ns0:c>
      <ns0:c r="I242" s="14" t="n">
        <ns0:v>0</ns0:v>
      </ns0:c>
      <ns0:c r="J242" s="16"/>
      <ns0:c r="K242" s="8" t="n">
        <ns0:v>1</ns0:v>
      </ns0:c>
      <ns0:c r="L242" s="8"/>
      <ns0:c r="M242" s="8" t="str">
        <ns0:v>B</ns0:v>
      </ns0:c>
    </ns0:row>
    <ns0:row r="243" ht="23" customHeight="1">
      <ns0:c r="B243" s="10" t="str">
        <ns0:v>APP000238</ns0:v>
      </ns0:c>
      <ns0:c r="C243" s="10" t="str">
        <ns0:v>000078</ns0:v>
      </ns0:c>
      <ns0:c r="D243" s="8" t="str">
        <ns0:v>지원</ns0:v>
      </ns0:c>
      <ns0:c r="E243" s="8" t="str">
        <ns0:v>C04</ns0:v>
      </ns0:c>
      <ns0:c r="F243" s="12" t="d">
        <ns0:v>2026-10-14T00:00:00.000Z</ns0:v>
      </ns0:c>
      <ns0:c r="G243" s="8" t="n">
        <ns0:v>3</ns0:v>
      </ns0:c>
      <ns0:c r="H243" s="8" t="str">
        <ns0:v>승인</ns0:v>
      </ns0:c>
      <ns0:c r="I243" s="14" t="n">
        <ns0:v>0.05</ns0:v>
      </ns0:c>
      <ns0:c r="J243" s="16" t="n">
        <ns0:v>12345</ns0:v>
      </ns0:c>
      <ns0:c r="K243" s="8" t="n">
        <ns0:v>1</ns0:v>
      </ns0:c>
      <ns0:c r="L243" s="8"/>
      <ns0:c r="M243" s="8" t="str">
        <ns0:v>B</ns0:v>
      </ns0:c>
    </ns0:row>
    <ns0:row r="244" ht="23" customHeight="1">
      <ns0:c r="B244" s="10" t="str">
        <ns0:v>APP000239</ns0:v>
      </ns0:c>
      <ns0:c r="C244" s="10" t="str">
        <ns0:v>000079</ns0:v>
      </ns0:c>
      <ns0:c r="D244" s="8" t="str">
        <ns0:v>개발</ns0:v>
      </ns0:c>
      <ns0:c r="E244" s="8" t="str">
        <ns0:v>C11</ns0:v>
      </ns0:c>
      <ns0:c r="F244" s="12" t="d">
        <ns0:v>2026-10-15T00:00:00.000Z</ns0:v>
      </ns0:c>
      <ns0:c r="G244" s="8" t="n">
        <ns0:v>4</ns0:v>
      </ns0:c>
      <ns0:c r="H244" s="8" t="str">
        <ns0:v>대기</ns0:v>
      </ns0:c>
      <ns0:c r="I244" s="14" t="n">
        <ns0:v>0.1</ns0:v>
      </ns0:c>
      <ns0:c r="J244" s="16"/>
      <ns0:c r="K244" s="8" t="n">
        <ns0:v>1</ns0:v>
      </ns0:c>
      <ns0:c r="L244" s="8"/>
      <ns0:c r="M244" s="8" t="str">
        <ns0:v>B</ns0:v>
      </ns0:c>
    </ns0:row>
    <ns0:row r="245" ht="23" customHeight="1">
      <ns0:c r="B245" s="10" t="str">
        <ns0:v>APP000240</ns0:v>
      </ns0:c>
      <ns0:c r="C245" s="10" t="str">
        <ns0:v>000080</ns0:v>
      </ns0:c>
      <ns0:c r="D245" s="8" t="str">
        <ns0:v>생산</ns0:v>
      </ns0:c>
      <ns0:c r="E245" s="8" t="str">
        <ns0:v>C06</ns0:v>
      </ns0:c>
      <ns0:c r="F245" s="12" t="d">
        <ns0:v>2026-10-16T00:00:00.000Z</ns0:v>
      </ns0:c>
      <ns0:c r="G245" s="8" t="n">
        <ns0:v>5</ns0:v>
      </ns0:c>
      <ns0:c r="H245" s="8" t="str">
        <ns0:v>승인</ns0:v>
      </ns0:c>
      <ns0:c r="I245" s="14" t="n">
        <ns0:v>0.125</ns0:v>
      </ns0:c>
      <ns0:c r="J245" s="16"/>
      <ns0:c r="K245" s="8" t="n">
        <ns0:v>1</ns0:v>
      </ns0:c>
      <ns0:c r="L245" s="8"/>
      <ns0:c r="M245" s="8" t="str">
        <ns0:v>B</ns0:v>
      </ns0:c>
    </ns0:row>
    <ns0:row r="246" ht="23" customHeight="1">
      <ns0:c r="B246" s="10" t="str">
        <ns0:v>APP000241</ns0:v>
      </ns0:c>
      <ns0:c r="C246" s="10" t="str">
        <ns0:v>000081</ns0:v>
      </ns0:c>
      <ns0:c r="D246" s="8" t="str">
        <ns0:v>품질</ns0:v>
      </ns0:c>
      <ns0:c r="E246" s="8" t="str">
        <ns0:v>C01</ns0:v>
      </ns0:c>
      <ns0:c r="F246" s="12" t="d">
        <ns0:v>2026-10-17T00:00:00.000Z</ns0:v>
      </ns0:c>
      <ns0:c r="G246" s="8" t="n">
        <ns0:v>0</ns0:v>
      </ns0:c>
      <ns0:c r="H246" s="8" t="str">
        <ns0:v>승인</ns0:v>
      </ns0:c>
      <ns0:c r="I246" s="14" t="n">
        <ns0:v>0</ns0:v>
      </ns0:c>
      <ns0:c r="J246" s="16"/>
      <ns0:c r="K246" s="8" t="n">
        <ns0:v>1</ns0:v>
      </ns0:c>
      <ns0:c r="L246" s="8"/>
      <ns0:c r="M246" s="8" t="str">
        <ns0:v>B</ns0:v>
      </ns0:c>
    </ns0:row>
    <ns0:row r="247" ht="23" customHeight="1">
      <ns0:c r="B247" s="10" t="str">
        <ns0:v>APP000242</ns0:v>
      </ns0:c>
      <ns0:c r="C247" s="10" t="str">
        <ns0:v>000082</ns0:v>
      </ns0:c>
      <ns0:c r="D247" s="8" t="str">
        <ns0:v>기획</ns0:v>
      </ns0:c>
      <ns0:c r="E247" s="8" t="str">
        <ns0:v>C08</ns0:v>
      </ns0:c>
      <ns0:c r="F247" s="12" t="d">
        <ns0:v>2026-10-18T00:00:00.000Z</ns0:v>
      </ns0:c>
      <ns0:c r="G247" s="8" t="n">
        <ns0:v>1</ns0:v>
      </ns0:c>
      <ns0:c r="H247" s="8" t="str">
        <ns0:v>승인</ns0:v>
      </ns0:c>
      <ns0:c r="I247" s="14" t="n">
        <ns0:v>0.05</ns0:v>
      </ns0:c>
      <ns0:c r="J247" s="16"/>
      <ns0:c r="K247" s="8" t="n">
        <ns0:v>1</ns0:v>
      </ns0:c>
      <ns0:c r="L247" s="8"/>
      <ns0:c r="M247" s="8" t="str">
        <ns0:v>B</ns0:v>
      </ns0:c>
    </ns0:row>
    <ns0:row r="248" ht="23" customHeight="1">
      <ns0:c r="B248" s="10" t="str">
        <ns0:v>APP000243</ns0:v>
      </ns0:c>
      <ns0:c r="C248" s="10" t="str">
        <ns0:v>000083</ns0:v>
      </ns0:c>
      <ns0:c r="D248" s="8" t="str">
        <ns0:v>영업</ns0:v>
      </ns0:c>
      <ns0:c r="E248" s="8" t="str">
        <ns0:v>C03</ns0:v>
      </ns0:c>
      <ns0:c r="F248" s="12" t="d">
        <ns0:v>2026-10-19T00:00:00.000Z</ns0:v>
      </ns0:c>
      <ns0:c r="G248" s="8" t="n">
        <ns0:v>2</ns0:v>
      </ns0:c>
      <ns0:c r="H248" s="8" t="str">
        <ns0:v>취소</ns0:v>
      </ns0:c>
      <ns0:c r="I248" s="14" t="n">
        <ns0:v>0.1</ns0:v>
      </ns0:c>
      <ns0:c r="J248" s="16"/>
      <ns0:c r="K248" s="8" t="n">
        <ns0:v>1</ns0:v>
      </ns0:c>
      <ns0:c r="L248" s="8"/>
      <ns0:c r="M248" s="8" t="str">
        <ns0:v>B</ns0:v>
      </ns0:c>
    </ns0:row>
    <ns0:row r="249" ht="23" customHeight="1">
      <ns0:c r="B249" s="10" t="str">
        <ns0:v>APP000244</ns0:v>
      </ns0:c>
      <ns0:c r="C249" s="10" t="str">
        <ns0:v>000084</ns0:v>
      </ns0:c>
      <ns0:c r="D249" s="8" t="str">
        <ns0:v>지원</ns0:v>
      </ns0:c>
      <ns0:c r="E249" s="8" t="str">
        <ns0:v>C10</ns0:v>
      </ns0:c>
      <ns0:c r="F249" s="12" t="d">
        <ns0:v>2026-10-20T00:00:00.000Z</ns0:v>
      </ns0:c>
      <ns0:c r="G249" s="8" t="n">
        <ns0:v>3</ns0:v>
      </ns0:c>
      <ns0:c r="H249" s="8" t="str">
        <ns0:v>승인</ns0:v>
      </ns0:c>
      <ns0:c r="I249" s="14" t="n">
        <ns0:v>0.125</ns0:v>
      </ns0:c>
      <ns0:c r="J249" s="16"/>
      <ns0:c r="K249" s="8" t="n">
        <ns0:v>1</ns0:v>
      </ns0:c>
      <ns0:c r="L249" s="8"/>
      <ns0:c r="M249" s="8" t="str">
        <ns0:v>B</ns0:v>
      </ns0:c>
    </ns0:row>
    <ns0:row r="250" ht="23" customHeight="1">
      <ns0:c r="B250" s="10" t="str">
        <ns0:v>APP000245</ns0:v>
      </ns0:c>
      <ns0:c r="C250" s="10" t="str">
        <ns0:v>000085</ns0:v>
      </ns0:c>
      <ns0:c r="D250" s="8" t="str">
        <ns0:v>개발</ns0:v>
      </ns0:c>
      <ns0:c r="E250" s="8" t="str">
        <ns0:v>C05</ns0:v>
      </ns0:c>
      <ns0:c r="F250" s="12" t="d">
        <ns0:v>2026-10-21T00:00:00.000Z</ns0:v>
      </ns0:c>
      <ns0:c r="G250" s="8" t="n">
        <ns0:v>4</ns0:v>
      </ns0:c>
      <ns0:c r="H250" s="8" t="str">
        <ns0:v>승인</ns0:v>
      </ns0:c>
      <ns0:c r="I250" s="14" t="n">
        <ns0:v>0</ns0:v>
      </ns0:c>
      <ns0:c r="J250" s="16"/>
      <ns0:c r="K250" s="8" t="n">
        <ns0:v>1</ns0:v>
      </ns0:c>
      <ns0:c r="L250" s="8"/>
      <ns0:c r="M250" s="8" t="str">
        <ns0:v>B</ns0:v>
      </ns0:c>
    </ns0:row>
    <ns0:row r="251" ht="23" customHeight="1">
      <ns0:c r="B251" s="10" t="str">
        <ns0:v>APP000246</ns0:v>
      </ns0:c>
      <ns0:c r="C251" s="10" t="str">
        <ns0:v>000086</ns0:v>
      </ns0:c>
      <ns0:c r="D251" s="8" t="str">
        <ns0:v>생산</ns0:v>
      </ns0:c>
      <ns0:c r="E251" s="8" t="str">
        <ns0:v>C12</ns0:v>
      </ns0:c>
      <ns0:c r="F251" s="12" t="d">
        <ns0:v>2026-10-22T00:00:00.000Z</ns0:v>
      </ns0:c>
      <ns0:c r="G251" s="8" t="n">
        <ns0:v>5</ns0:v>
      </ns0:c>
      <ns0:c r="H251" s="8" t="str">
        <ns0:v>대기</ns0:v>
      </ns0:c>
      <ns0:c r="I251" s="14" t="n">
        <ns0:v>0.05</ns0:v>
      </ns0:c>
      <ns0:c r="J251" s="16"/>
      <ns0:c r="K251" s="8" t="n">
        <ns0:v>1</ns0:v>
      </ns0:c>
      <ns0:c r="L251" s="8"/>
      <ns0:c r="M251" s="8" t="str">
        <ns0:v>B</ns0:v>
      </ns0:c>
    </ns0:row>
    <ns0:row r="252" ht="23" customHeight="1">
      <ns0:c r="B252" s="10" t="str">
        <ns0:v>APP000247</ns0:v>
      </ns0:c>
      <ns0:c r="C252" s="10" t="str">
        <ns0:v>000087</ns0:v>
      </ns0:c>
      <ns0:c r="D252" s="8" t="str">
        <ns0:v>품질</ns0:v>
      </ns0:c>
      <ns0:c r="E252" s="8" t="str">
        <ns0:v>C07</ns0:v>
      </ns0:c>
      <ns0:c r="F252" s="12" t="d">
        <ns0:v>2026-10-23T00:00:00.000Z</ns0:v>
      </ns0:c>
      <ns0:c r="G252" s="8" t="n">
        <ns0:v>0</ns0:v>
      </ns0:c>
      <ns0:c r="H252" s="8" t="str">
        <ns0:v>승인</ns0:v>
      </ns0:c>
      <ns0:c r="I252" s="14" t="n">
        <ns0:v>0.1</ns0:v>
      </ns0:c>
      <ns0:c r="J252" s="16"/>
      <ns0:c r="K252" s="8" t="n">
        <ns0:v>1</ns0:v>
      </ns0:c>
      <ns0:c r="L252" s="8"/>
      <ns0:c r="M252" s="8" t="str">
        <ns0:v>B</ns0:v>
      </ns0:c>
    </ns0:row>
    <ns0:row r="253" ht="23" customHeight="1">
      <ns0:c r="B253" s="10" t="str">
        <ns0:v>APP000248</ns0:v>
      </ns0:c>
      <ns0:c r="C253" s="10" t="str">
        <ns0:v>000088</ns0:v>
      </ns0:c>
      <ns0:c r="D253" s="8" t="str">
        <ns0:v>기획</ns0:v>
      </ns0:c>
      <ns0:c r="E253" s="8" t="str">
        <ns0:v>C02</ns0:v>
      </ns0:c>
      <ns0:c r="F253" s="12" t="d">
        <ns0:v>2026-10-24T00:00:00.000Z</ns0:v>
      </ns0:c>
      <ns0:c r="G253" s="8" t="n">
        <ns0:v>1</ns0:v>
      </ns0:c>
      <ns0:c r="H253" s="8" t="str">
        <ns0:v>승인</ns0:v>
      </ns0:c>
      <ns0:c r="I253" s="14" t="n">
        <ns0:v>0.125</ns0:v>
      </ns0:c>
      <ns0:c r="J253" s="16"/>
      <ns0:c r="K253" s="8" t="n">
        <ns0:v>1</ns0:v>
      </ns0:c>
      <ns0:c r="L253" s="8"/>
      <ns0:c r="M253" s="8" t="str">
        <ns0:v>B</ns0:v>
      </ns0:c>
    </ns0:row>
    <ns0:row r="254" ht="23" customHeight="1">
      <ns0:c r="B254" s="10" t="str">
        <ns0:v>APP000249</ns0:v>
      </ns0:c>
      <ns0:c r="C254" s="10" t="str">
        <ns0:v>000089</ns0:v>
      </ns0:c>
      <ns0:c r="D254" s="8" t="str">
        <ns0:v>영업</ns0:v>
      </ns0:c>
      <ns0:c r="E254" s="8" t="str">
        <ns0:v>C09</ns0:v>
      </ns0:c>
      <ns0:c r="F254" s="12" t="d">
        <ns0:v>2026-10-25T00:00:00.000Z</ns0:v>
      </ns0:c>
      <ns0:c r="G254" s="8" t="n">
        <ns0:v>2</ns0:v>
      </ns0:c>
      <ns0:c r="H254" s="8" t="str">
        <ns0:v>승인</ns0:v>
      </ns0:c>
      <ns0:c r="I254" s="14" t="n">
        <ns0:v>0</ns0:v>
      </ns0:c>
      <ns0:c r="J254" s="16"/>
      <ns0:c r="K254" s="8" t="n">
        <ns0:v>1</ns0:v>
      </ns0:c>
      <ns0:c r="L254" s="8"/>
      <ns0:c r="M254" s="8" t="str">
        <ns0:v>B</ns0:v>
      </ns0:c>
    </ns0:row>
    <ns0:row r="255" ht="23" customHeight="1">
      <ns0:c r="B255" s="10" t="str">
        <ns0:v>APP000250</ns0:v>
      </ns0:c>
      <ns0:c r="C255" s="10" t="str">
        <ns0:v>000090</ns0:v>
      </ns0:c>
      <ns0:c r="D255" s="8" t="str">
        <ns0:v>지원</ns0:v>
      </ns0:c>
      <ns0:c r="E255" s="8" t="str">
        <ns0:v>C04</ns0:v>
      </ns0:c>
      <ns0:c r="F255" s="12" t="d">
        <ns0:v>2026-10-26T00:00:00.000Z</ns0:v>
      </ns0:c>
      <ns0:c r="G255" s="8" t="n">
        <ns0:v>3</ns0:v>
      </ns0:c>
      <ns0:c r="H255" s="8" t="str">
        <ns0:v>승인</ns0:v>
      </ns0:c>
      <ns0:c r="I255" s="14" t="n">
        <ns0:v>0.05</ns0:v>
      </ns0:c>
      <ns0:c r="J255" s="16"/>
      <ns0:c r="K255" s="8" t="n">
        <ns0:v>1</ns0:v>
      </ns0:c>
      <ns0:c r="L255" s="8"/>
      <ns0:c r="M255" s="8" t="str">
        <ns0:v>B</ns0:v>
      </ns0:c>
    </ns0:row>
    <ns0:row r="256" ht="23" customHeight="1">
      <ns0:c r="B256" s="10" t="str">
        <ns0:v>APP000251</ns0:v>
      </ns0:c>
      <ns0:c r="C256" s="10" t="str">
        <ns0:v>000091</ns0:v>
      </ns0:c>
      <ns0:c r="D256" s="8" t="str">
        <ns0:v>개발</ns0:v>
      </ns0:c>
      <ns0:c r="E256" s="8" t="str">
        <ns0:v>C11</ns0:v>
      </ns0:c>
      <ns0:c r="F256" s="12" t="d">
        <ns0:v>2026-10-27T00:00:00.000Z</ns0:v>
      </ns0:c>
      <ns0:c r="G256" s="8" t="n">
        <ns0:v>4</ns0:v>
      </ns0:c>
      <ns0:c r="H256" s="8" t="str">
        <ns0:v>승인</ns0:v>
      </ns0:c>
      <ns0:c r="I256" s="14" t="n">
        <ns0:v>0.1</ns0:v>
      </ns0:c>
      <ns0:c r="J256" s="16"/>
      <ns0:c r="K256" s="8" t="n">
        <ns0:v>1</ns0:v>
      </ns0:c>
      <ns0:c r="L256" s="8"/>
      <ns0:c r="M256" s="8" t="str">
        <ns0:v>B</ns0:v>
      </ns0:c>
    </ns0:row>
    <ns0:row r="257" ht="23" customHeight="1">
      <ns0:c r="B257" s="10" t="str">
        <ns0:v>APP000252</ns0:v>
      </ns0:c>
      <ns0:c r="C257" s="10" t="str">
        <ns0:v>000092</ns0:v>
      </ns0:c>
      <ns0:c r="D257" s="8" t="str">
        <ns0:v>생산</ns0:v>
      </ns0:c>
      <ns0:c r="E257" s="8" t="str">
        <ns0:v>C06</ns0:v>
      </ns0:c>
      <ns0:c r="F257" s="12" t="d">
        <ns0:v>2026-10-28T00:00:00.000Z</ns0:v>
      </ns0:c>
      <ns0:c r="G257" s="8" t="n">
        <ns0:v>5</ns0:v>
      </ns0:c>
      <ns0:c r="H257" s="8" t="str">
        <ns0:v>승인</ns0:v>
      </ns0:c>
      <ns0:c r="I257" s="14" t="n">
        <ns0:v>0.125</ns0:v>
      </ns0:c>
      <ns0:c r="J257" s="16"/>
      <ns0:c r="K257" s="8" t="n">
        <ns0:v>1</ns0:v>
      </ns0:c>
      <ns0:c r="L257" s="8"/>
      <ns0:c r="M257" s="8" t="str">
        <ns0:v>B</ns0:v>
      </ns0:c>
    </ns0:row>
    <ns0:row r="258" ht="23" customHeight="1">
      <ns0:c r="B258" s="10" t="str">
        <ns0:v>APP000253</ns0:v>
      </ns0:c>
      <ns0:c r="C258" s="10" t="str">
        <ns0:v>000093</ns0:v>
      </ns0:c>
      <ns0:c r="D258" s="8" t="str">
        <ns0:v>품질</ns0:v>
      </ns0:c>
      <ns0:c r="E258" s="8" t="str">
        <ns0:v>C01</ns0:v>
      </ns0:c>
      <ns0:c r="F258" s="12" t="d">
        <ns0:v>2026-10-01T00:00:00.000Z</ns0:v>
      </ns0:c>
      <ns0:c r="G258" s="8" t="n">
        <ns0:v>0</ns0:v>
      </ns0:c>
      <ns0:c r="H258" s="8" t="str">
        <ns0:v>대기</ns0:v>
      </ns0:c>
      <ns0:c r="I258" s="14" t="n">
        <ns0:v>0</ns0:v>
      </ns0:c>
      <ns0:c r="J258" s="16"/>
      <ns0:c r="K258" s="8" t="n">
        <ns0:v>1</ns0:v>
      </ns0:c>
      <ns0:c r="L258" s="8"/>
      <ns0:c r="M258" s="8" t="str">
        <ns0:v>B</ns0:v>
      </ns0:c>
    </ns0:row>
    <ns0:row r="259" ht="23" customHeight="1">
      <ns0:c r="B259" s="10" t="str">
        <ns0:v>APP000254</ns0:v>
      </ns0:c>
      <ns0:c r="C259" s="10" t="str">
        <ns0:v>000094</ns0:v>
      </ns0:c>
      <ns0:c r="D259" s="8" t="str">
        <ns0:v>기획</ns0:v>
      </ns0:c>
      <ns0:c r="E259" s="8" t="str">
        <ns0:v>C08</ns0:v>
      </ns0:c>
      <ns0:c r="F259" s="12" t="d">
        <ns0:v>2026-10-02T00:00:00.000Z</ns0:v>
      </ns0:c>
      <ns0:c r="G259" s="8" t="n">
        <ns0:v>1</ns0:v>
      </ns0:c>
      <ns0:c r="H259" s="8" t="str">
        <ns0:v>취소</ns0:v>
      </ns0:c>
      <ns0:c r="I259" s="14" t="n">
        <ns0:v>0.05</ns0:v>
      </ns0:c>
      <ns0:c r="J259" s="16"/>
      <ns0:c r="K259" s="8" t="n">
        <ns0:v>1</ns0:v>
      </ns0:c>
      <ns0:c r="L259" s="8"/>
      <ns0:c r="M259" s="8" t="str">
        <ns0:v>B</ns0:v>
      </ns0:c>
    </ns0:row>
    <ns0:row r="260" ht="23" customHeight="1">
      <ns0:c r="B260" s="10" t="str">
        <ns0:v>APP000255</ns0:v>
      </ns0:c>
      <ns0:c r="C260" s="10" t="str">
        <ns0:v>000095</ns0:v>
      </ns0:c>
      <ns0:c r="D260" s="8" t="str">
        <ns0:v>영업</ns0:v>
      </ns0:c>
      <ns0:c r="E260" s="8" t="str">
        <ns0:v>C03</ns0:v>
      </ns0:c>
      <ns0:c r="F260" s="12" t="d">
        <ns0:v>2026-10-03T00:00:00.000Z</ns0:v>
      </ns0:c>
      <ns0:c r="G260" s="8" t="n">
        <ns0:v>2</ns0:v>
      </ns0:c>
      <ns0:c r="H260" s="8" t="str">
        <ns0:v>승인</ns0:v>
      </ns0:c>
      <ns0:c r="I260" s="14" t="n">
        <ns0:v>0.1</ns0:v>
      </ns0:c>
      <ns0:c r="J260" s="16"/>
      <ns0:c r="K260" s="8" t="n">
        <ns0:v>1</ns0:v>
      </ns0:c>
      <ns0:c r="L260" s="8"/>
      <ns0:c r="M260" s="8" t="str">
        <ns0:v>B</ns0:v>
      </ns0:c>
    </ns0:row>
    <ns0:row r="261" ht="23" customHeight="1">
      <ns0:c r="B261" s="10" t="str">
        <ns0:v>APP000256</ns0:v>
      </ns0:c>
      <ns0:c r="C261" s="10" t="str">
        <ns0:v>000096</ns0:v>
      </ns0:c>
      <ns0:c r="D261" s="8" t="str">
        <ns0:v>지원</ns0:v>
      </ns0:c>
      <ns0:c r="E261" s="8" t="str">
        <ns0:v>C10</ns0:v>
      </ns0:c>
      <ns0:c r="F261" s="12" t="d">
        <ns0:v>2026-10-04T00:00:00.000Z</ns0:v>
      </ns0:c>
      <ns0:c r="G261" s="8" t="n">
        <ns0:v>3</ns0:v>
      </ns0:c>
      <ns0:c r="H261" s="8" t="str">
        <ns0:v>승인</ns0:v>
      </ns0:c>
      <ns0:c r="I261" s="14" t="n">
        <ns0:v>0.125</ns0:v>
      </ns0:c>
      <ns0:c r="J261" s="16"/>
      <ns0:c r="K261" s="8" t="n">
        <ns0:v>1</ns0:v>
      </ns0:c>
      <ns0:c r="L261" s="8"/>
      <ns0:c r="M261" s="8" t="str">
        <ns0:v>B</ns0:v>
      </ns0:c>
    </ns0:row>
    <ns0:row r="262" ht="23" customHeight="1">
      <ns0:c r="B262" s="10" t="str">
        <ns0:v>APP000257</ns0:v>
      </ns0:c>
      <ns0:c r="C262" s="10" t="str">
        <ns0:v>000097</ns0:v>
      </ns0:c>
      <ns0:c r="D262" s="8" t="str">
        <ns0:v>개발</ns0:v>
      </ns0:c>
      <ns0:c r="E262" s="8" t="str">
        <ns0:v>C05</ns0:v>
      </ns0:c>
      <ns0:c r="F262" s="12" t="d">
        <ns0:v>2026-10-05T00:00:00.000Z</ns0:v>
      </ns0:c>
      <ns0:c r="G262" s="8" t="n">
        <ns0:v>4</ns0:v>
      </ns0:c>
      <ns0:c r="H262" s="8" t="str">
        <ns0:v>승인</ns0:v>
      </ns0:c>
      <ns0:c r="I262" s="14" t="n">
        <ns0:v>0</ns0:v>
      </ns0:c>
      <ns0:c r="J262" s="16"/>
      <ns0:c r="K262" s="8" t="n">
        <ns0:v>1</ns0:v>
      </ns0:c>
      <ns0:c r="L262" s="8"/>
      <ns0:c r="M262" s="8" t="str">
        <ns0:v>B</ns0:v>
      </ns0:c>
    </ns0:row>
    <ns0:row r="263" ht="23" customHeight="1">
      <ns0:c r="B263" s="10" t="str">
        <ns0:v>APP000258</ns0:v>
      </ns0:c>
      <ns0:c r="C263" s="10" t="str">
        <ns0:v>000098</ns0:v>
      </ns0:c>
      <ns0:c r="D263" s="8" t="str">
        <ns0:v>생산</ns0:v>
      </ns0:c>
      <ns0:c r="E263" s="8" t="str">
        <ns0:v>C12</ns0:v>
      </ns0:c>
      <ns0:c r="F263" s="12" t="d">
        <ns0:v>2026-10-06T00:00:00.000Z</ns0:v>
      </ns0:c>
      <ns0:c r="G263" s="8" t="n">
        <ns0:v>5</ns0:v>
      </ns0:c>
      <ns0:c r="H263" s="8" t="str">
        <ns0:v>승인</ns0:v>
      </ns0:c>
      <ns0:c r="I263" s="14" t="n">
        <ns0:v>0.05</ns0:v>
      </ns0:c>
      <ns0:c r="J263" s="16"/>
      <ns0:c r="K263" s="8" t="n">
        <ns0:v>1</ns0:v>
      </ns0:c>
      <ns0:c r="L263" s="8"/>
      <ns0:c r="M263" s="8" t="str">
        <ns0:v>B</ns0:v>
      </ns0:c>
    </ns0:row>
    <ns0:row r="264" ht="23" customHeight="1">
      <ns0:c r="B264" s="10" t="str">
        <ns0:v>APP000259</ns0:v>
      </ns0:c>
      <ns0:c r="C264" s="10" t="str">
        <ns0:v>000099</ns0:v>
      </ns0:c>
      <ns0:c r="D264" s="8" t="str">
        <ns0:v>품질</ns0:v>
      </ns0:c>
      <ns0:c r="E264" s="8" t="str">
        <ns0:v>C07</ns0:v>
      </ns0:c>
      <ns0:c r="F264" s="12" t="d">
        <ns0:v>2026-10-07T00:00:00.000Z</ns0:v>
      </ns0:c>
      <ns0:c r="G264" s="8" t="n">
        <ns0:v>0</ns0:v>
      </ns0:c>
      <ns0:c r="H264" s="8" t="str">
        <ns0:v>승인</ns0:v>
      </ns0:c>
      <ns0:c r="I264" s="14" t="n">
        <ns0:v>0.1</ns0:v>
      </ns0:c>
      <ns0:c r="J264" s="16"/>
      <ns0:c r="K264" s="8" t="n">
        <ns0:v>1</ns0:v>
      </ns0:c>
      <ns0:c r="L264" s="8"/>
      <ns0:c r="M264" s="8" t="str">
        <ns0:v>B</ns0:v>
      </ns0:c>
    </ns0:row>
    <ns0:row r="265" ht="23" customHeight="1">
      <ns0:c r="B265" s="10" t="str">
        <ns0:v>APP000260</ns0:v>
      </ns0:c>
      <ns0:c r="C265" s="10" t="str">
        <ns0:v>000100</ns0:v>
      </ns0:c>
      <ns0:c r="D265" s="8" t="str">
        <ns0:v>기획</ns0:v>
      </ns0:c>
      <ns0:c r="E265" s="8" t="str">
        <ns0:v>C02</ns0:v>
      </ns0:c>
      <ns0:c r="F265" s="12" t="d">
        <ns0:v>2026-10-08T00:00:00.000Z</ns0:v>
      </ns0:c>
      <ns0:c r="G265" s="8" t="n">
        <ns0:v>1</ns0:v>
      </ns0:c>
      <ns0:c r="H265" s="8" t="str">
        <ns0:v>대기</ns0:v>
      </ns0:c>
      <ns0:c r="I265" s="14" t="n">
        <ns0:v>0.125</ns0:v>
      </ns0:c>
      <ns0:c r="J265" s="16"/>
      <ns0:c r="K265" s="8" t="n">
        <ns0:v>1</ns0:v>
      </ns0:c>
      <ns0:c r="L265" s="8"/>
      <ns0:c r="M265" s="8" t="str">
        <ns0:v>B</ns0:v>
      </ns0:c>
    </ns0:row>
    <ns0:row r="266" ht="23" customHeight="1">
      <ns0:c r="B266" s="10" t="str">
        <ns0:v>APP000261</ns0:v>
      </ns0:c>
      <ns0:c r="C266" s="10" t="str">
        <ns0:v>000101</ns0:v>
      </ns0:c>
      <ns0:c r="D266" s="8" t="str">
        <ns0:v>영업</ns0:v>
      </ns0:c>
      <ns0:c r="E266" s="8" t="str">
        <ns0:v>C09</ns0:v>
      </ns0:c>
      <ns0:c r="F266" s="12" t="d">
        <ns0:v>2026-10-09T00:00:00.000Z</ns0:v>
      </ns0:c>
      <ns0:c r="G266" s="8" t="n">
        <ns0:v>2</ns0:v>
      </ns0:c>
      <ns0:c r="H266" s="8" t="str">
        <ns0:v>승인</ns0:v>
      </ns0:c>
      <ns0:c r="I266" s="14" t="n">
        <ns0:v>0</ns0:v>
      </ns0:c>
      <ns0:c r="J266" s="16"/>
      <ns0:c r="K266" s="8" t="n">
        <ns0:v>1</ns0:v>
      </ns0:c>
      <ns0:c r="L266" s="8"/>
      <ns0:c r="M266" s="8" t="str">
        <ns0:v>B</ns0:v>
      </ns0:c>
    </ns0:row>
    <ns0:row r="267" ht="23" customHeight="1">
      <ns0:c r="B267" s="10" t="str">
        <ns0:v>APP000262</ns0:v>
      </ns0:c>
      <ns0:c r="C267" s="10" t="str">
        <ns0:v>000102</ns0:v>
      </ns0:c>
      <ns0:c r="D267" s="8" t="str">
        <ns0:v>지원</ns0:v>
      </ns0:c>
      <ns0:c r="E267" s="8" t="str">
        <ns0:v>C04</ns0:v>
      </ns0:c>
      <ns0:c r="F267" s="12" t="d">
        <ns0:v>2026-10-10T00:00:00.000Z</ns0:v>
      </ns0:c>
      <ns0:c r="G267" s="8" t="n">
        <ns0:v>3</ns0:v>
      </ns0:c>
      <ns0:c r="H267" s="8" t="str">
        <ns0:v>승인</ns0:v>
      </ns0:c>
      <ns0:c r="I267" s="14" t="n">
        <ns0:v>0.05</ns0:v>
      </ns0:c>
      <ns0:c r="J267" s="16"/>
      <ns0:c r="K267" s="8" t="n">
        <ns0:v>1</ns0:v>
      </ns0:c>
      <ns0:c r="L267" s="8"/>
      <ns0:c r="M267" s="8" t="str">
        <ns0:v>B</ns0:v>
      </ns0:c>
    </ns0:row>
    <ns0:row r="268" ht="23" customHeight="1">
      <ns0:c r="B268" s="10" t="str">
        <ns0:v>APP000263</ns0:v>
      </ns0:c>
      <ns0:c r="C268" s="10" t="str">
        <ns0:v>000103</ns0:v>
      </ns0:c>
      <ns0:c r="D268" s="8" t="str">
        <ns0:v>개발</ns0:v>
      </ns0:c>
      <ns0:c r="E268" s="8" t="str">
        <ns0:v>C11</ns0:v>
      </ns0:c>
      <ns0:c r="F268" s="12" t="d">
        <ns0:v>2026-10-11T00:00:00.000Z</ns0:v>
      </ns0:c>
      <ns0:c r="G268" s="8" t="n">
        <ns0:v>4</ns0:v>
      </ns0:c>
      <ns0:c r="H268" s="8" t="str">
        <ns0:v>승인</ns0:v>
      </ns0:c>
      <ns0:c r="I268" s="14" t="n">
        <ns0:v>0.1</ns0:v>
      </ns0:c>
      <ns0:c r="J268" s="16"/>
      <ns0:c r="K268" s="8" t="n">
        <ns0:v>1</ns0:v>
      </ns0:c>
      <ns0:c r="L268" s="8"/>
      <ns0:c r="M268" s="8" t="str">
        <ns0:v>B</ns0:v>
      </ns0:c>
    </ns0:row>
    <ns0:row r="269" ht="23" customHeight="1">
      <ns0:c r="B269" s="10" t="str">
        <ns0:v>APP000264</ns0:v>
      </ns0:c>
      <ns0:c r="C269" s="10" t="str">
        <ns0:v>000104</ns0:v>
      </ns0:c>
      <ns0:c r="D269" s="8" t="str">
        <ns0:v>생산</ns0:v>
      </ns0:c>
      <ns0:c r="E269" s="8" t="str">
        <ns0:v>C06</ns0:v>
      </ns0:c>
      <ns0:c r="F269" s="12" t="d">
        <ns0:v>2026-10-12T00:00:00.000Z</ns0:v>
      </ns0:c>
      <ns0:c r="G269" s="8" t="n">
        <ns0:v>5</ns0:v>
      </ns0:c>
      <ns0:c r="H269" s="8" t="str">
        <ns0:v>승인</ns0:v>
      </ns0:c>
      <ns0:c r="I269" s="14" t="n">
        <ns0:v>0.125</ns0:v>
      </ns0:c>
      <ns0:c r="J269" s="16"/>
      <ns0:c r="K269" s="8" t="n">
        <ns0:v>1</ns0:v>
      </ns0:c>
      <ns0:c r="L269" s="8"/>
      <ns0:c r="M269" s="8" t="str">
        <ns0:v>B</ns0:v>
      </ns0:c>
    </ns0:row>
    <ns0:row r="270" ht="23" customHeight="1">
      <ns0:c r="B270" s="10" t="str">
        <ns0:v>APP000265</ns0:v>
      </ns0:c>
      <ns0:c r="C270" s="10" t="str">
        <ns0:v>000105</ns0:v>
      </ns0:c>
      <ns0:c r="D270" s="8" t="str">
        <ns0:v>품질</ns0:v>
      </ns0:c>
      <ns0:c r="E270" s="8" t="str">
        <ns0:v>C01</ns0:v>
      </ns0:c>
      <ns0:c r="F270" s="12" t="d">
        <ns0:v>2026-10-13T00:00:00.000Z</ns0:v>
      </ns0:c>
      <ns0:c r="G270" s="8" t="n">
        <ns0:v>0</ns0:v>
      </ns0:c>
      <ns0:c r="H270" s="8" t="str">
        <ns0:v>취소</ns0:v>
      </ns0:c>
      <ns0:c r="I270" s="14" t="n">
        <ns0:v>0</ns0:v>
      </ns0:c>
      <ns0:c r="J270" s="16"/>
      <ns0:c r="K270" s="8" t="n">
        <ns0:v>1</ns0:v>
      </ns0:c>
      <ns0:c r="L270" s="8"/>
      <ns0:c r="M270" s="8" t="str">
        <ns0:v>B</ns0:v>
      </ns0:c>
    </ns0:row>
    <ns0:row r="271" ht="23" customHeight="1">
      <ns0:c r="B271" s="10" t="str">
        <ns0:v>APP000266</ns0:v>
      </ns0:c>
      <ns0:c r="C271" s="10" t="str">
        <ns0:v>000106</ns0:v>
      </ns0:c>
      <ns0:c r="D271" s="8" t="str">
        <ns0:v>기획</ns0:v>
      </ns0:c>
      <ns0:c r="E271" s="8" t="str">
        <ns0:v>C08</ns0:v>
      </ns0:c>
      <ns0:c r="F271" s="12" t="d">
        <ns0:v>2026-10-14T00:00:00.000Z</ns0:v>
      </ns0:c>
      <ns0:c r="G271" s="8" t="n">
        <ns0:v>1</ns0:v>
      </ns0:c>
      <ns0:c r="H271" s="8" t="str">
        <ns0:v>승인</ns0:v>
      </ns0:c>
      <ns0:c r="I271" s="14" t="n">
        <ns0:v>0.05</ns0:v>
      </ns0:c>
      <ns0:c r="J271" s="16" t="n">
        <ns0:v>0</ns0:v>
      </ns0:c>
      <ns0:c r="K271" s="8" t="n">
        <ns0:v>1</ns0:v>
      </ns0:c>
      <ns0:c r="L271" s="8" t="str">
        <ns0:v>0원 수동금액 유지</ns0:v>
      </ns0:c>
      <ns0:c r="M271" s="8" t="str">
        <ns0:v>B</ns0:v>
      </ns0:c>
    </ns0:row>
    <ns0:row r="272" ht="23" customHeight="1">
      <ns0:c r="B272" s="10" t="str">
        <ns0:v>APP000267</ns0:v>
      </ns0:c>
      <ns0:c r="C272" s="10" t="str">
        <ns0:v>000107</ns0:v>
      </ns0:c>
      <ns0:c r="D272" s="8" t="str">
        <ns0:v>영업</ns0:v>
      </ns0:c>
      <ns0:c r="E272" s="8" t="str">
        <ns0:v>C03</ns0:v>
      </ns0:c>
      <ns0:c r="F272" s="12" t="d">
        <ns0:v>2026-10-15T00:00:00.000Z</ns0:v>
      </ns0:c>
      <ns0:c r="G272" s="8" t="n">
        <ns0:v>2</ns0:v>
      </ns0:c>
      <ns0:c r="H272" s="8" t="str">
        <ns0:v>대기</ns0:v>
      </ns0:c>
      <ns0:c r="I272" s="14" t="n">
        <ns0:v>0.1</ns0:v>
      </ns0:c>
      <ns0:c r="J272" s="16"/>
      <ns0:c r="K272" s="8" t="n">
        <ns0:v>1</ns0:v>
      </ns0:c>
      <ns0:c r="L272" s="8"/>
      <ns0:c r="M272" s="8" t="str">
        <ns0:v>B</ns0:v>
      </ns0:c>
    </ns0:row>
    <ns0:row r="273" ht="23" customHeight="1">
      <ns0:c r="B273" s="10" t="str">
        <ns0:v>APP000268</ns0:v>
      </ns0:c>
      <ns0:c r="C273" s="10" t="str">
        <ns0:v>000108</ns0:v>
      </ns0:c>
      <ns0:c r="D273" s="8" t="str">
        <ns0:v>지원</ns0:v>
      </ns0:c>
      <ns0:c r="E273" s="8" t="str">
        <ns0:v>C10</ns0:v>
      </ns0:c>
      <ns0:c r="F273" s="12" t="d">
        <ns0:v>2026-10-16T00:00:00.000Z</ns0:v>
      </ns0:c>
      <ns0:c r="G273" s="8" t="n">
        <ns0:v>3</ns0:v>
      </ns0:c>
      <ns0:c r="H273" s="8" t="str">
        <ns0:v>승인</ns0:v>
      </ns0:c>
      <ns0:c r="I273" s="14" t="n">
        <ns0:v>0.125</ns0:v>
      </ns0:c>
      <ns0:c r="J273" s="16"/>
      <ns0:c r="K273" s="8" t="n">
        <ns0:v>1</ns0:v>
      </ns0:c>
      <ns0:c r="L273" s="8"/>
      <ns0:c r="M273" s="8" t="str">
        <ns0:v>B</ns0:v>
      </ns0:c>
    </ns0:row>
    <ns0:row r="274" ht="23" customHeight="1">
      <ns0:c r="B274" s="10" t="str">
        <ns0:v>APP000269</ns0:v>
      </ns0:c>
      <ns0:c r="C274" s="10" t="str">
        <ns0:v>000109</ns0:v>
      </ns0:c>
      <ns0:c r="D274" s="8" t="str">
        <ns0:v>개발</ns0:v>
      </ns0:c>
      <ns0:c r="E274" s="8" t="str">
        <ns0:v>C05</ns0:v>
      </ns0:c>
      <ns0:c r="F274" s="12" t="d">
        <ns0:v>2026-10-17T00:00:00.000Z</ns0:v>
      </ns0:c>
      <ns0:c r="G274" s="8" t="n">
        <ns0:v>4</ns0:v>
      </ns0:c>
      <ns0:c r="H274" s="8" t="str">
        <ns0:v>승인</ns0:v>
      </ns0:c>
      <ns0:c r="I274" s="14" t="n">
        <ns0:v>0</ns0:v>
      </ns0:c>
      <ns0:c r="J274" s="16"/>
      <ns0:c r="K274" s="8" t="n">
        <ns0:v>1</ns0:v>
      </ns0:c>
      <ns0:c r="L274" s="8"/>
      <ns0:c r="M274" s="8" t="str">
        <ns0:v>B</ns0:v>
      </ns0:c>
    </ns0:row>
    <ns0:row r="275" ht="23" customHeight="1">
      <ns0:c r="B275" s="10" t="str">
        <ns0:v>APP000270</ns0:v>
      </ns0:c>
      <ns0:c r="C275" s="10" t="str">
        <ns0:v>000110</ns0:v>
      </ns0:c>
      <ns0:c r="D275" s="8" t="str">
        <ns0:v>생산</ns0:v>
      </ns0:c>
      <ns0:c r="E275" s="8" t="str">
        <ns0:v>C12</ns0:v>
      </ns0:c>
      <ns0:c r="F275" s="12" t="d">
        <ns0:v>2026-10-18T00:00:00.000Z</ns0:v>
      </ns0:c>
      <ns0:c r="G275" s="8" t="n">
        <ns0:v>5</ns0:v>
      </ns0:c>
      <ns0:c r="H275" s="8" t="str">
        <ns0:v>승인</ns0:v>
      </ns0:c>
      <ns0:c r="I275" s="14" t="n">
        <ns0:v>0.05</ns0:v>
      </ns0:c>
      <ns0:c r="J275" s="16"/>
      <ns0:c r="K275" s="8" t="n">
        <ns0:v>1</ns0:v>
      </ns0:c>
      <ns0:c r="L275" s="8"/>
      <ns0:c r="M275" s="8" t="str">
        <ns0:v>B</ns0:v>
      </ns0:c>
    </ns0:row>
    <ns0:row r="276" ht="23" customHeight="1">
      <ns0:c r="B276" s="10" t="str">
        <ns0:v>APP000271</ns0:v>
      </ns0:c>
      <ns0:c r="C276" s="10" t="str">
        <ns0:v>000111</ns0:v>
      </ns0:c>
      <ns0:c r="D276" s="8" t="str">
        <ns0:v>품질</ns0:v>
      </ns0:c>
      <ns0:c r="E276" s="8" t="str">
        <ns0:v>C07</ns0:v>
      </ns0:c>
      <ns0:c r="F276" s="12" t="d">
        <ns0:v>2026-10-19T00:00:00.000Z</ns0:v>
      </ns0:c>
      <ns0:c r="G276" s="8" t="n">
        <ns0:v>0</ns0:v>
      </ns0:c>
      <ns0:c r="H276" s="8" t="str">
        <ns0:v>승인</ns0:v>
      </ns0:c>
      <ns0:c r="I276" s="14" t="n">
        <ns0:v>0.1</ns0:v>
      </ns0:c>
      <ns0:c r="J276" s="16"/>
      <ns0:c r="K276" s="8" t="n">
        <ns0:v>1</ns0:v>
      </ns0:c>
      <ns0:c r="L276" s="8"/>
      <ns0:c r="M276" s="8" t="str">
        <ns0:v>B</ns0:v>
      </ns0:c>
    </ns0:row>
    <ns0:row r="277" ht="23" customHeight="1">
      <ns0:c r="B277" s="10" t="str">
        <ns0:v>APP000272</ns0:v>
      </ns0:c>
      <ns0:c r="C277" s="10" t="str">
        <ns0:v>000112</ns0:v>
      </ns0:c>
      <ns0:c r="D277" s="8" t="str">
        <ns0:v>기획</ns0:v>
      </ns0:c>
      <ns0:c r="E277" s="8" t="str">
        <ns0:v>C02</ns0:v>
      </ns0:c>
      <ns0:c r="F277" s="12" t="d">
        <ns0:v>2026-10-20T00:00:00.000Z</ns0:v>
      </ns0:c>
      <ns0:c r="G277" s="8" t="n">
        <ns0:v>1</ns0:v>
      </ns0:c>
      <ns0:c r="H277" s="8" t="str">
        <ns0:v>승인</ns0:v>
      </ns0:c>
      <ns0:c r="I277" s="14" t="n">
        <ns0:v>0.125</ns0:v>
      </ns0:c>
      <ns0:c r="J277" s="16"/>
      <ns0:c r="K277" s="8" t="n">
        <ns0:v>1</ns0:v>
      </ns0:c>
      <ns0:c r="L277" s="8"/>
      <ns0:c r="M277" s="8" t="str">
        <ns0:v>B</ns0:v>
      </ns0:c>
    </ns0:row>
    <ns0:row r="278" ht="23" customHeight="1">
      <ns0:c r="B278" s="10" t="str">
        <ns0:v>APP000273</ns0:v>
      </ns0:c>
      <ns0:c r="C278" s="10" t="str">
        <ns0:v>000113</ns0:v>
      </ns0:c>
      <ns0:c r="D278" s="8" t="str">
        <ns0:v>영업</ns0:v>
      </ns0:c>
      <ns0:c r="E278" s="8" t="str">
        <ns0:v>C09</ns0:v>
      </ns0:c>
      <ns0:c r="F278" s="12" t="d">
        <ns0:v>2026-10-21T00:00:00.000Z</ns0:v>
      </ns0:c>
      <ns0:c r="G278" s="8" t="n">
        <ns0:v>2</ns0:v>
      </ns0:c>
      <ns0:c r="H278" s="8" t="str">
        <ns0:v>승인</ns0:v>
      </ns0:c>
      <ns0:c r="I278" s="14" t="n">
        <ns0:v>0</ns0:v>
      </ns0:c>
      <ns0:c r="J278" s="16"/>
      <ns0:c r="K278" s="8" t="n">
        <ns0:v>1</ns0:v>
      </ns0:c>
      <ns0:c r="L278" s="8"/>
      <ns0:c r="M278" s="8" t="str">
        <ns0:v>B</ns0:v>
      </ns0:c>
    </ns0:row>
    <ns0:row r="279" ht="23" customHeight="1">
      <ns0:c r="B279" s="10" t="str">
        <ns0:v>APP000274</ns0:v>
      </ns0:c>
      <ns0:c r="C279" s="10" t="str">
        <ns0:v>000114</ns0:v>
      </ns0:c>
      <ns0:c r="D279" s="8" t="str">
        <ns0:v>지원</ns0:v>
      </ns0:c>
      <ns0:c r="E279" s="8" t="str">
        <ns0:v>C04</ns0:v>
      </ns0:c>
      <ns0:c r="F279" s="12" t="d">
        <ns0:v>2026-10-22T00:00:00.000Z</ns0:v>
      </ns0:c>
      <ns0:c r="G279" s="8" t="n">
        <ns0:v>3</ns0:v>
      </ns0:c>
      <ns0:c r="H279" s="8" t="str">
        <ns0:v>대기</ns0:v>
      </ns0:c>
      <ns0:c r="I279" s="14" t="n">
        <ns0:v>0.05</ns0:v>
      </ns0:c>
      <ns0:c r="J279" s="16"/>
      <ns0:c r="K279" s="8" t="n">
        <ns0:v>1</ns0:v>
      </ns0:c>
      <ns0:c r="L279" s="8"/>
      <ns0:c r="M279" s="8" t="str">
        <ns0:v>B</ns0:v>
      </ns0:c>
    </ns0:row>
    <ns0:row r="280" ht="23" customHeight="1">
      <ns0:c r="B280" s="10" t="str">
        <ns0:v>APP000275</ns0:v>
      </ns0:c>
      <ns0:c r="C280" s="10" t="str">
        <ns0:v>000115</ns0:v>
      </ns0:c>
      <ns0:c r="D280" s="8" t="str">
        <ns0:v>개발</ns0:v>
      </ns0:c>
      <ns0:c r="E280" s="8" t="str">
        <ns0:v>C11</ns0:v>
      </ns0:c>
      <ns0:c r="F280" s="12" t="d">
        <ns0:v>2026-10-23T00:00:00.000Z</ns0:v>
      </ns0:c>
      <ns0:c r="G280" s="8" t="n">
        <ns0:v>4</ns0:v>
      </ns0:c>
      <ns0:c r="H280" s="8" t="str">
        <ns0:v>승인</ns0:v>
      </ns0:c>
      <ns0:c r="I280" s="14" t="n">
        <ns0:v>0.1</ns0:v>
      </ns0:c>
      <ns0:c r="J280" s="16"/>
      <ns0:c r="K280" s="8" t="n">
        <ns0:v>1</ns0:v>
      </ns0:c>
      <ns0:c r="L280" s="8"/>
      <ns0:c r="M280" s="8" t="str">
        <ns0:v>B</ns0:v>
      </ns0:c>
    </ns0:row>
    <ns0:row r="281" ht="23" customHeight="1">
      <ns0:c r="B281" s="10" t="str">
        <ns0:v>APP000276</ns0:v>
      </ns0:c>
      <ns0:c r="C281" s="10" t="str">
        <ns0:v>000116</ns0:v>
      </ns0:c>
      <ns0:c r="D281" s="8" t="str">
        <ns0:v>생산</ns0:v>
      </ns0:c>
      <ns0:c r="E281" s="8" t="str">
        <ns0:v>C06</ns0:v>
      </ns0:c>
      <ns0:c r="F281" s="12" t="d">
        <ns0:v>2026-10-24T00:00:00.000Z</ns0:v>
      </ns0:c>
      <ns0:c r="G281" s="8" t="n">
        <ns0:v>5</ns0:v>
      </ns0:c>
      <ns0:c r="H281" s="8" t="str">
        <ns0:v>취소</ns0:v>
      </ns0:c>
      <ns0:c r="I281" s="14" t="n">
        <ns0:v>0.125</ns0:v>
      </ns0:c>
      <ns0:c r="J281" s="16"/>
      <ns0:c r="K281" s="8" t="n">
        <ns0:v>1</ns0:v>
      </ns0:c>
      <ns0:c r="L281" s="8"/>
      <ns0:c r="M281" s="8" t="str">
        <ns0:v>B</ns0:v>
      </ns0:c>
    </ns0:row>
    <ns0:row r="282" ht="23" customHeight="1">
      <ns0:c r="B282" s="10" t="str">
        <ns0:v>APP000277</ns0:v>
      </ns0:c>
      <ns0:c r="C282" s="10" t="str">
        <ns0:v>000117</ns0:v>
      </ns0:c>
      <ns0:c r="D282" s="8" t="str">
        <ns0:v>품질</ns0:v>
      </ns0:c>
      <ns0:c r="E282" s="8" t="str">
        <ns0:v>C01</ns0:v>
      </ns0:c>
      <ns0:c r="F282" s="12" t="d">
        <ns0:v>2026-10-25T00:00:00.000Z</ns0:v>
      </ns0:c>
      <ns0:c r="G282" s="8" t="n">
        <ns0:v>0</ns0:v>
      </ns0:c>
      <ns0:c r="H282" s="8" t="str">
        <ns0:v>승인</ns0:v>
      </ns0:c>
      <ns0:c r="I282" s="14" t="n">
        <ns0:v>0</ns0:v>
      </ns0:c>
      <ns0:c r="J282" s="16"/>
      <ns0:c r="K282" s="8" t="n">
        <ns0:v>1</ns0:v>
      </ns0:c>
      <ns0:c r="L282" s="8"/>
      <ns0:c r="M282" s="8" t="str">
        <ns0:v>B</ns0:v>
      </ns0:c>
    </ns0:row>
    <ns0:row r="283" ht="23" customHeight="1">
      <ns0:c r="B283" s="10" t="str">
        <ns0:v>APP000278</ns0:v>
      </ns0:c>
      <ns0:c r="C283" s="10" t="str">
        <ns0:v>000118</ns0:v>
      </ns0:c>
      <ns0:c r="D283" s="8" t="str">
        <ns0:v>기획</ns0:v>
      </ns0:c>
      <ns0:c r="E283" s="8" t="str">
        <ns0:v>C08</ns0:v>
      </ns0:c>
      <ns0:c r="F283" s="12" t="d">
        <ns0:v>2026-10-26T00:00:00.000Z</ns0:v>
      </ns0:c>
      <ns0:c r="G283" s="8" t="n">
        <ns0:v>1</ns0:v>
      </ns0:c>
      <ns0:c r="H283" s="8" t="str">
        <ns0:v>승인</ns0:v>
      </ns0:c>
      <ns0:c r="I283" s="14" t="n">
        <ns0:v>0.05</ns0:v>
      </ns0:c>
      <ns0:c r="J283" s="16"/>
      <ns0:c r="K283" s="8" t="n">
        <ns0:v>1</ns0:v>
      </ns0:c>
      <ns0:c r="L283" s="8"/>
      <ns0:c r="M283" s="8" t="str">
        <ns0:v>B</ns0:v>
      </ns0:c>
    </ns0:row>
    <ns0:row r="284" ht="23" customHeight="1">
      <ns0:c r="B284" s="10" t="str">
        <ns0:v>APP000279</ns0:v>
      </ns0:c>
      <ns0:c r="C284" s="10" t="str">
        <ns0:v>000119</ns0:v>
      </ns0:c>
      <ns0:c r="D284" s="8" t="str">
        <ns0:v>영업</ns0:v>
      </ns0:c>
      <ns0:c r="E284" s="8" t="str">
        <ns0:v>C03</ns0:v>
      </ns0:c>
      <ns0:c r="F284" s="12" t="d">
        <ns0:v>2026-10-27T00:00:00.000Z</ns0:v>
      </ns0:c>
      <ns0:c r="G284" s="8" t="n">
        <ns0:v>2</ns0:v>
      </ns0:c>
      <ns0:c r="H284" s="8" t="str">
        <ns0:v>승인</ns0:v>
      </ns0:c>
      <ns0:c r="I284" s="14" t="n">
        <ns0:v>0.1</ns0:v>
      </ns0:c>
      <ns0:c r="J284" s="16"/>
      <ns0:c r="K284" s="8" t="n">
        <ns0:v>1</ns0:v>
      </ns0:c>
      <ns0:c r="L284" s="8"/>
      <ns0:c r="M284" s="8" t="str">
        <ns0:v>B</ns0:v>
      </ns0:c>
    </ns0:row>
    <ns0:row r="285" ht="23" customHeight="1">
      <ns0:c r="B285" s="10" t="str">
        <ns0:v>APP000280</ns0:v>
      </ns0:c>
      <ns0:c r="C285" s="10" t="str">
        <ns0:v>000120</ns0:v>
      </ns0:c>
      <ns0:c r="D285" s="8" t="str">
        <ns0:v>지원</ns0:v>
      </ns0:c>
      <ns0:c r="E285" s="8" t="str">
        <ns0:v>C10</ns0:v>
      </ns0:c>
      <ns0:c r="F285" s="12" t="d">
        <ns0:v>2026-10-28T00:00:00.000Z</ns0:v>
      </ns0:c>
      <ns0:c r="G285" s="8" t="n">
        <ns0:v>3</ns0:v>
      </ns0:c>
      <ns0:c r="H285" s="8" t="str">
        <ns0:v>승인</ns0:v>
      </ns0:c>
      <ns0:c r="I285" s="14" t="n">
        <ns0:v>0.125</ns0:v>
      </ns0:c>
      <ns0:c r="J285" s="16"/>
      <ns0:c r="K285" s="8" t="n">
        <ns0:v>1</ns0:v>
      </ns0:c>
      <ns0:c r="L285" s="8"/>
      <ns0:c r="M285" s="8" t="str">
        <ns0:v>B</ns0:v>
      </ns0:c>
    </ns0:row>
    <ns0:row r="286" ht="23" customHeight="1">
      <ns0:c r="B286" s="10" t="str">
        <ns0:v>APP000281</ns0:v>
      </ns0:c>
      <ns0:c r="C286" s="10" t="str">
        <ns0:v>000121</ns0:v>
      </ns0:c>
      <ns0:c r="D286" s="8" t="str">
        <ns0:v>개발</ns0:v>
      </ns0:c>
      <ns0:c r="E286" s="8" t="str">
        <ns0:v>C05</ns0:v>
      </ns0:c>
      <ns0:c r="F286" s="12" t="d">
        <ns0:v>2026-10-01T00:00:00.000Z</ns0:v>
      </ns0:c>
      <ns0:c r="G286" s="8" t="n">
        <ns0:v>4</ns0:v>
      </ns0:c>
      <ns0:c r="H286" s="8" t="str">
        <ns0:v>대기</ns0:v>
      </ns0:c>
      <ns0:c r="I286" s="14" t="n">
        <ns0:v>0</ns0:v>
      </ns0:c>
      <ns0:c r="J286" s="16"/>
      <ns0:c r="K286" s="8" t="n">
        <ns0:v>1</ns0:v>
      </ns0:c>
      <ns0:c r="L286" s="8"/>
      <ns0:c r="M286" s="8" t="str">
        <ns0:v>B</ns0:v>
      </ns0:c>
    </ns0:row>
    <ns0:row r="287" ht="23" customHeight="1">
      <ns0:c r="B287" s="10" t="str">
        <ns0:v>APP000282</ns0:v>
      </ns0:c>
      <ns0:c r="C287" s="10" t="str">
        <ns0:v>000122</ns0:v>
      </ns0:c>
      <ns0:c r="D287" s="8" t="str">
        <ns0:v>생산</ns0:v>
      </ns0:c>
      <ns0:c r="E287" s="8" t="str">
        <ns0:v>C12</ns0:v>
      </ns0:c>
      <ns0:c r="F287" s="12" t="d">
        <ns0:v>2026-10-02T00:00:00.000Z</ns0:v>
      </ns0:c>
      <ns0:c r="G287" s="8" t="n">
        <ns0:v>5</ns0:v>
      </ns0:c>
      <ns0:c r="H287" s="8" t="str">
        <ns0:v>승인</ns0:v>
      </ns0:c>
      <ns0:c r="I287" s="14" t="n">
        <ns0:v>0.05</ns0:v>
      </ns0:c>
      <ns0:c r="J287" s="16"/>
      <ns0:c r="K287" s="8" t="n">
        <ns0:v>1</ns0:v>
      </ns0:c>
      <ns0:c r="L287" s="8"/>
      <ns0:c r="M287" s="8" t="str">
        <ns0:v>B</ns0:v>
      </ns0:c>
    </ns0:row>
    <ns0:row r="288" ht="23" customHeight="1">
      <ns0:c r="B288" s="10" t="str">
        <ns0:v>APP000283</ns0:v>
      </ns0:c>
      <ns0:c r="C288" s="10" t="str">
        <ns0:v>000123</ns0:v>
      </ns0:c>
      <ns0:c r="D288" s="8" t="str">
        <ns0:v>품질</ns0:v>
      </ns0:c>
      <ns0:c r="E288" s="8" t="str">
        <ns0:v>C07</ns0:v>
      </ns0:c>
      <ns0:c r="F288" s="12" t="d">
        <ns0:v>2026-10-03T00:00:00.000Z</ns0:v>
      </ns0:c>
      <ns0:c r="G288" s="8" t="n">
        <ns0:v>0</ns0:v>
      </ns0:c>
      <ns0:c r="H288" s="8" t="str">
        <ns0:v>승인</ns0:v>
      </ns0:c>
      <ns0:c r="I288" s="14" t="n">
        <ns0:v>0.1</ns0:v>
      </ns0:c>
      <ns0:c r="J288" s="16"/>
      <ns0:c r="K288" s="8" t="n">
        <ns0:v>1</ns0:v>
      </ns0:c>
      <ns0:c r="L288" s="8"/>
      <ns0:c r="M288" s="8" t="str">
        <ns0:v>B</ns0:v>
      </ns0:c>
    </ns0:row>
    <ns0:row r="289" ht="23" customHeight="1">
      <ns0:c r="B289" s="10" t="str">
        <ns0:v>APP000284</ns0:v>
      </ns0:c>
      <ns0:c r="C289" s="10" t="str">
        <ns0:v>000124</ns0:v>
      </ns0:c>
      <ns0:c r="D289" s="8" t="str">
        <ns0:v>기획</ns0:v>
      </ns0:c>
      <ns0:c r="E289" s="8" t="str">
        <ns0:v>C02</ns0:v>
      </ns0:c>
      <ns0:c r="F289" s="12" t="d">
        <ns0:v>2026-10-04T00:00:00.000Z</ns0:v>
      </ns0:c>
      <ns0:c r="G289" s="8" t="n">
        <ns0:v>1</ns0:v>
      </ns0:c>
      <ns0:c r="H289" s="8" t="str">
        <ns0:v>승인</ns0:v>
      </ns0:c>
      <ns0:c r="I289" s="14" t="n">
        <ns0:v>0.125</ns0:v>
      </ns0:c>
      <ns0:c r="J289" s="16"/>
      <ns0:c r="K289" s="8" t="n">
        <ns0:v>1</ns0:v>
      </ns0:c>
      <ns0:c r="L289" s="8"/>
      <ns0:c r="M289" s="8" t="str">
        <ns0:v>B</ns0:v>
      </ns0:c>
    </ns0:row>
    <ns0:row r="290" ht="23" customHeight="1">
      <ns0:c r="B290" s="10" t="str">
        <ns0:v>APP000285</ns0:v>
      </ns0:c>
      <ns0:c r="C290" s="10" t="str">
        <ns0:v>000125</ns0:v>
      </ns0:c>
      <ns0:c r="D290" s="8" t="str">
        <ns0:v>영업</ns0:v>
      </ns0:c>
      <ns0:c r="E290" s="8" t="str">
        <ns0:v>C09</ns0:v>
      </ns0:c>
      <ns0:c r="F290" s="12" t="d">
        <ns0:v>2026-10-05T00:00:00.000Z</ns0:v>
      </ns0:c>
      <ns0:c r="G290" s="8" t="n">
        <ns0:v>2</ns0:v>
      </ns0:c>
      <ns0:c r="H290" s="8" t="str">
        <ns0:v>승인</ns0:v>
      </ns0:c>
      <ns0:c r="I290" s="14" t="n">
        <ns0:v>0</ns0:v>
      </ns0:c>
      <ns0:c r="J290" s="16"/>
      <ns0:c r="K290" s="8" t="n">
        <ns0:v>1</ns0:v>
      </ns0:c>
      <ns0:c r="L290" s="8"/>
      <ns0:c r="M290" s="8" t="str">
        <ns0:v>B</ns0:v>
      </ns0:c>
    </ns0:row>
    <ns0:row r="291" ht="23" customHeight="1">
      <ns0:c r="B291" s="10" t="str">
        <ns0:v>APP000286</ns0:v>
      </ns0:c>
      <ns0:c r="C291" s="10" t="str">
        <ns0:v>000126</ns0:v>
      </ns0:c>
      <ns0:c r="D291" s="8" t="str">
        <ns0:v>지원</ns0:v>
      </ns0:c>
      <ns0:c r="E291" s="8" t="str">
        <ns0:v>C04</ns0:v>
      </ns0:c>
      <ns0:c r="F291" s="12" t="d">
        <ns0:v>2026-10-06T00:00:00.000Z</ns0:v>
      </ns0:c>
      <ns0:c r="G291" s="8" t="n">
        <ns0:v>3</ns0:v>
      </ns0:c>
      <ns0:c r="H291" s="8" t="str">
        <ns0:v>승인</ns0:v>
      </ns0:c>
      <ns0:c r="I291" s="14" t="n">
        <ns0:v>0.05</ns0:v>
      </ns0:c>
      <ns0:c r="J291" s="16"/>
      <ns0:c r="K291" s="8" t="n">
        <ns0:v>1</ns0:v>
      </ns0:c>
      <ns0:c r="L291" s="8"/>
      <ns0:c r="M291" s="8" t="str">
        <ns0:v>B</ns0:v>
      </ns0:c>
    </ns0:row>
    <ns0:row r="292" ht="23" customHeight="1">
      <ns0:c r="B292" s="10" t="str">
        <ns0:v>APP000287</ns0:v>
      </ns0:c>
      <ns0:c r="C292" s="10" t="str">
        <ns0:v>000127</ns0:v>
      </ns0:c>
      <ns0:c r="D292" s="8" t="str">
        <ns0:v>개발</ns0:v>
      </ns0:c>
      <ns0:c r="E292" s="8" t="str">
        <ns0:v>C11</ns0:v>
      </ns0:c>
      <ns0:c r="F292" s="12" t="d">
        <ns0:v>2026-10-07T00:00:00.000Z</ns0:v>
      </ns0:c>
      <ns0:c r="G292" s="8" t="n">
        <ns0:v>4</ns0:v>
      </ns0:c>
      <ns0:c r="H292" s="8" t="str">
        <ns0:v>취소</ns0:v>
      </ns0:c>
      <ns0:c r="I292" s="14" t="n">
        <ns0:v>0.1</ns0:v>
      </ns0:c>
      <ns0:c r="J292" s="16"/>
      <ns0:c r="K292" s="8" t="n">
        <ns0:v>1</ns0:v>
      </ns0:c>
      <ns0:c r="L292" s="8"/>
      <ns0:c r="M292" s="8" t="str">
        <ns0:v>B</ns0:v>
      </ns0:c>
    </ns0:row>
    <ns0:row r="293" ht="23" customHeight="1">
      <ns0:c r="B293" s="10" t="str">
        <ns0:v>APP000288</ns0:v>
      </ns0:c>
      <ns0:c r="C293" s="10" t="str">
        <ns0:v>000128</ns0:v>
      </ns0:c>
      <ns0:c r="D293" s="8" t="str">
        <ns0:v>생산</ns0:v>
      </ns0:c>
      <ns0:c r="E293" s="8" t="str">
        <ns0:v>C06</ns0:v>
      </ns0:c>
      <ns0:c r="F293" s="12" t="d">
        <ns0:v>2026-10-08T00:00:00.000Z</ns0:v>
      </ns0:c>
      <ns0:c r="G293" s="8" t="n">
        <ns0:v>5</ns0:v>
      </ns0:c>
      <ns0:c r="H293" s="8" t="str">
        <ns0:v>대기</ns0:v>
      </ns0:c>
      <ns0:c r="I293" s="14" t="n">
        <ns0:v>0.125</ns0:v>
      </ns0:c>
      <ns0:c r="J293" s="16"/>
      <ns0:c r="K293" s="8" t="n">
        <ns0:v>1</ns0:v>
      </ns0:c>
      <ns0:c r="L293" s="8"/>
      <ns0:c r="M293" s="8" t="str">
        <ns0:v>B</ns0:v>
      </ns0:c>
    </ns0:row>
    <ns0:row r="294" ht="23" customHeight="1">
      <ns0:c r="B294" s="10" t="str">
        <ns0:v>APP000289</ns0:v>
      </ns0:c>
      <ns0:c r="C294" s="10" t="str">
        <ns0:v>000129</ns0:v>
      </ns0:c>
      <ns0:c r="D294" s="8" t="str">
        <ns0:v>품질</ns0:v>
      </ns0:c>
      <ns0:c r="E294" s="8" t="str">
        <ns0:v>C01</ns0:v>
      </ns0:c>
      <ns0:c r="F294" s="12" t="d">
        <ns0:v>2026-10-09T00:00:00.000Z</ns0:v>
      </ns0:c>
      <ns0:c r="G294" s="8" t="n">
        <ns0:v>0</ns0:v>
      </ns0:c>
      <ns0:c r="H294" s="8" t="str">
        <ns0:v>승인</ns0:v>
      </ns0:c>
      <ns0:c r="I294" s="14" t="n">
        <ns0:v>0</ns0:v>
      </ns0:c>
      <ns0:c r="J294" s="16"/>
      <ns0:c r="K294" s="8" t="n">
        <ns0:v>1</ns0:v>
      </ns0:c>
      <ns0:c r="L294" s="8"/>
      <ns0:c r="M294" s="8" t="str">
        <ns0:v>B</ns0:v>
      </ns0:c>
    </ns0:row>
    <ns0:row r="295" ht="23" customHeight="1">
      <ns0:c r="B295" s="10" t="str">
        <ns0:v>APP000290</ns0:v>
      </ns0:c>
      <ns0:c r="C295" s="10" t="str">
        <ns0:v>000130</ns0:v>
      </ns0:c>
      <ns0:c r="D295" s="8" t="str">
        <ns0:v>기획</ns0:v>
      </ns0:c>
      <ns0:c r="E295" s="8" t="str">
        <ns0:v>C08</ns0:v>
      </ns0:c>
      <ns0:c r="F295" s="12" t="d">
        <ns0:v>2026-10-10T00:00:00.000Z</ns0:v>
      </ns0:c>
      <ns0:c r="G295" s="8" t="n">
        <ns0:v>1</ns0:v>
      </ns0:c>
      <ns0:c r="H295" s="8" t="str">
        <ns0:v>승인</ns0:v>
      </ns0:c>
      <ns0:c r="I295" s="14" t="n">
        <ns0:v>0.05</ns0:v>
      </ns0:c>
      <ns0:c r="J295" s="16"/>
      <ns0:c r="K295" s="8" t="n">
        <ns0:v>1</ns0:v>
      </ns0:c>
      <ns0:c r="L295" s="8"/>
      <ns0:c r="M295" s="8" t="str">
        <ns0:v>B</ns0:v>
      </ns0:c>
    </ns0:row>
    <ns0:row r="296" ht="23" customHeight="1">
      <ns0:c r="B296" s="10" t="str">
        <ns0:v>APP000291</ns0:v>
      </ns0:c>
      <ns0:c r="C296" s="10" t="str">
        <ns0:v>000131</ns0:v>
      </ns0:c>
      <ns0:c r="D296" s="8" t="str">
        <ns0:v>영업</ns0:v>
      </ns0:c>
      <ns0:c r="E296" s="8" t="str">
        <ns0:v>C03</ns0:v>
      </ns0:c>
      <ns0:c r="F296" s="12" t="d">
        <ns0:v>2026-10-11T00:00:00.000Z</ns0:v>
      </ns0:c>
      <ns0:c r="G296" s="8" t="n">
        <ns0:v>2</ns0:v>
      </ns0:c>
      <ns0:c r="H296" s="8" t="str">
        <ns0:v>승인</ns0:v>
      </ns0:c>
      <ns0:c r="I296" s="14" t="n">
        <ns0:v>0.1</ns0:v>
      </ns0:c>
      <ns0:c r="J296" s="16"/>
      <ns0:c r="K296" s="8" t="n">
        <ns0:v>1</ns0:v>
      </ns0:c>
      <ns0:c r="L296" s="8"/>
      <ns0:c r="M296" s="8" t="str">
        <ns0:v>B</ns0:v>
      </ns0:c>
    </ns0:row>
    <ns0:row r="297" ht="23" customHeight="1">
      <ns0:c r="B297" s="10" t="str">
        <ns0:v>APP000292</ns0:v>
      </ns0:c>
      <ns0:c r="C297" s="10" t="str">
        <ns0:v>000132</ns0:v>
      </ns0:c>
      <ns0:c r="D297" s="8" t="str">
        <ns0:v>지원</ns0:v>
      </ns0:c>
      <ns0:c r="E297" s="8" t="str">
        <ns0:v>C10</ns0:v>
      </ns0:c>
      <ns0:c r="F297" s="12" t="d">
        <ns0:v>2026-10-12T00:00:00.000Z</ns0:v>
      </ns0:c>
      <ns0:c r="G297" s="8" t="n">
        <ns0:v>3</ns0:v>
      </ns0:c>
      <ns0:c r="H297" s="8" t="str">
        <ns0:v>승인</ns0:v>
      </ns0:c>
      <ns0:c r="I297" s="14" t="n">
        <ns0:v>0.125</ns0:v>
      </ns0:c>
      <ns0:c r="J297" s="16"/>
      <ns0:c r="K297" s="8" t="n">
        <ns0:v>1</ns0:v>
      </ns0:c>
      <ns0:c r="L297" s="8"/>
      <ns0:c r="M297" s="8" t="str">
        <ns0:v>B</ns0:v>
      </ns0:c>
    </ns0:row>
    <ns0:row r="298" ht="23" customHeight="1">
      <ns0:c r="B298" s="10" t="str">
        <ns0:v>APP000293</ns0:v>
      </ns0:c>
      <ns0:c r="C298" s="10" t="str">
        <ns0:v>000133</ns0:v>
      </ns0:c>
      <ns0:c r="D298" s="8" t="str">
        <ns0:v>개발</ns0:v>
      </ns0:c>
      <ns0:c r="E298" s="8" t="str">
        <ns0:v>C05</ns0:v>
      </ns0:c>
      <ns0:c r="F298" s="12" t="d">
        <ns0:v>2026-10-13T00:00:00.000Z</ns0:v>
      </ns0:c>
      <ns0:c r="G298" s="8" t="n">
        <ns0:v>4</ns0:v>
      </ns0:c>
      <ns0:c r="H298" s="8" t="str">
        <ns0:v>승인</ns0:v>
      </ns0:c>
      <ns0:c r="I298" s="14" t="n">
        <ns0:v>0</ns0:v>
      </ns0:c>
      <ns0:c r="J298" s="16"/>
      <ns0:c r="K298" s="8" t="n">
        <ns0:v>1</ns0:v>
      </ns0:c>
      <ns0:c r="L298" s="8"/>
      <ns0:c r="M298" s="8" t="str">
        <ns0:v>B</ns0:v>
      </ns0:c>
    </ns0:row>
    <ns0:row r="299" ht="23" customHeight="1">
      <ns0:c r="B299" s="10" t="str">
        <ns0:v>APP000294</ns0:v>
      </ns0:c>
      <ns0:c r="C299" s="10" t="str">
        <ns0:v>000134</ns0:v>
      </ns0:c>
      <ns0:c r="D299" s="8" t="str">
        <ns0:v>생산</ns0:v>
      </ns0:c>
      <ns0:c r="E299" s="8" t="str">
        <ns0:v>C12</ns0:v>
      </ns0:c>
      <ns0:c r="F299" s="12" t="d">
        <ns0:v>2026-10-14T00:00:00.000Z</ns0:v>
      </ns0:c>
      <ns0:c r="G299" s="8" t="n">
        <ns0:v>5</ns0:v>
      </ns0:c>
      <ns0:c r="H299" s="8" t="str">
        <ns0:v>승인</ns0:v>
      </ns0:c>
      <ns0:c r="I299" s="14" t="n">
        <ns0:v>0.05</ns0:v>
      </ns0:c>
      <ns0:c r="J299" s="16"/>
      <ns0:c r="K299" s="8" t="n">
        <ns0:v>1</ns0:v>
      </ns0:c>
      <ns0:c r="L299" s="8"/>
      <ns0:c r="M299" s="8" t="str">
        <ns0:v>B</ns0:v>
      </ns0:c>
    </ns0:row>
    <ns0:row r="300" ht="23" customHeight="1">
      <ns0:c r="B300" s="10" t="str">
        <ns0:v>APP000295</ns0:v>
      </ns0:c>
      <ns0:c r="C300" s="10" t="str">
        <ns0:v>000135</ns0:v>
      </ns0:c>
      <ns0:c r="D300" s="8" t="str">
        <ns0:v>품질</ns0:v>
      </ns0:c>
      <ns0:c r="E300" s="8" t="str">
        <ns0:v>C07</ns0:v>
      </ns0:c>
      <ns0:c r="F300" s="12" t="d">
        <ns0:v>2026-10-15T00:00:00.000Z</ns0:v>
      </ns0:c>
      <ns0:c r="G300" s="8" t="n">
        <ns0:v>0</ns0:v>
      </ns0:c>
      <ns0:c r="H300" s="8" t="str">
        <ns0:v>대기</ns0:v>
      </ns0:c>
      <ns0:c r="I300" s="14" t="n">
        <ns0:v>0.1</ns0:v>
      </ns0:c>
      <ns0:c r="J300" s="16"/>
      <ns0:c r="K300" s="8" t="n">
        <ns0:v>1</ns0:v>
      </ns0:c>
      <ns0:c r="L300" s="8"/>
      <ns0:c r="M300" s="8" t="str">
        <ns0:v>B</ns0:v>
      </ns0:c>
    </ns0:row>
    <ns0:row r="301" ht="23" customHeight="1">
      <ns0:c r="B301" s="10" t="str">
        <ns0:v>APP000296</ns0:v>
      </ns0:c>
      <ns0:c r="C301" s="10" t="str">
        <ns0:v>000136</ns0:v>
      </ns0:c>
      <ns0:c r="D301" s="8" t="str">
        <ns0:v>기획</ns0:v>
      </ns0:c>
      <ns0:c r="E301" s="8" t="str">
        <ns0:v>C02</ns0:v>
      </ns0:c>
      <ns0:c r="F301" s="12" t="d">
        <ns0:v>2026-10-16T00:00:00.000Z</ns0:v>
      </ns0:c>
      <ns0:c r="G301" s="8" t="n">
        <ns0:v>1</ns0:v>
      </ns0:c>
      <ns0:c r="H301" s="8" t="str">
        <ns0:v>승인</ns0:v>
      </ns0:c>
      <ns0:c r="I301" s="14" t="n">
        <ns0:v>0.125</ns0:v>
      </ns0:c>
      <ns0:c r="J301" s="16"/>
      <ns0:c r="K301" s="8" t="n">
        <ns0:v>1</ns0:v>
      </ns0:c>
      <ns0:c r="L301" s="8"/>
      <ns0:c r="M301" s="8" t="str">
        <ns0:v>B</ns0:v>
      </ns0:c>
    </ns0:row>
    <ns0:row r="302" ht="23" customHeight="1">
      <ns0:c r="B302" s="10" t="str">
        <ns0:v>APP000297</ns0:v>
      </ns0:c>
      <ns0:c r="C302" s="10" t="str">
        <ns0:v>000137</ns0:v>
      </ns0:c>
      <ns0:c r="D302" s="8" t="str">
        <ns0:v>영업</ns0:v>
      </ns0:c>
      <ns0:c r="E302" s="8" t="str">
        <ns0:v>C09</ns0:v>
      </ns0:c>
      <ns0:c r="F302" s="12" t="d">
        <ns0:v>2026-10-17T00:00:00.000Z</ns0:v>
      </ns0:c>
      <ns0:c r="G302" s="8" t="n">
        <ns0:v>2</ns0:v>
      </ns0:c>
      <ns0:c r="H302" s="8" t="str">
        <ns0:v>승인</ns0:v>
      </ns0:c>
      <ns0:c r="I302" s="14" t="n">
        <ns0:v>0</ns0:v>
      </ns0:c>
      <ns0:c r="J302" s="16"/>
      <ns0:c r="K302" s="8" t="n">
        <ns0:v>1</ns0:v>
      </ns0:c>
      <ns0:c r="L302" s="8"/>
      <ns0:c r="M302" s="8" t="str">
        <ns0:v>B</ns0:v>
      </ns0:c>
    </ns0:row>
    <ns0:row r="303" ht="23" customHeight="1">
      <ns0:c r="B303" s="10" t="str">
        <ns0:v>APP000298</ns0:v>
      </ns0:c>
      <ns0:c r="C303" s="10" t="str">
        <ns0:v>000138</ns0:v>
      </ns0:c>
      <ns0:c r="D303" s="8" t="str">
        <ns0:v>지원</ns0:v>
      </ns0:c>
      <ns0:c r="E303" s="8" t="str">
        <ns0:v>C04</ns0:v>
      </ns0:c>
      <ns0:c r="F303" s="12" t="d">
        <ns0:v>2026-10-18T00:00:00.000Z</ns0:v>
      </ns0:c>
      <ns0:c r="G303" s="8" t="n">
        <ns0:v>3</ns0:v>
      </ns0:c>
      <ns0:c r="H303" s="8" t="str">
        <ns0:v>취소</ns0:v>
      </ns0:c>
      <ns0:c r="I303" s="14" t="n">
        <ns0:v>0.05</ns0:v>
      </ns0:c>
      <ns0:c r="J303" s="16"/>
      <ns0:c r="K303" s="8" t="n">
        <ns0:v>1</ns0:v>
      </ns0:c>
      <ns0:c r="L303" s="8"/>
      <ns0:c r="M303" s="8" t="str">
        <ns0:v>B</ns0:v>
      </ns0:c>
    </ns0:row>
    <ns0:row r="304" ht="23" customHeight="1">
      <ns0:c r="B304" s="10" t="str">
        <ns0:v>APP000299</ns0:v>
      </ns0:c>
      <ns0:c r="C304" s="10" t="str">
        <ns0:v>000139</ns0:v>
      </ns0:c>
      <ns0:c r="D304" s="8" t="str">
        <ns0:v>개발</ns0:v>
      </ns0:c>
      <ns0:c r="E304" s="8" t="str">
        <ns0:v>C11</ns0:v>
      </ns0:c>
      <ns0:c r="F304" s="12" t="d">
        <ns0:v>2026-10-19T00:00:00.000Z</ns0:v>
      </ns0:c>
      <ns0:c r="G304" s="8" t="n">
        <ns0:v>4</ns0:v>
      </ns0:c>
      <ns0:c r="H304" s="8" t="str">
        <ns0:v>승인</ns0:v>
      </ns0:c>
      <ns0:c r="I304" s="14" t="n">
        <ns0:v>0.1</ns0:v>
      </ns0:c>
      <ns0:c r="J304" s="16"/>
      <ns0:c r="K304" s="8" t="n">
        <ns0:v>1</ns0:v>
      </ns0:c>
      <ns0:c r="L304" s="8"/>
      <ns0:c r="M304" s="8" t="str">
        <ns0:v>B</ns0:v>
      </ns0:c>
    </ns0:row>
    <ns0:row r="305" ht="23" customHeight="1">
      <ns0:c r="B305" s="10" t="str">
        <ns0:v>APP000300</ns0:v>
      </ns0:c>
      <ns0:c r="C305" s="10" t="str">
        <ns0:v>000140</ns0:v>
      </ns0:c>
      <ns0:c r="D305" s="8" t="str">
        <ns0:v>생산</ns0:v>
      </ns0:c>
      <ns0:c r="E305" s="8" t="str">
        <ns0:v>C06</ns0:v>
      </ns0:c>
      <ns0:c r="F305" s="12" t="d">
        <ns0:v>2026-10-20T00:00:00.000Z</ns0:v>
      </ns0:c>
      <ns0:c r="G305" s="8" t="n">
        <ns0:v>5</ns0:v>
      </ns0:c>
      <ns0:c r="H305" s="8" t="str">
        <ns0:v>승인</ns0:v>
      </ns0:c>
      <ns0:c r="I305" s="14" t="n">
        <ns0:v>0.125</ns0:v>
      </ns0:c>
      <ns0:c r="J305" s="16"/>
      <ns0:c r="K305" s="8" t="n">
        <ns0:v>1</ns0:v>
      </ns0:c>
      <ns0:c r="L305" s="8"/>
      <ns0:c r="M305" s="8" t="str">
        <ns0:v>B</ns0:v>
      </ns0:c>
    </ns0:row>
    <ns0:row r="306" ht="23" customHeight="1">
      <ns0:c r="B306" s="10" t="str">
        <ns0:v>APP000301</ns0:v>
      </ns0:c>
      <ns0:c r="C306" s="10" t="str">
        <ns0:v>000141</ns0:v>
      </ns0:c>
      <ns0:c r="D306" s="8" t="str">
        <ns0:v>품질</ns0:v>
      </ns0:c>
      <ns0:c r="E306" s="8" t="str">
        <ns0:v>C01</ns0:v>
      </ns0:c>
      <ns0:c r="F306" s="12" t="d">
        <ns0:v>2026-10-21T00:00:00.000Z</ns0:v>
      </ns0:c>
      <ns0:c r="G306" s="8" t="n">
        <ns0:v>0</ns0:v>
      </ns0:c>
      <ns0:c r="H306" s="8" t="str">
        <ns0:v>승인</ns0:v>
      </ns0:c>
      <ns0:c r="I306" s="14" t="n">
        <ns0:v>0</ns0:v>
      </ns0:c>
      <ns0:c r="J306" s="16"/>
      <ns0:c r="K306" s="8" t="n">
        <ns0:v>1</ns0:v>
      </ns0:c>
      <ns0:c r="L306" s="8"/>
      <ns0:c r="M306" s="8" t="str">
        <ns0:v>B</ns0:v>
      </ns0:c>
    </ns0:row>
    <ns0:row r="307" ht="23" customHeight="1">
      <ns0:c r="B307" s="10" t="str">
        <ns0:v>APP000302</ns0:v>
      </ns0:c>
      <ns0:c r="C307" s="10" t="str">
        <ns0:v>000142</ns0:v>
      </ns0:c>
      <ns0:c r="D307" s="8" t="str">
        <ns0:v>기획</ns0:v>
      </ns0:c>
      <ns0:c r="E307" s="8" t="str">
        <ns0:v>C08</ns0:v>
      </ns0:c>
      <ns0:c r="F307" s="12" t="d">
        <ns0:v>2026-10-22T00:00:00.000Z</ns0:v>
      </ns0:c>
      <ns0:c r="G307" s="8" t="n">
        <ns0:v>1</ns0:v>
      </ns0:c>
      <ns0:c r="H307" s="8" t="str">
        <ns0:v>대기</ns0:v>
      </ns0:c>
      <ns0:c r="I307" s="14" t="n">
        <ns0:v>0.05</ns0:v>
      </ns0:c>
      <ns0:c r="J307" s="16"/>
      <ns0:c r="K307" s="8" t="n">
        <ns0:v>1</ns0:v>
      </ns0:c>
      <ns0:c r="L307" s="8"/>
      <ns0:c r="M307" s="8" t="str">
        <ns0:v>B</ns0:v>
      </ns0:c>
    </ns0:row>
    <ns0:row r="308" ht="23" customHeight="1">
      <ns0:c r="B308" s="10" t="str">
        <ns0:v>APP000303</ns0:v>
      </ns0:c>
      <ns0:c r="C308" s="10" t="str">
        <ns0:v>000143</ns0:v>
      </ns0:c>
      <ns0:c r="D308" s="8" t="str">
        <ns0:v>영업</ns0:v>
      </ns0:c>
      <ns0:c r="E308" s="8" t="str">
        <ns0:v>C03</ns0:v>
      </ns0:c>
      <ns0:c r="F308" s="12" t="d">
        <ns0:v>2026-10-23T00:00:00.000Z</ns0:v>
      </ns0:c>
      <ns0:c r="G308" s="8" t="n">
        <ns0:v>2</ns0:v>
      </ns0:c>
      <ns0:c r="H308" s="8" t="str">
        <ns0:v>승인</ns0:v>
      </ns0:c>
      <ns0:c r="I308" s="14" t="n">
        <ns0:v>0.1</ns0:v>
      </ns0:c>
      <ns0:c r="J308" s="16"/>
      <ns0:c r="K308" s="8" t="n">
        <ns0:v>1</ns0:v>
      </ns0:c>
      <ns0:c r="L308" s="8"/>
      <ns0:c r="M308" s="8" t="str">
        <ns0:v>B</ns0:v>
      </ns0:c>
    </ns0:row>
    <ns0:row r="309" ht="23" customHeight="1">
      <ns0:c r="B309" s="10" t="str">
        <ns0:v>APP000304</ns0:v>
      </ns0:c>
      <ns0:c r="C309" s="10" t="str">
        <ns0:v>000144</ns0:v>
      </ns0:c>
      <ns0:c r="D309" s="8" t="str">
        <ns0:v>지원</ns0:v>
      </ns0:c>
      <ns0:c r="E309" s="8" t="str">
        <ns0:v>C10</ns0:v>
      </ns0:c>
      <ns0:c r="F309" s="12" t="d">
        <ns0:v>2026-10-24T00:00:00.000Z</ns0:v>
      </ns0:c>
      <ns0:c r="G309" s="8" t="n">
        <ns0:v>3</ns0:v>
      </ns0:c>
      <ns0:c r="H309" s="8" t="str">
        <ns0:v>승인</ns0:v>
      </ns0:c>
      <ns0:c r="I309" s="14" t="n">
        <ns0:v>0.125</ns0:v>
      </ns0:c>
      <ns0:c r="J309" s="16"/>
      <ns0:c r="K309" s="8" t="n">
        <ns0:v>1</ns0:v>
      </ns0:c>
      <ns0:c r="L309" s="8"/>
      <ns0:c r="M309" s="8" t="str">
        <ns0:v>B</ns0:v>
      </ns0:c>
    </ns0:row>
    <ns0:row r="310" ht="23" customHeight="1">
      <ns0:c r="B310" s="10" t="str">
        <ns0:v>APP000305</ns0:v>
      </ns0:c>
      <ns0:c r="C310" s="10" t="str">
        <ns0:v>000145</ns0:v>
      </ns0:c>
      <ns0:c r="D310" s="8" t="str">
        <ns0:v>개발</ns0:v>
      </ns0:c>
      <ns0:c r="E310" s="8" t="str">
        <ns0:v>C05</ns0:v>
      </ns0:c>
      <ns0:c r="F310" s="12" t="d">
        <ns0:v>2026-10-25T00:00:00.000Z</ns0:v>
      </ns0:c>
      <ns0:c r="G310" s="8" t="n">
        <ns0:v>4</ns0:v>
      </ns0:c>
      <ns0:c r="H310" s="8" t="str">
        <ns0:v>승인</ns0:v>
      </ns0:c>
      <ns0:c r="I310" s="14" t="n">
        <ns0:v>0</ns0:v>
      </ns0:c>
      <ns0:c r="J310" s="16"/>
      <ns0:c r="K310" s="8" t="n">
        <ns0:v>1</ns0:v>
      </ns0:c>
      <ns0:c r="L310" s="8"/>
      <ns0:c r="M310" s="8" t="str">
        <ns0:v>B</ns0:v>
      </ns0:c>
    </ns0:row>
    <ns0:row r="311" ht="23" customHeight="1">
      <ns0:c r="B311" s="10" t="str">
        <ns0:v>APP000306</ns0:v>
      </ns0:c>
      <ns0:c r="C311" s="10" t="str">
        <ns0:v>000146</ns0:v>
      </ns0:c>
      <ns0:c r="D311" s="8" t="str">
        <ns0:v>생산</ns0:v>
      </ns0:c>
      <ns0:c r="E311" s="8" t="str">
        <ns0:v>C12</ns0:v>
      </ns0:c>
      <ns0:c r="F311" s="12" t="d">
        <ns0:v>2026-10-26T00:00:00.000Z</ns0:v>
      </ns0:c>
      <ns0:c r="G311" s="8" t="n">
        <ns0:v>5</ns0:v>
      </ns0:c>
      <ns0:c r="H311" s="8" t="str">
        <ns0:v>승인</ns0:v>
      </ns0:c>
      <ns0:c r="I311" s="14" t="n">
        <ns0:v>0.05</ns0:v>
      </ns0:c>
      <ns0:c r="J311" s="16"/>
      <ns0:c r="K311" s="8" t="n">
        <ns0:v>1</ns0:v>
      </ns0:c>
      <ns0:c r="L311" s="8"/>
      <ns0:c r="M311" s="8" t="str">
        <ns0:v>B</ns0:v>
      </ns0:c>
    </ns0:row>
    <ns0:row r="312" ht="23" customHeight="1">
      <ns0:c r="B312" s="10" t="str">
        <ns0:v>APP000307</ns0:v>
      </ns0:c>
      <ns0:c r="C312" s="10" t="str">
        <ns0:v>000147</ns0:v>
      </ns0:c>
      <ns0:c r="D312" s="8" t="str">
        <ns0:v>품질</ns0:v>
      </ns0:c>
      <ns0:c r="E312" s="8" t="str">
        <ns0:v>C07</ns0:v>
      </ns0:c>
      <ns0:c r="F312" s="12" t="d">
        <ns0:v>2026-10-27T00:00:00.000Z</ns0:v>
      </ns0:c>
      <ns0:c r="G312" s="8" t="n">
        <ns0:v>0</ns0:v>
      </ns0:c>
      <ns0:c r="H312" s="8" t="str">
        <ns0:v>승인</ns0:v>
      </ns0:c>
      <ns0:c r="I312" s="14" t="n">
        <ns0:v>0.1</ns0:v>
      </ns0:c>
      <ns0:c r="J312" s="16"/>
      <ns0:c r="K312" s="8" t="n">
        <ns0:v>1</ns0:v>
      </ns0:c>
      <ns0:c r="L312" s="8"/>
      <ns0:c r="M312" s="8" t="str">
        <ns0:v>B</ns0:v>
      </ns0:c>
    </ns0:row>
    <ns0:row r="313" ht="23" customHeight="1">
      <ns0:c r="B313" s="10" t="str">
        <ns0:v>APP000308</ns0:v>
      </ns0:c>
      <ns0:c r="C313" s="10" t="str">
        <ns0:v>000148</ns0:v>
      </ns0:c>
      <ns0:c r="D313" s="8" t="str">
        <ns0:v>기획</ns0:v>
      </ns0:c>
      <ns0:c r="E313" s="8" t="str">
        <ns0:v>C02</ns0:v>
      </ns0:c>
      <ns0:c r="F313" s="12" t="d">
        <ns0:v>2026-10-28T00:00:00.000Z</ns0:v>
      </ns0:c>
      <ns0:c r="G313" s="8" t="n">
        <ns0:v>1</ns0:v>
      </ns0:c>
      <ns0:c r="H313" s="8" t="str">
        <ns0:v>승인</ns0:v>
      </ns0:c>
      <ns0:c r="I313" s="14" t="n">
        <ns0:v>0.125</ns0:v>
      </ns0:c>
      <ns0:c r="J313" s="16"/>
      <ns0:c r="K313" s="8" t="n">
        <ns0:v>1</ns0:v>
      </ns0:c>
      <ns0:c r="L313" s="8"/>
      <ns0:c r="M313" s="8" t="str">
        <ns0:v>B</ns0:v>
      </ns0:c>
    </ns0:row>
    <ns0:row r="314" ht="23" customHeight="1">
      <ns0:c r="B314" s="10" t="str">
        <ns0:v>APP000309</ns0:v>
      </ns0:c>
      <ns0:c r="C314" s="10" t="str">
        <ns0:v>000149</ns0:v>
      </ns0:c>
      <ns0:c r="D314" s="8" t="str">
        <ns0:v>영업</ns0:v>
      </ns0:c>
      <ns0:c r="E314" s="8" t="str">
        <ns0:v>C09</ns0:v>
      </ns0:c>
      <ns0:c r="F314" s="12" t="d">
        <ns0:v>2026-10-01T00:00:00.000Z</ns0:v>
      </ns0:c>
      <ns0:c r="G314" s="8" t="n">
        <ns0:v>2</ns0:v>
      </ns0:c>
      <ns0:c r="H314" s="8" t="str">
        <ns0:v>취소</ns0:v>
      </ns0:c>
      <ns0:c r="I314" s="14" t="n">
        <ns0:v>0</ns0:v>
      </ns0:c>
      <ns0:c r="J314" s="16"/>
      <ns0:c r="K314" s="8" t="n">
        <ns0:v>1</ns0:v>
      </ns0:c>
      <ns0:c r="L314" s="8"/>
      <ns0:c r="M314" s="8" t="str">
        <ns0:v>B</ns0:v>
      </ns0:c>
    </ns0:row>
    <ns0:row r="315" ht="23" customHeight="1">
      <ns0:c r="B315" s="10" t="str">
        <ns0:v>APP000310</ns0:v>
      </ns0:c>
      <ns0:c r="C315" s="10" t="str">
        <ns0:v>000150</ns0:v>
      </ns0:c>
      <ns0:c r="D315" s="8" t="str">
        <ns0:v>지원</ns0:v>
      </ns0:c>
      <ns0:c r="E315" s="8" t="str">
        <ns0:v>C04</ns0:v>
      </ns0:c>
      <ns0:c r="F315" s="12" t="d">
        <ns0:v>2026-10-02T00:00:00.000Z</ns0:v>
      </ns0:c>
      <ns0:c r="G315" s="8" t="n">
        <ns0:v>3</ns0:v>
      </ns0:c>
      <ns0:c r="H315" s="8" t="str">
        <ns0:v>승인</ns0:v>
      </ns0:c>
      <ns0:c r="I315" s="14" t="n">
        <ns0:v>0.05</ns0:v>
      </ns0:c>
      <ns0:c r="J315" s="16"/>
      <ns0:c r="K315" s="8" t="n">
        <ns0:v>1</ns0:v>
      </ns0:c>
      <ns0:c r="L315" s="8"/>
      <ns0:c r="M315" s="8" t="str">
        <ns0:v>B</ns0:v>
      </ns0:c>
    </ns0:row>
    <ns0:row r="316" ht="23" customHeight="1">
      <ns0:c r="B316" s="10" t="str">
        <ns0:v>APP000311</ns0:v>
      </ns0:c>
      <ns0:c r="C316" s="10" t="str">
        <ns0:v>000151</ns0:v>
      </ns0:c>
      <ns0:c r="D316" s="8" t="str">
        <ns0:v>개발</ns0:v>
      </ns0:c>
      <ns0:c r="E316" s="8" t="str">
        <ns0:v>C11</ns0:v>
      </ns0:c>
      <ns0:c r="F316" s="12" t="d">
        <ns0:v>2026-10-03T00:00:00.000Z</ns0:v>
      </ns0:c>
      <ns0:c r="G316" s="8" t="n">
        <ns0:v>4</ns0:v>
      </ns0:c>
      <ns0:c r="H316" s="8" t="str">
        <ns0:v>승인</ns0:v>
      </ns0:c>
      <ns0:c r="I316" s="14" t="n">
        <ns0:v>0.1</ns0:v>
      </ns0:c>
      <ns0:c r="J316" s="16"/>
      <ns0:c r="K316" s="8" t="n">
        <ns0:v>1</ns0:v>
      </ns0:c>
      <ns0:c r="L316" s="8"/>
      <ns0:c r="M316" s="8" t="str">
        <ns0:v>B</ns0:v>
      </ns0:c>
    </ns0:row>
    <ns0:row r="317" ht="23" customHeight="1">
      <ns0:c r="B317" s="10" t="str">
        <ns0:v>APP000312</ns0:v>
      </ns0:c>
      <ns0:c r="C317" s="10" t="str">
        <ns0:v>000152</ns0:v>
      </ns0:c>
      <ns0:c r="D317" s="8" t="str">
        <ns0:v>생산</ns0:v>
      </ns0:c>
      <ns0:c r="E317" s="8" t="str">
        <ns0:v>C06</ns0:v>
      </ns0:c>
      <ns0:c r="F317" s="12" t="d">
        <ns0:v>2026-10-04T00:00:00.000Z</ns0:v>
      </ns0:c>
      <ns0:c r="G317" s="8" t="n">
        <ns0:v>5</ns0:v>
      </ns0:c>
      <ns0:c r="H317" s="8" t="str">
        <ns0:v>승인</ns0:v>
      </ns0:c>
      <ns0:c r="I317" s="14" t="n">
        <ns0:v>0.125</ns0:v>
      </ns0:c>
      <ns0:c r="J317" s="16"/>
      <ns0:c r="K317" s="8" t="n">
        <ns0:v>1</ns0:v>
      </ns0:c>
      <ns0:c r="L317" s="8"/>
      <ns0:c r="M317" s="8" t="str">
        <ns0:v>B</ns0:v>
      </ns0:c>
    </ns0:row>
    <ns0:row r="318" ht="23" customHeight="1">
      <ns0:c r="B318" s="10" t="str">
        <ns0:v>APP000313</ns0:v>
      </ns0:c>
      <ns0:c r="C318" s="10" t="str">
        <ns0:v>000153</ns0:v>
      </ns0:c>
      <ns0:c r="D318" s="8" t="str">
        <ns0:v>품질</ns0:v>
      </ns0:c>
      <ns0:c r="E318" s="8" t="str">
        <ns0:v>C01</ns0:v>
      </ns0:c>
      <ns0:c r="F318" s="12" t="d">
        <ns0:v>2026-10-05T00:00:00.000Z</ns0:v>
      </ns0:c>
      <ns0:c r="G318" s="8" t="n">
        <ns0:v>0</ns0:v>
      </ns0:c>
      <ns0:c r="H318" s="8" t="str">
        <ns0:v>승인</ns0:v>
      </ns0:c>
      <ns0:c r="I318" s="14" t="n">
        <ns0:v>0</ns0:v>
      </ns0:c>
      <ns0:c r="J318" s="16"/>
      <ns0:c r="K318" s="8" t="n">
        <ns0:v>1</ns0:v>
      </ns0:c>
      <ns0:c r="L318" s="8"/>
      <ns0:c r="M318" s="8" t="str">
        <ns0:v>B</ns0:v>
      </ns0:c>
    </ns0:row>
    <ns0:row r="319" ht="23" customHeight="1">
      <ns0:c r="B319" s="10" t="str">
        <ns0:v>APP000314</ns0:v>
      </ns0:c>
      <ns0:c r="C319" s="10" t="str">
        <ns0:v>000154</ns0:v>
      </ns0:c>
      <ns0:c r="D319" s="8" t="str">
        <ns0:v>기획</ns0:v>
      </ns0:c>
      <ns0:c r="E319" s="8" t="str">
        <ns0:v>C08</ns0:v>
      </ns0:c>
      <ns0:c r="F319" s="12" t="d">
        <ns0:v>2026-10-06T00:00:00.000Z</ns0:v>
      </ns0:c>
      <ns0:c r="G319" s="8" t="n">
        <ns0:v>1</ns0:v>
      </ns0:c>
      <ns0:c r="H319" s="8" t="str">
        <ns0:v>승인</ns0:v>
      </ns0:c>
      <ns0:c r="I319" s="14" t="n">
        <ns0:v>0.05</ns0:v>
      </ns0:c>
      <ns0:c r="J319" s="16"/>
      <ns0:c r="K319" s="8" t="n">
        <ns0:v>1</ns0:v>
      </ns0:c>
      <ns0:c r="L319" s="8"/>
      <ns0:c r="M319" s="8" t="str">
        <ns0:v>B</ns0:v>
      </ns0:c>
    </ns0:row>
    <ns0:row r="320" ht="23" customHeight="1">
      <ns0:c r="B320" s="10" t="str">
        <ns0:v>APP000315</ns0:v>
      </ns0:c>
      <ns0:c r="C320" s="10" t="str">
        <ns0:v>000155</ns0:v>
      </ns0:c>
      <ns0:c r="D320" s="8" t="str">
        <ns0:v>영업</ns0:v>
      </ns0:c>
      <ns0:c r="E320" s="8" t="str">
        <ns0:v>C03</ns0:v>
      </ns0:c>
      <ns0:c r="F320" s="12" t="d">
        <ns0:v>2026-10-07T00:00:00.000Z</ns0:v>
      </ns0:c>
      <ns0:c r="G320" s="8" t="n">
        <ns0:v>2</ns0:v>
      </ns0:c>
      <ns0:c r="H320" s="8" t="str">
        <ns0:v>승인</ns0:v>
      </ns0:c>
      <ns0:c r="I320" s="14" t="n">
        <ns0:v>0.1</ns0:v>
      </ns0:c>
      <ns0:c r="J320" s="16"/>
      <ns0:c r="K320" s="8" t="n">
        <ns0:v>1</ns0:v>
      </ns0:c>
      <ns0:c r="L320" s="8"/>
      <ns0:c r="M320" s="8" t="str">
        <ns0:v>B</ns0:v>
      </ns0:c>
    </ns0:row>
    <ns0:row r="321" ht="23" customHeight="1">
      <ns0:c r="B321" s="10" t="str">
        <ns0:v>APP000316</ns0:v>
      </ns0:c>
      <ns0:c r="C321" s="10" t="str">
        <ns0:v>000156</ns0:v>
      </ns0:c>
      <ns0:c r="D321" s="8" t="str">
        <ns0:v>지원</ns0:v>
      </ns0:c>
      <ns0:c r="E321" s="8" t="str">
        <ns0:v>C10</ns0:v>
      </ns0:c>
      <ns0:c r="F321" s="12" t="d">
        <ns0:v>2026-10-08T00:00:00.000Z</ns0:v>
      </ns0:c>
      <ns0:c r="G321" s="8" t="n">
        <ns0:v>3</ns0:v>
      </ns0:c>
      <ns0:c r="H321" s="8" t="str">
        <ns0:v>대기</ns0:v>
      </ns0:c>
      <ns0:c r="I321" s="14" t="n">
        <ns0:v>0.125</ns0:v>
      </ns0:c>
      <ns0:c r="J321" s="16"/>
      <ns0:c r="K321" s="8" t="n">
        <ns0:v>1</ns0:v>
      </ns0:c>
      <ns0:c r="L321" s="8"/>
      <ns0:c r="M321" s="8" t="str">
        <ns0:v>B</ns0:v>
      </ns0:c>
    </ns0:row>
    <ns0:row r="322" ht="23" customHeight="1">
      <ns0:c r="B322" s="10" t="str">
        <ns0:v>APP000317</ns0:v>
      </ns0:c>
      <ns0:c r="C322" s="10" t="str">
        <ns0:v>000157</ns0:v>
      </ns0:c>
      <ns0:c r="D322" s="8" t="str">
        <ns0:v>개발</ns0:v>
      </ns0:c>
      <ns0:c r="E322" s="8" t="str">
        <ns0:v>C05</ns0:v>
      </ns0:c>
      <ns0:c r="F322" s="12" t="d">
        <ns0:v>2026-10-09T00:00:00.000Z</ns0:v>
      </ns0:c>
      <ns0:c r="G322" s="8" t="n">
        <ns0:v>4</ns0:v>
      </ns0:c>
      <ns0:c r="H322" s="8" t="str">
        <ns0:v>승인</ns0:v>
      </ns0:c>
      <ns0:c r="I322" s="14" t="n">
        <ns0:v>0</ns0:v>
      </ns0:c>
      <ns0:c r="J322" s="16" t="n">
        <ns0:v>12345</ns0:v>
      </ns0:c>
      <ns0:c r="K322" s="8" t="n">
        <ns0:v>1</ns0:v>
      </ns0:c>
      <ns0:c r="L322" s="8"/>
      <ns0:c r="M322" s="8" t="str">
        <ns0:v>B</ns0:v>
      </ns0:c>
    </ns0:row>
    <ns0:row r="323" ht="23" customHeight="1">
      <ns0:c r="B323" s="10" t="str">
        <ns0:v>APP000318</ns0:v>
      </ns0:c>
      <ns0:c r="C323" s="10" t="str">
        <ns0:v>000158</ns0:v>
      </ns0:c>
      <ns0:c r="D323" s="8" t="str">
        <ns0:v>생산</ns0:v>
      </ns0:c>
      <ns0:c r="E323" s="8" t="str">
        <ns0:v>C12</ns0:v>
      </ns0:c>
      <ns0:c r="F323" s="12" t="d">
        <ns0:v>2026-10-10T00:00:00.000Z</ns0:v>
      </ns0:c>
      <ns0:c r="G323" s="8" t="n">
        <ns0:v>5</ns0:v>
      </ns0:c>
      <ns0:c r="H323" s="8" t="str">
        <ns0:v>승인</ns0:v>
      </ns0:c>
      <ns0:c r="I323" s="14" t="n">
        <ns0:v>0.05</ns0:v>
      </ns0:c>
      <ns0:c r="J323" s="16"/>
      <ns0:c r="K323" s="8" t="n">
        <ns0:v>1</ns0:v>
      </ns0:c>
      <ns0:c r="L323" s="8"/>
      <ns0:c r="M323" s="8" t="str">
        <ns0:v>B</ns0:v>
      </ns0:c>
    </ns0:row>
    <ns0:row r="324" ht="23" customHeight="1">
      <ns0:c r="B324" s="10" t="str">
        <ns0:v>APP000319</ns0:v>
      </ns0:c>
      <ns0:c r="C324" s="10" t="str">
        <ns0:v>000159</ns0:v>
      </ns0:c>
      <ns0:c r="D324" s="8" t="str">
        <ns0:v>품질</ns0:v>
      </ns0:c>
      <ns0:c r="E324" s="8" t="str">
        <ns0:v>C07</ns0:v>
      </ns0:c>
      <ns0:c r="F324" s="12" t="d">
        <ns0:v>2026-10-11T00:00:00.000Z</ns0:v>
      </ns0:c>
      <ns0:c r="G324" s="8" t="n">
        <ns0:v>0</ns0:v>
      </ns0:c>
      <ns0:c r="H324" s="8" t="str">
        <ns0:v>승인</ns0:v>
      </ns0:c>
      <ns0:c r="I324" s="14" t="n">
        <ns0:v>0.1</ns0:v>
      </ns0:c>
      <ns0:c r="J324" s="16" t="n">
        <ns0:v>0</ns0:v>
      </ns0:c>
      <ns0:c r="K324" s="8" t="n">
        <ns0:v>1</ns0:v>
      </ns0:c>
      <ns0:c r="L324" s="8" t="str">
        <ns0:v>0원 수동금액 유지</ns0:v>
      </ns0:c>
      <ns0:c r="M324" s="8" t="str">
        <ns0:v>B</ns0:v>
      </ns0:c>
    </ns0:row>
    <ns0:row r="325" ht="23" customHeight="1">
      <ns0:c r="B325" s="10" t="str">
        <ns0:v>APP000320</ns0:v>
      </ns0:c>
      <ns0:c r="C325" s="10" t="str">
        <ns0:v>000160</ns0:v>
      </ns0:c>
      <ns0:c r="D325" s="8" t="str">
        <ns0:v>기획</ns0:v>
      </ns0:c>
      <ns0:c r="E325" s="8" t="str">
        <ns0:v>C02</ns0:v>
      </ns0:c>
      <ns0:c r="F325" s="12" t="d">
        <ns0:v>2026-10-12T00:00:00.000Z</ns0:v>
      </ns0:c>
      <ns0:c r="G325" s="8" t="n">
        <ns0:v>1</ns0:v>
      </ns0:c>
      <ns0:c r="H325" s="8" t="str">
        <ns0:v>취소</ns0:v>
      </ns0:c>
      <ns0:c r="I325" s="14" t="n">
        <ns0:v>0.125</ns0:v>
      </ns0:c>
      <ns0:c r="J325" s="16"/>
      <ns0:c r="K325" s="8" t="n">
        <ns0:v>1</ns0:v>
      </ns0:c>
      <ns0:c r="L325" s="8"/>
      <ns0:c r="M325" s="8" t="str">
        <ns0:v>B</ns0:v>
      </ns0:c>
    </ns0:row>
    <ns0:row r="326" ht="23" customHeight="1">
      <ns0:c r="B326" s="10" t="str">
        <ns0:v>APP000321</ns0:v>
      </ns0:c>
      <ns0:c r="C326" s="10" t="str">
        <ns0:v>000001</ns0:v>
      </ns0:c>
      <ns0:c r="D326" s="8" t="str">
        <ns0:v>개발</ns0:v>
      </ns0:c>
      <ns0:c r="E326" s="8" t="str">
        <ns0:v>C09</ns0:v>
      </ns0:c>
      <ns0:c r="F326" s="12" t="d">
        <ns0:v>2026-10-13T00:00:00.000Z</ns0:v>
      </ns0:c>
      <ns0:c r="G326" s="8" t="n">
        <ns0:v>2</ns0:v>
      </ns0:c>
      <ns0:c r="H326" s="8" t="str">
        <ns0:v>승인</ns0:v>
      </ns0:c>
      <ns0:c r="I326" s="14" t="n">
        <ns0:v>0</ns0:v>
      </ns0:c>
      <ns0:c r="J326" s="16"/>
      <ns0:c r="K326" s="8" t="n">
        <ns0:v>1</ns0:v>
      </ns0:c>
      <ns0:c r="L326" s="8"/>
      <ns0:c r="M326" s="8" t="str">
        <ns0:v>C</ns0:v>
      </ns0:c>
    </ns0:row>
    <ns0:row r="327" ht="23" customHeight="1">
      <ns0:c r="B327" s="10" t="str">
        <ns0:v>APP000322</ns0:v>
      </ns0:c>
      <ns0:c r="C327" s="10" t="str">
        <ns0:v>000002</ns0:v>
      </ns0:c>
      <ns0:c r="D327" s="8" t="str">
        <ns0:v>생산</ns0:v>
      </ns0:c>
      <ns0:c r="E327" s="8" t="str">
        <ns0:v>C04</ns0:v>
      </ns0:c>
      <ns0:c r="F327" s="12" t="d">
        <ns0:v>2026-10-14T00:00:00.000Z</ns0:v>
      </ns0:c>
      <ns0:c r="G327" s="8" t="n">
        <ns0:v>3</ns0:v>
      </ns0:c>
      <ns0:c r="H327" s="8" t="str">
        <ns0:v>승인</ns0:v>
      </ns0:c>
      <ns0:c r="I327" s="14" t="n">
        <ns0:v>0.05</ns0:v>
      </ns0:c>
      <ns0:c r="J327" s="16"/>
      <ns0:c r="K327" s="8" t="n">
        <ns0:v>1</ns0:v>
      </ns0:c>
      <ns0:c r="L327" s="8"/>
      <ns0:c r="M327" s="8" t="str">
        <ns0:v>C</ns0:v>
      </ns0:c>
    </ns0:row>
    <ns0:row r="328" ht="23" customHeight="1">
      <ns0:c r="B328" s="10" t="str">
        <ns0:v>APP000323</ns0:v>
      </ns0:c>
      <ns0:c r="C328" s="10" t="str">
        <ns0:v>000003</ns0:v>
      </ns0:c>
      <ns0:c r="D328" s="8" t="str">
        <ns0:v>품질</ns0:v>
      </ns0:c>
      <ns0:c r="E328" s="8" t="str">
        <ns0:v>C11</ns0:v>
      </ns0:c>
      <ns0:c r="F328" s="12" t="d">
        <ns0:v>2026-10-15T00:00:00.000Z</ns0:v>
      </ns0:c>
      <ns0:c r="G328" s="8" t="n">
        <ns0:v>4</ns0:v>
      </ns0:c>
      <ns0:c r="H328" s="8" t="str">
        <ns0:v>대기</ns0:v>
      </ns0:c>
      <ns0:c r="I328" s="14" t="n">
        <ns0:v>0.1</ns0:v>
      </ns0:c>
      <ns0:c r="J328" s="16"/>
      <ns0:c r="K328" s="8" t="n">
        <ns0:v>1</ns0:v>
      </ns0:c>
      <ns0:c r="L328" s="8"/>
      <ns0:c r="M328" s="8" t="str">
        <ns0:v>C</ns0:v>
      </ns0:c>
    </ns0:row>
    <ns0:row r="329" ht="23" customHeight="1">
      <ns0:c r="B329" s="10" t="str">
        <ns0:v>APP000324</ns0:v>
      </ns0:c>
      <ns0:c r="C329" s="10" t="str">
        <ns0:v>000004</ns0:v>
      </ns0:c>
      <ns0:c r="D329" s="8" t="str">
        <ns0:v>기획</ns0:v>
      </ns0:c>
      <ns0:c r="E329" s="8" t="str">
        <ns0:v>C06</ns0:v>
      </ns0:c>
      <ns0:c r="F329" s="12" t="d">
        <ns0:v>2026-10-16T00:00:00.000Z</ns0:v>
      </ns0:c>
      <ns0:c r="G329" s="8" t="n">
        <ns0:v>5</ns0:v>
      </ns0:c>
      <ns0:c r="H329" s="8" t="str">
        <ns0:v>승인</ns0:v>
      </ns0:c>
      <ns0:c r="I329" s="14" t="n">
        <ns0:v>0.125</ns0:v>
      </ns0:c>
      <ns0:c r="J329" s="16"/>
      <ns0:c r="K329" s="8" t="n">
        <ns0:v>1</ns0:v>
      </ns0:c>
      <ns0:c r="L329" s="8"/>
      <ns0:c r="M329" s="8" t="str">
        <ns0:v>C</ns0:v>
      </ns0:c>
    </ns0:row>
    <ns0:row r="330" ht="23" customHeight="1">
      <ns0:c r="B330" s="10" t="str">
        <ns0:v>APP000325</ns0:v>
      </ns0:c>
      <ns0:c r="C330" s="10" t="str">
        <ns0:v>000005</ns0:v>
      </ns0:c>
      <ns0:c r="D330" s="8" t="str">
        <ns0:v>영업</ns0:v>
      </ns0:c>
      <ns0:c r="E330" s="8" t="str">
        <ns0:v>C01</ns0:v>
      </ns0:c>
      <ns0:c r="F330" s="12" t="d">
        <ns0:v>2026-10-17T00:00:00.000Z</ns0:v>
      </ns0:c>
      <ns0:c r="G330" s="8" t="n">
        <ns0:v>0</ns0:v>
      </ns0:c>
      <ns0:c r="H330" s="8" t="str">
        <ns0:v>승인</ns0:v>
      </ns0:c>
      <ns0:c r="I330" s="14" t="n">
        <ns0:v>0</ns0:v>
      </ns0:c>
      <ns0:c r="J330" s="16"/>
      <ns0:c r="K330" s="8" t="n">
        <ns0:v>1</ns0:v>
      </ns0:c>
      <ns0:c r="L330" s="8"/>
      <ns0:c r="M330" s="8" t="str">
        <ns0:v>C</ns0:v>
      </ns0:c>
    </ns0:row>
    <ns0:row r="331" ht="23" customHeight="1">
      <ns0:c r="B331" s="10" t="str">
        <ns0:v>APP000326</ns0:v>
      </ns0:c>
      <ns0:c r="C331" s="10" t="str">
        <ns0:v>000006</ns0:v>
      </ns0:c>
      <ns0:c r="D331" s="8" t="str">
        <ns0:v>지원</ns0:v>
      </ns0:c>
      <ns0:c r="E331" s="8" t="str">
        <ns0:v>C08</ns0:v>
      </ns0:c>
      <ns0:c r="F331" s="12" t="d">
        <ns0:v>2026-10-18T00:00:00.000Z</ns0:v>
      </ns0:c>
      <ns0:c r="G331" s="8" t="n">
        <ns0:v>1</ns0:v>
      </ns0:c>
      <ns0:c r="H331" s="8" t="str">
        <ns0:v>승인</ns0:v>
      </ns0:c>
      <ns0:c r="I331" s="14" t="n">
        <ns0:v>0.05</ns0:v>
      </ns0:c>
      <ns0:c r="J331" s="16"/>
      <ns0:c r="K331" s="8" t="n">
        <ns0:v>1</ns0:v>
      </ns0:c>
      <ns0:c r="L331" s="8"/>
      <ns0:c r="M331" s="8" t="str">
        <ns0:v>C</ns0:v>
      </ns0:c>
    </ns0:row>
    <ns0:row r="332" ht="23" customHeight="1">
      <ns0:c r="B332" s="10" t="str">
        <ns0:v>APP000327</ns0:v>
      </ns0:c>
      <ns0:c r="C332" s="10" t="str">
        <ns0:v>000007</ns0:v>
      </ns0:c>
      <ns0:c r="D332" s="8" t="str">
        <ns0:v>개발</ns0:v>
      </ns0:c>
      <ns0:c r="E332" s="8" t="str">
        <ns0:v>C03</ns0:v>
      </ns0:c>
      <ns0:c r="F332" s="12" t="d">
        <ns0:v>2026-10-19T00:00:00.000Z</ns0:v>
      </ns0:c>
      <ns0:c r="G332" s="8" t="n">
        <ns0:v>2</ns0:v>
      </ns0:c>
      <ns0:c r="H332" s="8" t="str">
        <ns0:v>승인</ns0:v>
      </ns0:c>
      <ns0:c r="I332" s="14" t="n">
        <ns0:v>0.1</ns0:v>
      </ns0:c>
      <ns0:c r="J332" s="16"/>
      <ns0:c r="K332" s="8" t="n">
        <ns0:v>1</ns0:v>
      </ns0:c>
      <ns0:c r="L332" s="8"/>
      <ns0:c r="M332" s="8" t="str">
        <ns0:v>C</ns0:v>
      </ns0:c>
    </ns0:row>
    <ns0:row r="333" ht="23" customHeight="1">
      <ns0:c r="B333" s="10" t="str">
        <ns0:v>APP000328</ns0:v>
      </ns0:c>
      <ns0:c r="C333" s="10" t="str">
        <ns0:v>000008</ns0:v>
      </ns0:c>
      <ns0:c r="D333" s="8" t="str">
        <ns0:v>생산</ns0:v>
      </ns0:c>
      <ns0:c r="E333" s="8" t="str">
        <ns0:v>C10</ns0:v>
      </ns0:c>
      <ns0:c r="F333" s="12" t="d">
        <ns0:v>2026-10-20T00:00:00.000Z</ns0:v>
      </ns0:c>
      <ns0:c r="G333" s="8" t="n">
        <ns0:v>3</ns0:v>
      </ns0:c>
      <ns0:c r="H333" s="8" t="str">
        <ns0:v>승인</ns0:v>
      </ns0:c>
      <ns0:c r="I333" s="14" t="n">
        <ns0:v>0.125</ns0:v>
      </ns0:c>
      <ns0:c r="J333" s="16"/>
      <ns0:c r="K333" s="8" t="n">
        <ns0:v>1</ns0:v>
      </ns0:c>
      <ns0:c r="L333" s="8"/>
      <ns0:c r="M333" s="8" t="str">
        <ns0:v>C</ns0:v>
      </ns0:c>
    </ns0:row>
    <ns0:row r="334" ht="23" customHeight="1">
      <ns0:c r="B334" s="10" t="str">
        <ns0:v>APP000329</ns0:v>
      </ns0:c>
      <ns0:c r="C334" s="10" t="str">
        <ns0:v>000009</ns0:v>
      </ns0:c>
      <ns0:c r="D334" s="8" t="str">
        <ns0:v>품질</ns0:v>
      </ns0:c>
      <ns0:c r="E334" s="8" t="str">
        <ns0:v>C05</ns0:v>
      </ns0:c>
      <ns0:c r="F334" s="12" t="d">
        <ns0:v>2026-10-21T00:00:00.000Z</ns0:v>
      </ns0:c>
      <ns0:c r="G334" s="8" t="n">
        <ns0:v>4</ns0:v>
      </ns0:c>
      <ns0:c r="H334" s="8" t="str">
        <ns0:v>승인</ns0:v>
      </ns0:c>
      <ns0:c r="I334" s="14" t="n">
        <ns0:v>0</ns0:v>
      </ns0:c>
      <ns0:c r="J334" s="16"/>
      <ns0:c r="K334" s="8" t="n">
        <ns0:v>1</ns0:v>
      </ns0:c>
      <ns0:c r="L334" s="8"/>
      <ns0:c r="M334" s="8" t="str">
        <ns0:v>C</ns0:v>
      </ns0:c>
    </ns0:row>
    <ns0:row r="335" ht="23" customHeight="1">
      <ns0:c r="B335" s="10" t="str">
        <ns0:v>APP000330</ns0:v>
      </ns0:c>
      <ns0:c r="C335" s="10" t="str">
        <ns0:v>000010</ns0:v>
      </ns0:c>
      <ns0:c r="D335" s="8" t="str">
        <ns0:v>기획</ns0:v>
      </ns0:c>
      <ns0:c r="E335" s="8" t="str">
        <ns0:v>C12</ns0:v>
      </ns0:c>
      <ns0:c r="F335" s="12" t="d">
        <ns0:v>2026-10-22T00:00:00.000Z</ns0:v>
      </ns0:c>
      <ns0:c r="G335" s="8" t="n">
        <ns0:v>5</ns0:v>
      </ns0:c>
      <ns0:c r="H335" s="8" t="str">
        <ns0:v>대기</ns0:v>
      </ns0:c>
      <ns0:c r="I335" s="14" t="n">
        <ns0:v>0.05</ns0:v>
      </ns0:c>
      <ns0:c r="J335" s="16"/>
      <ns0:c r="K335" s="8" t="n">
        <ns0:v>1</ns0:v>
      </ns0:c>
      <ns0:c r="L335" s="8"/>
      <ns0:c r="M335" s="8" t="str">
        <ns0:v>C</ns0:v>
      </ns0:c>
    </ns0:row>
    <ns0:row r="336" ht="23" customHeight="1">
      <ns0:c r="B336" s="10" t="str">
        <ns0:v>APP000331</ns0:v>
      </ns0:c>
      <ns0:c r="C336" s="10" t="str">
        <ns0:v>000011</ns0:v>
      </ns0:c>
      <ns0:c r="D336" s="8" t="str">
        <ns0:v>영업</ns0:v>
      </ns0:c>
      <ns0:c r="E336" s="8" t="str">
        <ns0:v>C07</ns0:v>
      </ns0:c>
      <ns0:c r="F336" s="12" t="d">
        <ns0:v>2026-10-23T00:00:00.000Z</ns0:v>
      </ns0:c>
      <ns0:c r="G336" s="8" t="n">
        <ns0:v>0</ns0:v>
      </ns0:c>
      <ns0:c r="H336" s="8" t="str">
        <ns0:v>취소</ns0:v>
      </ns0:c>
      <ns0:c r="I336" s="14" t="n">
        <ns0:v>0.1</ns0:v>
      </ns0:c>
      <ns0:c r="J336" s="16"/>
      <ns0:c r="K336" s="8" t="n">
        <ns0:v>1</ns0:v>
      </ns0:c>
      <ns0:c r="L336" s="8"/>
      <ns0:c r="M336" s="8" t="str">
        <ns0:v>C</ns0:v>
      </ns0:c>
    </ns0:row>
    <ns0:row r="337" ht="23" customHeight="1">
      <ns0:c r="B337" s="10" t="str">
        <ns0:v>APP000332</ns0:v>
      </ns0:c>
      <ns0:c r="C337" s="10" t="str">
        <ns0:v>000012</ns0:v>
      </ns0:c>
      <ns0:c r="D337" s="8" t="str">
        <ns0:v>지원</ns0:v>
      </ns0:c>
      <ns0:c r="E337" s="8" t="str">
        <ns0:v>C02</ns0:v>
      </ns0:c>
      <ns0:c r="F337" s="12" t="d">
        <ns0:v>2026-10-24T00:00:00.000Z</ns0:v>
      </ns0:c>
      <ns0:c r="G337" s="8" t="n">
        <ns0:v>1</ns0:v>
      </ns0:c>
      <ns0:c r="H337" s="8" t="str">
        <ns0:v>승인</ns0:v>
      </ns0:c>
      <ns0:c r="I337" s="14" t="n">
        <ns0:v>0.125</ns0:v>
      </ns0:c>
      <ns0:c r="J337" s="16"/>
      <ns0:c r="K337" s="8" t="n">
        <ns0:v>1</ns0:v>
      </ns0:c>
      <ns0:c r="L337" s="8"/>
      <ns0:c r="M337" s="8" t="str">
        <ns0:v>C</ns0:v>
      </ns0:c>
    </ns0:row>
    <ns0:row r="338" ht="23" customHeight="1">
      <ns0:c r="B338" s="10" t="str">
        <ns0:v>APP000333</ns0:v>
      </ns0:c>
      <ns0:c r="C338" s="10" t="str">
        <ns0:v>000013</ns0:v>
      </ns0:c>
      <ns0:c r="D338" s="8" t="str">
        <ns0:v>개발</ns0:v>
      </ns0:c>
      <ns0:c r="E338" s="8" t="str">
        <ns0:v>C09</ns0:v>
      </ns0:c>
      <ns0:c r="F338" s="12" t="d">
        <ns0:v>2026-10-25T00:00:00.000Z</ns0:v>
      </ns0:c>
      <ns0:c r="G338" s="8" t="n">
        <ns0:v>2</ns0:v>
      </ns0:c>
      <ns0:c r="H338" s="8" t="str">
        <ns0:v>승인</ns0:v>
      </ns0:c>
      <ns0:c r="I338" s="14" t="n">
        <ns0:v>0</ns0:v>
      </ns0:c>
      <ns0:c r="J338" s="16"/>
      <ns0:c r="K338" s="8" t="n">
        <ns0:v>1</ns0:v>
      </ns0:c>
      <ns0:c r="L338" s="8"/>
      <ns0:c r="M338" s="8" t="str">
        <ns0:v>C</ns0:v>
      </ns0:c>
    </ns0:row>
    <ns0:row r="339" ht="23" customHeight="1">
      <ns0:c r="B339" s="10" t="str">
        <ns0:v>APP000334</ns0:v>
      </ns0:c>
      <ns0:c r="C339" s="10" t="str">
        <ns0:v>000014</ns0:v>
      </ns0:c>
      <ns0:c r="D339" s="8" t="str">
        <ns0:v>생산</ns0:v>
      </ns0:c>
      <ns0:c r="E339" s="8" t="str">
        <ns0:v>C04</ns0:v>
      </ns0:c>
      <ns0:c r="F339" s="12" t="d">
        <ns0:v>2026-10-26T00:00:00.000Z</ns0:v>
      </ns0:c>
      <ns0:c r="G339" s="8" t="n">
        <ns0:v>3</ns0:v>
      </ns0:c>
      <ns0:c r="H339" s="8" t="str">
        <ns0:v>승인</ns0:v>
      </ns0:c>
      <ns0:c r="I339" s="14" t="n">
        <ns0:v>0.05</ns0:v>
      </ns0:c>
      <ns0:c r="J339" s="16"/>
      <ns0:c r="K339" s="8" t="n">
        <ns0:v>1</ns0:v>
      </ns0:c>
      <ns0:c r="L339" s="8"/>
      <ns0:c r="M339" s="8" t="str">
        <ns0:v>C</ns0:v>
      </ns0:c>
    </ns0:row>
    <ns0:row r="340" ht="23" customHeight="1">
      <ns0:c r="B340" s="10" t="str">
        <ns0:v>APP000335</ns0:v>
      </ns0:c>
      <ns0:c r="C340" s="10" t="str">
        <ns0:v>000015</ns0:v>
      </ns0:c>
      <ns0:c r="D340" s="8" t="str">
        <ns0:v>품질</ns0:v>
      </ns0:c>
      <ns0:c r="E340" s="8" t="str">
        <ns0:v>C11</ns0:v>
      </ns0:c>
      <ns0:c r="F340" s="12" t="d">
        <ns0:v>2026-10-27T00:00:00.000Z</ns0:v>
      </ns0:c>
      <ns0:c r="G340" s="8" t="n">
        <ns0:v>4</ns0:v>
      </ns0:c>
      <ns0:c r="H340" s="8" t="str">
        <ns0:v>승인</ns0:v>
      </ns0:c>
      <ns0:c r="I340" s="14" t="n">
        <ns0:v>0.1</ns0:v>
      </ns0:c>
      <ns0:c r="J340" s="16"/>
      <ns0:c r="K340" s="8" t="n">
        <ns0:v>1</ns0:v>
      </ns0:c>
      <ns0:c r="L340" s="8"/>
      <ns0:c r="M340" s="8" t="str">
        <ns0:v>C</ns0:v>
      </ns0:c>
    </ns0:row>
    <ns0:row r="341" ht="23" customHeight="1">
      <ns0:c r="B341" s="10" t="str">
        <ns0:v>APP000336</ns0:v>
      </ns0:c>
      <ns0:c r="C341" s="10" t="str">
        <ns0:v>000016</ns0:v>
      </ns0:c>
      <ns0:c r="D341" s="8" t="str">
        <ns0:v>기획</ns0:v>
      </ns0:c>
      <ns0:c r="E341" s="8" t="str">
        <ns0:v>C06</ns0:v>
      </ns0:c>
      <ns0:c r="F341" s="12" t="d">
        <ns0:v>2026-10-28T00:00:00.000Z</ns0:v>
      </ns0:c>
      <ns0:c r="G341" s="8" t="n">
        <ns0:v>5</ns0:v>
      </ns0:c>
      <ns0:c r="H341" s="8" t="str">
        <ns0:v>승인</ns0:v>
      </ns0:c>
      <ns0:c r="I341" s="14" t="n">
        <ns0:v>0.125</ns0:v>
      </ns0:c>
      <ns0:c r="J341" s="16"/>
      <ns0:c r="K341" s="8" t="n">
        <ns0:v>1</ns0:v>
      </ns0:c>
      <ns0:c r="L341" s="8"/>
      <ns0:c r="M341" s="8" t="str">
        <ns0:v>C</ns0:v>
      </ns0:c>
    </ns0:row>
    <ns0:row r="342" ht="23" customHeight="1">
      <ns0:c r="B342" s="10" t="str">
        <ns0:v>APP000337</ns0:v>
      </ns0:c>
      <ns0:c r="C342" s="10" t="str">
        <ns0:v>000017</ns0:v>
      </ns0:c>
      <ns0:c r="D342" s="8" t="str">
        <ns0:v>영업</ns0:v>
      </ns0:c>
      <ns0:c r="E342" s="8" t="str">
        <ns0:v>C01</ns0:v>
      </ns0:c>
      <ns0:c r="F342" s="12" t="d">
        <ns0:v>2026-10-01T00:00:00.000Z</ns0:v>
      </ns0:c>
      <ns0:c r="G342" s="8" t="n">
        <ns0:v>0</ns0:v>
      </ns0:c>
      <ns0:c r="H342" s="8" t="str">
        <ns0:v>대기</ns0:v>
      </ns0:c>
      <ns0:c r="I342" s="14" t="n">
        <ns0:v>0</ns0:v>
      </ns0:c>
      <ns0:c r="J342" s="16"/>
      <ns0:c r="K342" s="8" t="n">
        <ns0:v>1</ns0:v>
      </ns0:c>
      <ns0:c r="L342" s="8"/>
      <ns0:c r="M342" s="8" t="str">
        <ns0:v>C</ns0:v>
      </ns0:c>
    </ns0:row>
    <ns0:row r="343" ht="23" customHeight="1">
      <ns0:c r="B343" s="10" t="str">
        <ns0:v>APP000338</ns0:v>
      </ns0:c>
      <ns0:c r="C343" s="10" t="str">
        <ns0:v>000018</ns0:v>
      </ns0:c>
      <ns0:c r="D343" s="8" t="str">
        <ns0:v>지원</ns0:v>
      </ns0:c>
      <ns0:c r="E343" s="8" t="str">
        <ns0:v>C08</ns0:v>
      </ns0:c>
      <ns0:c r="F343" s="12" t="d">
        <ns0:v>2026-10-02T00:00:00.000Z</ns0:v>
      </ns0:c>
      <ns0:c r="G343" s="8" t="n">
        <ns0:v>1</ns0:v>
      </ns0:c>
      <ns0:c r="H343" s="8" t="str">
        <ns0:v>승인</ns0:v>
      </ns0:c>
      <ns0:c r="I343" s="14" t="n">
        <ns0:v>0.05</ns0:v>
      </ns0:c>
      <ns0:c r="J343" s="16"/>
      <ns0:c r="K343" s="8" t="n">
        <ns0:v>1</ns0:v>
      </ns0:c>
      <ns0:c r="L343" s="8"/>
      <ns0:c r="M343" s="8" t="str">
        <ns0:v>C</ns0:v>
      </ns0:c>
    </ns0:row>
    <ns0:row r="344" ht="23" customHeight="1">
      <ns0:c r="B344" s="10" t="str">
        <ns0:v>APP000339</ns0:v>
      </ns0:c>
      <ns0:c r="C344" s="10" t="str">
        <ns0:v>000019</ns0:v>
      </ns0:c>
      <ns0:c r="D344" s="8" t="str">
        <ns0:v>개발</ns0:v>
      </ns0:c>
      <ns0:c r="E344" s="8" t="str">
        <ns0:v>C03</ns0:v>
      </ns0:c>
      <ns0:c r="F344" s="12" t="d">
        <ns0:v>2026-10-03T00:00:00.000Z</ns0:v>
      </ns0:c>
      <ns0:c r="G344" s="8" t="n">
        <ns0:v>2</ns0:v>
      </ns0:c>
      <ns0:c r="H344" s="8" t="str">
        <ns0:v>승인</ns0:v>
      </ns0:c>
      <ns0:c r="I344" s="14" t="n">
        <ns0:v>0.1</ns0:v>
      </ns0:c>
      <ns0:c r="J344" s="16"/>
      <ns0:c r="K344" s="8" t="n">
        <ns0:v>1</ns0:v>
      </ns0:c>
      <ns0:c r="L344" s="8"/>
      <ns0:c r="M344" s="8" t="str">
        <ns0:v>C</ns0:v>
      </ns0:c>
    </ns0:row>
    <ns0:row r="345" ht="23" customHeight="1">
      <ns0:c r="B345" s="10" t="str">
        <ns0:v>APP000340</ns0:v>
      </ns0:c>
      <ns0:c r="C345" s="10" t="str">
        <ns0:v>000020</ns0:v>
      </ns0:c>
      <ns0:c r="D345" s="8" t="str">
        <ns0:v>생산</ns0:v>
      </ns0:c>
      <ns0:c r="E345" s="8" t="str">
        <ns0:v>C10</ns0:v>
      </ns0:c>
      <ns0:c r="F345" s="12" t="d">
        <ns0:v>2026-10-04T00:00:00.000Z</ns0:v>
      </ns0:c>
      <ns0:c r="G345" s="8" t="n">
        <ns0:v>3</ns0:v>
      </ns0:c>
      <ns0:c r="H345" s="8" t="str">
        <ns0:v>승인</ns0:v>
      </ns0:c>
      <ns0:c r="I345" s="14" t="n">
        <ns0:v>0.125</ns0:v>
      </ns0:c>
      <ns0:c r="J345" s="16"/>
      <ns0:c r="K345" s="8" t="n">
        <ns0:v>1</ns0:v>
      </ns0:c>
      <ns0:c r="L345" s="8"/>
      <ns0:c r="M345" s="8" t="str">
        <ns0:v>C</ns0:v>
      </ns0:c>
    </ns0:row>
    <ns0:row r="346" ht="23" customHeight="1">
      <ns0:c r="B346" s="10" t="str">
        <ns0:v>APP000341</ns0:v>
      </ns0:c>
      <ns0:c r="C346" s="10" t="str">
        <ns0:v>000021</ns0:v>
      </ns0:c>
      <ns0:c r="D346" s="8" t="str">
        <ns0:v>품질</ns0:v>
      </ns0:c>
      <ns0:c r="E346" s="8" t="str">
        <ns0:v>C05</ns0:v>
      </ns0:c>
      <ns0:c r="F346" s="12" t="d">
        <ns0:v>2026-10-05T00:00:00.000Z</ns0:v>
      </ns0:c>
      <ns0:c r="G346" s="8" t="n">
        <ns0:v>4</ns0:v>
      </ns0:c>
      <ns0:c r="H346" s="8" t="str">
        <ns0:v>승인</ns0:v>
      </ns0:c>
      <ns0:c r="I346" s="14" t="n">
        <ns0:v>0</ns0:v>
      </ns0:c>
      <ns0:c r="J346" s="16"/>
      <ns0:c r="K346" s="8" t="n">
        <ns0:v>1</ns0:v>
      </ns0:c>
      <ns0:c r="L346" s="8"/>
      <ns0:c r="M346" s="8" t="str">
        <ns0:v>C</ns0:v>
      </ns0:c>
    </ns0:row>
    <ns0:row r="347" ht="23" customHeight="1">
      <ns0:c r="B347" s="10" t="str">
        <ns0:v>APP000342</ns0:v>
      </ns0:c>
      <ns0:c r="C347" s="10" t="str">
        <ns0:v>000022</ns0:v>
      </ns0:c>
      <ns0:c r="D347" s="8" t="str">
        <ns0:v>기획</ns0:v>
      </ns0:c>
      <ns0:c r="E347" s="8" t="str">
        <ns0:v>C12</ns0:v>
      </ns0:c>
      <ns0:c r="F347" s="12" t="d">
        <ns0:v>2026-10-06T00:00:00.000Z</ns0:v>
      </ns0:c>
      <ns0:c r="G347" s="8" t="n">
        <ns0:v>5</ns0:v>
      </ns0:c>
      <ns0:c r="H347" s="8" t="str">
        <ns0:v>취소</ns0:v>
      </ns0:c>
      <ns0:c r="I347" s="14" t="n">
        <ns0:v>0.05</ns0:v>
      </ns0:c>
      <ns0:c r="J347" s="16"/>
      <ns0:c r="K347" s="8" t="n">
        <ns0:v>1</ns0:v>
      </ns0:c>
      <ns0:c r="L347" s="8"/>
      <ns0:c r="M347" s="8" t="str">
        <ns0:v>C</ns0:v>
      </ns0:c>
    </ns0:row>
    <ns0:row r="348" ht="23" customHeight="1">
      <ns0:c r="B348" s="10" t="str">
        <ns0:v>APP000343</ns0:v>
      </ns0:c>
      <ns0:c r="C348" s="10" t="str">
        <ns0:v>000023</ns0:v>
      </ns0:c>
      <ns0:c r="D348" s="8" t="str">
        <ns0:v>영업</ns0:v>
      </ns0:c>
      <ns0:c r="E348" s="8" t="str">
        <ns0:v>C07</ns0:v>
      </ns0:c>
      <ns0:c r="F348" s="12" t="d">
        <ns0:v>2026-10-07T00:00:00.000Z</ns0:v>
      </ns0:c>
      <ns0:c r="G348" s="8" t="n">
        <ns0:v>0</ns0:v>
      </ns0:c>
      <ns0:c r="H348" s="8" t="str">
        <ns0:v>승인</ns0:v>
      </ns0:c>
      <ns0:c r="I348" s="14" t="n">
        <ns0:v>0.1</ns0:v>
      </ns0:c>
      <ns0:c r="J348" s="16"/>
      <ns0:c r="K348" s="8" t="n">
        <ns0:v>1</ns0:v>
      </ns0:c>
      <ns0:c r="L348" s="8"/>
      <ns0:c r="M348" s="8" t="str">
        <ns0:v>C</ns0:v>
      </ns0:c>
    </ns0:row>
    <ns0:row r="349" ht="23" customHeight="1">
      <ns0:c r="B349" s="10" t="str">
        <ns0:v>APP000344</ns0:v>
      </ns0:c>
      <ns0:c r="C349" s="10" t="str">
        <ns0:v>000024</ns0:v>
      </ns0:c>
      <ns0:c r="D349" s="8" t="str">
        <ns0:v>지원</ns0:v>
      </ns0:c>
      <ns0:c r="E349" s="8" t="str">
        <ns0:v>C02</ns0:v>
      </ns0:c>
      <ns0:c r="F349" s="12" t="d">
        <ns0:v>2026-10-08T00:00:00.000Z</ns0:v>
      </ns0:c>
      <ns0:c r="G349" s="8" t="n">
        <ns0:v>1</ns0:v>
      </ns0:c>
      <ns0:c r="H349" s="8" t="str">
        <ns0:v>대기</ns0:v>
      </ns0:c>
      <ns0:c r="I349" s="14" t="n">
        <ns0:v>0.125</ns0:v>
      </ns0:c>
      <ns0:c r="J349" s="16"/>
      <ns0:c r="K349" s="8" t="n">
        <ns0:v>1</ns0:v>
      </ns0:c>
      <ns0:c r="L349" s="8"/>
      <ns0:c r="M349" s="8" t="str">
        <ns0:v>C</ns0:v>
      </ns0:c>
    </ns0:row>
    <ns0:row r="350" ht="23" customHeight="1">
      <ns0:c r="B350" s="10" t="str">
        <ns0:v>APP000345</ns0:v>
      </ns0:c>
      <ns0:c r="C350" s="10" t="str">
        <ns0:v>000025</ns0:v>
      </ns0:c>
      <ns0:c r="D350" s="8" t="str">
        <ns0:v>개발</ns0:v>
      </ns0:c>
      <ns0:c r="E350" s="8" t="str">
        <ns0:v>C09</ns0:v>
      </ns0:c>
      <ns0:c r="F350" s="12" t="d">
        <ns0:v>2026-10-09T00:00:00.000Z</ns0:v>
      </ns0:c>
      <ns0:c r="G350" s="8" t="n">
        <ns0:v>2</ns0:v>
      </ns0:c>
      <ns0:c r="H350" s="8" t="str">
        <ns0:v>승인</ns0:v>
      </ns0:c>
      <ns0:c r="I350" s="14" t="n">
        <ns0:v>0</ns0:v>
      </ns0:c>
      <ns0:c r="J350" s="16"/>
      <ns0:c r="K350" s="8" t="n">
        <ns0:v>1</ns0:v>
      </ns0:c>
      <ns0:c r="L350" s="8"/>
      <ns0:c r="M350" s="8" t="str">
        <ns0:v>C</ns0:v>
      </ns0:c>
    </ns0:row>
    <ns0:row r="351" ht="23" customHeight="1">
      <ns0:c r="B351" s="10" t="str">
        <ns0:v>APP000346</ns0:v>
      </ns0:c>
      <ns0:c r="C351" s="10" t="str">
        <ns0:v>000026</ns0:v>
      </ns0:c>
      <ns0:c r="D351" s="8" t="str">
        <ns0:v>생산</ns0:v>
      </ns0:c>
      <ns0:c r="E351" s="8" t="str">
        <ns0:v>C04</ns0:v>
      </ns0:c>
      <ns0:c r="F351" s="12" t="d">
        <ns0:v>2026-10-10T00:00:00.000Z</ns0:v>
      </ns0:c>
      <ns0:c r="G351" s="8" t="n">
        <ns0:v>3</ns0:v>
      </ns0:c>
      <ns0:c r="H351" s="8" t="str">
        <ns0:v>승인</ns0:v>
      </ns0:c>
      <ns0:c r="I351" s="14" t="n">
        <ns0:v>0.05</ns0:v>
      </ns0:c>
      <ns0:c r="J351" s="16"/>
      <ns0:c r="K351" s="8" t="n">
        <ns0:v>1</ns0:v>
      </ns0:c>
      <ns0:c r="L351" s="8"/>
      <ns0:c r="M351" s="8" t="str">
        <ns0:v>C</ns0:v>
      </ns0:c>
    </ns0:row>
    <ns0:row r="352" ht="23" customHeight="1">
      <ns0:c r="B352" s="10" t="str">
        <ns0:v>APP000347</ns0:v>
      </ns0:c>
      <ns0:c r="C352" s="10" t="str">
        <ns0:v>000027</ns0:v>
      </ns0:c>
      <ns0:c r="D352" s="8" t="str">
        <ns0:v>품질</ns0:v>
      </ns0:c>
      <ns0:c r="E352" s="8" t="str">
        <ns0:v>C11</ns0:v>
      </ns0:c>
      <ns0:c r="F352" s="12" t="d">
        <ns0:v>2026-10-11T00:00:00.000Z</ns0:v>
      </ns0:c>
      <ns0:c r="G352" s="8" t="n">
        <ns0:v>4</ns0:v>
      </ns0:c>
      <ns0:c r="H352" s="8" t="str">
        <ns0:v>승인</ns0:v>
      </ns0:c>
      <ns0:c r="I352" s="14" t="n">
        <ns0:v>0.1</ns0:v>
      </ns0:c>
      <ns0:c r="J352" s="16"/>
      <ns0:c r="K352" s="8" t="n">
        <ns0:v>1</ns0:v>
      </ns0:c>
      <ns0:c r="L352" s="8"/>
      <ns0:c r="M352" s="8" t="str">
        <ns0:v>C</ns0:v>
      </ns0:c>
    </ns0:row>
    <ns0:row r="353" ht="23" customHeight="1">
      <ns0:c r="B353" s="10" t="str">
        <ns0:v>APP000348</ns0:v>
      </ns0:c>
      <ns0:c r="C353" s="10" t="str">
        <ns0:v>000028</ns0:v>
      </ns0:c>
      <ns0:c r="D353" s="8" t="str">
        <ns0:v>기획</ns0:v>
      </ns0:c>
      <ns0:c r="E353" s="8" t="str">
        <ns0:v>C06</ns0:v>
      </ns0:c>
      <ns0:c r="F353" s="12" t="d">
        <ns0:v>2026-10-12T00:00:00.000Z</ns0:v>
      </ns0:c>
      <ns0:c r="G353" s="8" t="n">
        <ns0:v>5</ns0:v>
      </ns0:c>
      <ns0:c r="H353" s="8" t="str">
        <ns0:v>승인</ns0:v>
      </ns0:c>
      <ns0:c r="I353" s="14" t="n">
        <ns0:v>0.125</ns0:v>
      </ns0:c>
      <ns0:c r="J353" s="16"/>
      <ns0:c r="K353" s="8" t="n">
        <ns0:v>1</ns0:v>
      </ns0:c>
      <ns0:c r="L353" s="8"/>
      <ns0:c r="M353" s="8" t="str">
        <ns0:v>C</ns0:v>
      </ns0:c>
    </ns0:row>
    <ns0:row r="354" ht="23" customHeight="1">
      <ns0:c r="B354" s="10" t="str">
        <ns0:v>APP000349</ns0:v>
      </ns0:c>
      <ns0:c r="C354" s="10" t="str">
        <ns0:v>000029</ns0:v>
      </ns0:c>
      <ns0:c r="D354" s="8" t="str">
        <ns0:v>영업</ns0:v>
      </ns0:c>
      <ns0:c r="E354" s="8" t="str">
        <ns0:v>C01</ns0:v>
      </ns0:c>
      <ns0:c r="F354" s="12" t="d">
        <ns0:v>2026-10-13T00:00:00.000Z</ns0:v>
      </ns0:c>
      <ns0:c r="G354" s="8" t="n">
        <ns0:v>0</ns0:v>
      </ns0:c>
      <ns0:c r="H354" s="8" t="str">
        <ns0:v>승인</ns0:v>
      </ns0:c>
      <ns0:c r="I354" s="14" t="n">
        <ns0:v>0</ns0:v>
      </ns0:c>
      <ns0:c r="J354" s="16"/>
      <ns0:c r="K354" s="8" t="n">
        <ns0:v>1</ns0:v>
      </ns0:c>
      <ns0:c r="L354" s="8"/>
      <ns0:c r="M354" s="8" t="str">
        <ns0:v>C</ns0:v>
      </ns0:c>
    </ns0:row>
    <ns0:row r="355" ht="23" customHeight="1">
      <ns0:c r="B355" s="10" t="str">
        <ns0:v>APP000350</ns0:v>
      </ns0:c>
      <ns0:c r="C355" s="10" t="str">
        <ns0:v>000030</ns0:v>
      </ns0:c>
      <ns0:c r="D355" s="8" t="str">
        <ns0:v>지원</ns0:v>
      </ns0:c>
      <ns0:c r="E355" s="8" t="str">
        <ns0:v>C08</ns0:v>
      </ns0:c>
      <ns0:c r="F355" s="12" t="d">
        <ns0:v>2026-10-14T00:00:00.000Z</ns0:v>
      </ns0:c>
      <ns0:c r="G355" s="8" t="n">
        <ns0:v>1</ns0:v>
      </ns0:c>
      <ns0:c r="H355" s="8" t="str">
        <ns0:v>승인</ns0:v>
      </ns0:c>
      <ns0:c r="I355" s="14" t="n">
        <ns0:v>0.05</ns0:v>
      </ns0:c>
      <ns0:c r="J355" s="16"/>
      <ns0:c r="K355" s="8" t="n">
        <ns0:v>1</ns0:v>
      </ns0:c>
      <ns0:c r="L355" s="8"/>
      <ns0:c r="M355" s="8" t="str">
        <ns0:v>C</ns0:v>
      </ns0:c>
    </ns0:row>
    <ns0:row r="356" ht="23" customHeight="1">
      <ns0:c r="B356" s="10" t="str">
        <ns0:v>APP000351</ns0:v>
      </ns0:c>
      <ns0:c r="C356" s="10" t="str">
        <ns0:v>000031</ns0:v>
      </ns0:c>
      <ns0:c r="D356" s="8" t="str">
        <ns0:v>개발</ns0:v>
      </ns0:c>
      <ns0:c r="E356" s="8" t="str">
        <ns0:v>C03</ns0:v>
      </ns0:c>
      <ns0:c r="F356" s="12" t="d">
        <ns0:v>2026-10-15T00:00:00.000Z</ns0:v>
      </ns0:c>
      <ns0:c r="G356" s="8" t="n">
        <ns0:v>2</ns0:v>
      </ns0:c>
      <ns0:c r="H356" s="8" t="str">
        <ns0:v>대기</ns0:v>
      </ns0:c>
      <ns0:c r="I356" s="14" t="n">
        <ns0:v>0.1</ns0:v>
      </ns0:c>
      <ns0:c r="J356" s="16"/>
      <ns0:c r="K356" s="8" t="n">
        <ns0:v>1</ns0:v>
      </ns0:c>
      <ns0:c r="L356" s="8"/>
      <ns0:c r="M356" s="8" t="str">
        <ns0:v>C</ns0:v>
      </ns0:c>
    </ns0:row>
    <ns0:row r="357" ht="23" customHeight="1">
      <ns0:c r="B357" s="10" t="str">
        <ns0:v>APP000352</ns0:v>
      </ns0:c>
      <ns0:c r="C357" s="10" t="str">
        <ns0:v>000032</ns0:v>
      </ns0:c>
      <ns0:c r="D357" s="8" t="str">
        <ns0:v>생산</ns0:v>
      </ns0:c>
      <ns0:c r="E357" s="8" t="str">
        <ns0:v>C10</ns0:v>
      </ns0:c>
      <ns0:c r="F357" s="12" t="d">
        <ns0:v>2026-10-16T00:00:00.000Z</ns0:v>
      </ns0:c>
      <ns0:c r="G357" s="8" t="n">
        <ns0:v>3</ns0:v>
      </ns0:c>
      <ns0:c r="H357" s="8" t="str">
        <ns0:v>승인</ns0:v>
      </ns0:c>
      <ns0:c r="I357" s="14" t="n">
        <ns0:v>0.125</ns0:v>
      </ns0:c>
      <ns0:c r="J357" s="16"/>
      <ns0:c r="K357" s="8" t="n">
        <ns0:v>1</ns0:v>
      </ns0:c>
      <ns0:c r="L357" s="8"/>
      <ns0:c r="M357" s="8" t="str">
        <ns0:v>C</ns0:v>
      </ns0:c>
    </ns0:row>
    <ns0:row r="358" ht="23" customHeight="1">
      <ns0:c r="B358" s="10" t="str">
        <ns0:v>APP000353</ns0:v>
      </ns0:c>
      <ns0:c r="C358" s="10" t="str">
        <ns0:v>000033</ns0:v>
      </ns0:c>
      <ns0:c r="D358" s="8" t="str">
        <ns0:v>품질</ns0:v>
      </ns0:c>
      <ns0:c r="E358" s="8" t="str">
        <ns0:v>C05</ns0:v>
      </ns0:c>
      <ns0:c r="F358" s="12" t="d">
        <ns0:v>2026-10-17T00:00:00.000Z</ns0:v>
      </ns0:c>
      <ns0:c r="G358" s="8" t="n">
        <ns0:v>4</ns0:v>
      </ns0:c>
      <ns0:c r="H358" s="8" t="str">
        <ns0:v>취소</ns0:v>
      </ns0:c>
      <ns0:c r="I358" s="14" t="n">
        <ns0:v>0</ns0:v>
      </ns0:c>
      <ns0:c r="J358" s="16"/>
      <ns0:c r="K358" s="8" t="n">
        <ns0:v>1</ns0:v>
      </ns0:c>
      <ns0:c r="L358" s="8"/>
      <ns0:c r="M358" s="8" t="str">
        <ns0:v>C</ns0:v>
      </ns0:c>
    </ns0:row>
    <ns0:row r="359" ht="23" customHeight="1">
      <ns0:c r="B359" s="10" t="str">
        <ns0:v>APP000354</ns0:v>
      </ns0:c>
      <ns0:c r="C359" s="10" t="str">
        <ns0:v>000034</ns0:v>
      </ns0:c>
      <ns0:c r="D359" s="8" t="str">
        <ns0:v>기획</ns0:v>
      </ns0:c>
      <ns0:c r="E359" s="8" t="str">
        <ns0:v>C12</ns0:v>
      </ns0:c>
      <ns0:c r="F359" s="12" t="d">
        <ns0:v>2026-10-18T00:00:00.000Z</ns0:v>
      </ns0:c>
      <ns0:c r="G359" s="8" t="n">
        <ns0:v>5</ns0:v>
      </ns0:c>
      <ns0:c r="H359" s="8" t="str">
        <ns0:v>승인</ns0:v>
      </ns0:c>
      <ns0:c r="I359" s="14" t="n">
        <ns0:v>0.05</ns0:v>
      </ns0:c>
      <ns0:c r="J359" s="16"/>
      <ns0:c r="K359" s="8" t="n">
        <ns0:v>1</ns0:v>
      </ns0:c>
      <ns0:c r="L359" s="8"/>
      <ns0:c r="M359" s="8" t="str">
        <ns0:v>C</ns0:v>
      </ns0:c>
    </ns0:row>
    <ns0:row r="360" ht="23" customHeight="1">
      <ns0:c r="B360" s="10" t="str">
        <ns0:v>APP000355</ns0:v>
      </ns0:c>
      <ns0:c r="C360" s="10" t="str">
        <ns0:v>000035</ns0:v>
      </ns0:c>
      <ns0:c r="D360" s="8" t="str">
        <ns0:v>영업</ns0:v>
      </ns0:c>
      <ns0:c r="E360" s="8" t="str">
        <ns0:v>C07</ns0:v>
      </ns0:c>
      <ns0:c r="F360" s="12" t="d">
        <ns0:v>2026-10-19T00:00:00.000Z</ns0:v>
      </ns0:c>
      <ns0:c r="G360" s="8" t="n">
        <ns0:v>0</ns0:v>
      </ns0:c>
      <ns0:c r="H360" s="8" t="str">
        <ns0:v>승인</ns0:v>
      </ns0:c>
      <ns0:c r="I360" s="14" t="n">
        <ns0:v>0.1</ns0:v>
      </ns0:c>
      <ns0:c r="J360" s="16"/>
      <ns0:c r="K360" s="8" t="n">
        <ns0:v>1</ns0:v>
      </ns0:c>
      <ns0:c r="L360" s="8"/>
      <ns0:c r="M360" s="8" t="str">
        <ns0:v>C</ns0:v>
      </ns0:c>
    </ns0:row>
    <ns0:row r="361" ht="23" customHeight="1">
      <ns0:c r="B361" s="10" t="str">
        <ns0:v>APP000356</ns0:v>
      </ns0:c>
      <ns0:c r="C361" s="10" t="str">
        <ns0:v>000036</ns0:v>
      </ns0:c>
      <ns0:c r="D361" s="8" t="str">
        <ns0:v>지원</ns0:v>
      </ns0:c>
      <ns0:c r="E361" s="8" t="str">
        <ns0:v>C02</ns0:v>
      </ns0:c>
      <ns0:c r="F361" s="12" t="d">
        <ns0:v>2026-10-20T00:00:00.000Z</ns0:v>
      </ns0:c>
      <ns0:c r="G361" s="8" t="n">
        <ns0:v>1</ns0:v>
      </ns0:c>
      <ns0:c r="H361" s="8" t="str">
        <ns0:v>승인</ns0:v>
      </ns0:c>
      <ns0:c r="I361" s="14" t="n">
        <ns0:v>0.125</ns0:v>
      </ns0:c>
      <ns0:c r="J361" s="16"/>
      <ns0:c r="K361" s="8" t="n">
        <ns0:v>1</ns0:v>
      </ns0:c>
      <ns0:c r="L361" s="8"/>
      <ns0:c r="M361" s="8" t="str">
        <ns0:v>C</ns0:v>
      </ns0:c>
    </ns0:row>
    <ns0:row r="362" ht="23" customHeight="1">
      <ns0:c r="B362" s="10" t="str">
        <ns0:v>APP000357</ns0:v>
      </ns0:c>
      <ns0:c r="C362" s="10" t="str">
        <ns0:v>000037</ns0:v>
      </ns0:c>
      <ns0:c r="D362" s="8" t="str">
        <ns0:v>개발</ns0:v>
      </ns0:c>
      <ns0:c r="E362" s="8" t="str">
        <ns0:v>C09</ns0:v>
      </ns0:c>
      <ns0:c r="F362" s="12" t="d">
        <ns0:v>2026-10-21T00:00:00.000Z</ns0:v>
      </ns0:c>
      <ns0:c r="G362" s="8" t="n">
        <ns0:v>2</ns0:v>
      </ns0:c>
      <ns0:c r="H362" s="8" t="str">
        <ns0:v>승인</ns0:v>
      </ns0:c>
      <ns0:c r="I362" s="14" t="n">
        <ns0:v>0</ns0:v>
      </ns0:c>
      <ns0:c r="J362" s="16"/>
      <ns0:c r="K362" s="8" t="n">
        <ns0:v>1</ns0:v>
      </ns0:c>
      <ns0:c r="L362" s="8"/>
      <ns0:c r="M362" s="8" t="str">
        <ns0:v>C</ns0:v>
      </ns0:c>
    </ns0:row>
    <ns0:row r="363" ht="23" customHeight="1">
      <ns0:c r="B363" s="10" t="str">
        <ns0:v>APP000358</ns0:v>
      </ns0:c>
      <ns0:c r="C363" s="10" t="str">
        <ns0:v>000038</ns0:v>
      </ns0:c>
      <ns0:c r="D363" s="8" t="str">
        <ns0:v>생산</ns0:v>
      </ns0:c>
      <ns0:c r="E363" s="8" t="str">
        <ns0:v>C04</ns0:v>
      </ns0:c>
      <ns0:c r="F363" s="12" t="d">
        <ns0:v>2026-10-22T00:00:00.000Z</ns0:v>
      </ns0:c>
      <ns0:c r="G363" s="8" t="n">
        <ns0:v>3</ns0:v>
      </ns0:c>
      <ns0:c r="H363" s="8" t="str">
        <ns0:v>대기</ns0:v>
      </ns0:c>
      <ns0:c r="I363" s="14" t="n">
        <ns0:v>0.05</ns0:v>
      </ns0:c>
      <ns0:c r="J363" s="16"/>
      <ns0:c r="K363" s="8" t="n">
        <ns0:v>1</ns0:v>
      </ns0:c>
      <ns0:c r="L363" s="8"/>
      <ns0:c r="M363" s="8" t="str">
        <ns0:v>C</ns0:v>
      </ns0:c>
    </ns0:row>
    <ns0:row r="364" ht="23" customHeight="1">
      <ns0:c r="B364" s="10" t="str">
        <ns0:v>APP000359</ns0:v>
      </ns0:c>
      <ns0:c r="C364" s="10" t="str">
        <ns0:v>000039</ns0:v>
      </ns0:c>
      <ns0:c r="D364" s="8" t="str">
        <ns0:v>품질</ns0:v>
      </ns0:c>
      <ns0:c r="E364" s="8" t="str">
        <ns0:v>C11</ns0:v>
      </ns0:c>
      <ns0:c r="F364" s="12" t="d">
        <ns0:v>2026-10-23T00:00:00.000Z</ns0:v>
      </ns0:c>
      <ns0:c r="G364" s="8" t="n">
        <ns0:v>4</ns0:v>
      </ns0:c>
      <ns0:c r="H364" s="8" t="str">
        <ns0:v>승인</ns0:v>
      </ns0:c>
      <ns0:c r="I364" s="14" t="n">
        <ns0:v>0.1</ns0:v>
      </ns0:c>
      <ns0:c r="J364" s="16"/>
      <ns0:c r="K364" s="8" t="n">
        <ns0:v>1</ns0:v>
      </ns0:c>
      <ns0:c r="L364" s="8"/>
      <ns0:c r="M364" s="8" t="str">
        <ns0:v>C</ns0:v>
      </ns0:c>
    </ns0:row>
    <ns0:row r="365" ht="23" customHeight="1">
      <ns0:c r="B365" s="10" t="str">
        <ns0:v>APP000360</ns0:v>
      </ns0:c>
      <ns0:c r="C365" s="10" t="str">
        <ns0:v>000040</ns0:v>
      </ns0:c>
      <ns0:c r="D365" s="8" t="str">
        <ns0:v>기획</ns0:v>
      </ns0:c>
      <ns0:c r="E365" s="8" t="str">
        <ns0:v>C06</ns0:v>
      </ns0:c>
      <ns0:c r="F365" s="12" t="d">
        <ns0:v>2026-10-24T00:00:00.000Z</ns0:v>
      </ns0:c>
      <ns0:c r="G365" s="8" t="n">
        <ns0:v>5</ns0:v>
      </ns0:c>
      <ns0:c r="H365" s="8" t="str">
        <ns0:v>승인</ns0:v>
      </ns0:c>
      <ns0:c r="I365" s="14" t="n">
        <ns0:v>0.125</ns0:v>
      </ns0:c>
      <ns0:c r="J365" s="16"/>
      <ns0:c r="K365" s="8" t="n">
        <ns0:v>1</ns0:v>
      </ns0:c>
      <ns0:c r="L365" s="8"/>
      <ns0:c r="M365" s="8" t="str">
        <ns0:v>C</ns0:v>
      </ns0:c>
    </ns0:row>
    <ns0:row r="366" ht="23" customHeight="1">
      <ns0:c r="B366" s="10" t="str">
        <ns0:v>APP000361</ns0:v>
      </ns0:c>
      <ns0:c r="C366" s="10" t="str">
        <ns0:v>000041</ns0:v>
      </ns0:c>
      <ns0:c r="D366" s="8" t="str">
        <ns0:v>영업</ns0:v>
      </ns0:c>
      <ns0:c r="E366" s="8" t="str">
        <ns0:v>C01</ns0:v>
      </ns0:c>
      <ns0:c r="F366" s="12" t="d">
        <ns0:v>2026-10-25T00:00:00.000Z</ns0:v>
      </ns0:c>
      <ns0:c r="G366" s="8" t="n">
        <ns0:v>0</ns0:v>
      </ns0:c>
      <ns0:c r="H366" s="8" t="str">
        <ns0:v>승인</ns0:v>
      </ns0:c>
      <ns0:c r="I366" s="14" t="n">
        <ns0:v>0</ns0:v>
      </ns0:c>
      <ns0:c r="J366" s="16"/>
      <ns0:c r="K366" s="8" t="n">
        <ns0:v>1</ns0:v>
      </ns0:c>
      <ns0:c r="L366" s="8"/>
      <ns0:c r="M366" s="8" t="str">
        <ns0:v>C</ns0:v>
      </ns0:c>
    </ns0:row>
    <ns0:row r="367" ht="23" customHeight="1">
      <ns0:c r="B367" s="10" t="str">
        <ns0:v>APP000362</ns0:v>
      </ns0:c>
      <ns0:c r="C367" s="10" t="str">
        <ns0:v>000042</ns0:v>
      </ns0:c>
      <ns0:c r="D367" s="8" t="str">
        <ns0:v>지원</ns0:v>
      </ns0:c>
      <ns0:c r="E367" s="8" t="str">
        <ns0:v>C08</ns0:v>
      </ns0:c>
      <ns0:c r="F367" s="12" t="d">
        <ns0:v>2026-10-26T00:00:00.000Z</ns0:v>
      </ns0:c>
      <ns0:c r="G367" s="8" t="n">
        <ns0:v>1</ns0:v>
      </ns0:c>
      <ns0:c r="H367" s="8" t="str">
        <ns0:v>승인</ns0:v>
      </ns0:c>
      <ns0:c r="I367" s="14" t="n">
        <ns0:v>0.05</ns0:v>
      </ns0:c>
      <ns0:c r="J367" s="16"/>
      <ns0:c r="K367" s="8" t="n">
        <ns0:v>1</ns0:v>
      </ns0:c>
      <ns0:c r="L367" s="8"/>
      <ns0:c r="M367" s="8" t="str">
        <ns0:v>C</ns0:v>
      </ns0:c>
    </ns0:row>
    <ns0:row r="368" ht="23" customHeight="1">
      <ns0:c r="B368" s="10" t="str">
        <ns0:v>APP000363</ns0:v>
      </ns0:c>
      <ns0:c r="C368" s="10" t="str">
        <ns0:v>000043</ns0:v>
      </ns0:c>
      <ns0:c r="D368" s="8" t="str">
        <ns0:v>개발</ns0:v>
      </ns0:c>
      <ns0:c r="E368" s="8" t="str">
        <ns0:v>C03</ns0:v>
      </ns0:c>
      <ns0:c r="F368" s="12" t="d">
        <ns0:v>2026-10-27T00:00:00.000Z</ns0:v>
      </ns0:c>
      <ns0:c r="G368" s="8" t="n">
        <ns0:v>2</ns0:v>
      </ns0:c>
      <ns0:c r="H368" s="8" t="str">
        <ns0:v>승인</ns0:v>
      </ns0:c>
      <ns0:c r="I368" s="14" t="n">
        <ns0:v>0.1</ns0:v>
      </ns0:c>
      <ns0:c r="J368" s="16"/>
      <ns0:c r="K368" s="8" t="n">
        <ns0:v>1</ns0:v>
      </ns0:c>
      <ns0:c r="L368" s="8"/>
      <ns0:c r="M368" s="8" t="str">
        <ns0:v>C</ns0:v>
      </ns0:c>
    </ns0:row>
    <ns0:row r="369" ht="23" customHeight="1">
      <ns0:c r="B369" s="10" t="str">
        <ns0:v>APP000364</ns0:v>
      </ns0:c>
      <ns0:c r="C369" s="10" t="str">
        <ns0:v>000044</ns0:v>
      </ns0:c>
      <ns0:c r="D369" s="8" t="str">
        <ns0:v>생산</ns0:v>
      </ns0:c>
      <ns0:c r="E369" s="8" t="str">
        <ns0:v>C10</ns0:v>
      </ns0:c>
      <ns0:c r="F369" s="12" t="d">
        <ns0:v>2026-10-28T00:00:00.000Z</ns0:v>
      </ns0:c>
      <ns0:c r="G369" s="8" t="n">
        <ns0:v>3</ns0:v>
      </ns0:c>
      <ns0:c r="H369" s="8" t="str">
        <ns0:v>취소</ns0:v>
      </ns0:c>
      <ns0:c r="I369" s="14" t="n">
        <ns0:v>0.125</ns0:v>
      </ns0:c>
      <ns0:c r="J369" s="16"/>
      <ns0:c r="K369" s="8" t="n">
        <ns0:v>1</ns0:v>
      </ns0:c>
      <ns0:c r="L369" s="8"/>
      <ns0:c r="M369" s="8" t="str">
        <ns0:v>C</ns0:v>
      </ns0:c>
    </ns0:row>
    <ns0:row r="370" ht="23" customHeight="1">
      <ns0:c r="B370" s="10" t="str">
        <ns0:v>APP000365</ns0:v>
      </ns0:c>
      <ns0:c r="C370" s="10" t="str">
        <ns0:v>000045</ns0:v>
      </ns0:c>
      <ns0:c r="D370" s="8" t="str">
        <ns0:v>품질</ns0:v>
      </ns0:c>
      <ns0:c r="E370" s="8" t="str">
        <ns0:v>C05</ns0:v>
      </ns0:c>
      <ns0:c r="F370" s="12" t="d">
        <ns0:v>2026-10-01T00:00:00.000Z</ns0:v>
      </ns0:c>
      <ns0:c r="G370" s="8" t="n">
        <ns0:v>4</ns0:v>
      </ns0:c>
      <ns0:c r="H370" s="8" t="str">
        <ns0:v>대기</ns0:v>
      </ns0:c>
      <ns0:c r="I370" s="14" t="n">
        <ns0:v>0</ns0:v>
      </ns0:c>
      <ns0:c r="J370" s="16"/>
      <ns0:c r="K370" s="8" t="n">
        <ns0:v>1</ns0:v>
      </ns0:c>
      <ns0:c r="L370" s="8"/>
      <ns0:c r="M370" s="8" t="str">
        <ns0:v>C</ns0:v>
      </ns0:c>
    </ns0:row>
    <ns0:row r="371" ht="23" customHeight="1">
      <ns0:c r="B371" s="10" t="str">
        <ns0:v>APP000366</ns0:v>
      </ns0:c>
      <ns0:c r="C371" s="10" t="str">
        <ns0:v>000046</ns0:v>
      </ns0:c>
      <ns0:c r="D371" s="8" t="str">
        <ns0:v>기획</ns0:v>
      </ns0:c>
      <ns0:c r="E371" s="8" t="str">
        <ns0:v>C12</ns0:v>
      </ns0:c>
      <ns0:c r="F371" s="12" t="d">
        <ns0:v>2026-10-02T00:00:00.000Z</ns0:v>
      </ns0:c>
      <ns0:c r="G371" s="8" t="n">
        <ns0:v>5</ns0:v>
      </ns0:c>
      <ns0:c r="H371" s="8" t="str">
        <ns0:v>승인</ns0:v>
      </ns0:c>
      <ns0:c r="I371" s="14" t="n">
        <ns0:v>0.05</ns0:v>
      </ns0:c>
      <ns0:c r="J371" s="16"/>
      <ns0:c r="K371" s="8" t="n">
        <ns0:v>1</ns0:v>
      </ns0:c>
      <ns0:c r="L371" s="8"/>
      <ns0:c r="M371" s="8" t="str">
        <ns0:v>C</ns0:v>
      </ns0:c>
    </ns0:row>
    <ns0:row r="372" ht="23" customHeight="1">
      <ns0:c r="B372" s="10" t="str">
        <ns0:v>APP000367</ns0:v>
      </ns0:c>
      <ns0:c r="C372" s="10" t="str">
        <ns0:v>000047</ns0:v>
      </ns0:c>
      <ns0:c r="D372" s="8" t="str">
        <ns0:v>영업</ns0:v>
      </ns0:c>
      <ns0:c r="E372" s="8" t="str">
        <ns0:v>C07</ns0:v>
      </ns0:c>
      <ns0:c r="F372" s="12" t="d">
        <ns0:v>2026-10-03T00:00:00.000Z</ns0:v>
      </ns0:c>
      <ns0:c r="G372" s="8" t="n">
        <ns0:v>0</ns0:v>
      </ns0:c>
      <ns0:c r="H372" s="8" t="str">
        <ns0:v>승인</ns0:v>
      </ns0:c>
      <ns0:c r="I372" s="14" t="n">
        <ns0:v>0.1</ns0:v>
      </ns0:c>
      <ns0:c r="J372" s="16"/>
      <ns0:c r="K372" s="8" t="n">
        <ns0:v>1</ns0:v>
      </ns0:c>
      <ns0:c r="L372" s="8"/>
      <ns0:c r="M372" s="8" t="str">
        <ns0:v>C</ns0:v>
      </ns0:c>
    </ns0:row>
    <ns0:row r="373" ht="23" customHeight="1">
      <ns0:c r="B373" s="10" t="str">
        <ns0:v>APP000368</ns0:v>
      </ns0:c>
      <ns0:c r="C373" s="10" t="str">
        <ns0:v>000048</ns0:v>
      </ns0:c>
      <ns0:c r="D373" s="8" t="str">
        <ns0:v>지원</ns0:v>
      </ns0:c>
      <ns0:c r="E373" s="8" t="str">
        <ns0:v>C02</ns0:v>
      </ns0:c>
      <ns0:c r="F373" s="12" t="d">
        <ns0:v>2026-10-04T00:00:00.000Z</ns0:v>
      </ns0:c>
      <ns0:c r="G373" s="8" t="n">
        <ns0:v>1</ns0:v>
      </ns0:c>
      <ns0:c r="H373" s="8" t="str">
        <ns0:v>승인</ns0:v>
      </ns0:c>
      <ns0:c r="I373" s="14" t="n">
        <ns0:v>0.125</ns0:v>
      </ns0:c>
      <ns0:c r="J373" s="16"/>
      <ns0:c r="K373" s="8" t="n">
        <ns0:v>1</ns0:v>
      </ns0:c>
      <ns0:c r="L373" s="8"/>
      <ns0:c r="M373" s="8" t="str">
        <ns0:v>C</ns0:v>
      </ns0:c>
    </ns0:row>
    <ns0:row r="374" ht="23" customHeight="1">
      <ns0:c r="B374" s="10" t="str">
        <ns0:v>APP000369</ns0:v>
      </ns0:c>
      <ns0:c r="C374" s="10" t="str">
        <ns0:v>000049</ns0:v>
      </ns0:c>
      <ns0:c r="D374" s="8" t="str">
        <ns0:v>개발</ns0:v>
      </ns0:c>
      <ns0:c r="E374" s="8" t="str">
        <ns0:v>C09</ns0:v>
      </ns0:c>
      <ns0:c r="F374" s="12" t="d">
        <ns0:v>2026-10-05T00:00:00.000Z</ns0:v>
      </ns0:c>
      <ns0:c r="G374" s="8" t="n">
        <ns0:v>2</ns0:v>
      </ns0:c>
      <ns0:c r="H374" s="8" t="str">
        <ns0:v>승인</ns0:v>
      </ns0:c>
      <ns0:c r="I374" s="14" t="n">
        <ns0:v>0</ns0:v>
      </ns0:c>
      <ns0:c r="J374" s="16"/>
      <ns0:c r="K374" s="8" t="n">
        <ns0:v>1</ns0:v>
      </ns0:c>
      <ns0:c r="L374" s="8"/>
      <ns0:c r="M374" s="8" t="str">
        <ns0:v>C</ns0:v>
      </ns0:c>
    </ns0:row>
    <ns0:row r="375" ht="23" customHeight="1">
      <ns0:c r="B375" s="10" t="str">
        <ns0:v>APP000370</ns0:v>
      </ns0:c>
      <ns0:c r="C375" s="10" t="str">
        <ns0:v>000050</ns0:v>
      </ns0:c>
      <ns0:c r="D375" s="8" t="str">
        <ns0:v>생산</ns0:v>
      </ns0:c>
      <ns0:c r="E375" s="8" t="str">
        <ns0:v>C04</ns0:v>
      </ns0:c>
      <ns0:c r="F375" s="12" t="d">
        <ns0:v>2026-10-06T00:00:00.000Z</ns0:v>
      </ns0:c>
      <ns0:c r="G375" s="8" t="n">
        <ns0:v>3</ns0:v>
      </ns0:c>
      <ns0:c r="H375" s="8" t="str">
        <ns0:v>승인</ns0:v>
      </ns0:c>
      <ns0:c r="I375" s="14" t="n">
        <ns0:v>0.05</ns0:v>
      </ns0:c>
      <ns0:c r="J375" s="16"/>
      <ns0:c r="K375" s="8" t="n">
        <ns0:v>1</ns0:v>
      </ns0:c>
      <ns0:c r="L375" s="8"/>
      <ns0:c r="M375" s="8" t="str">
        <ns0:v>C</ns0:v>
      </ns0:c>
    </ns0:row>
    <ns0:row r="376" ht="23" customHeight="1">
      <ns0:c r="B376" s="10" t="str">
        <ns0:v>APP000371</ns0:v>
      </ns0:c>
      <ns0:c r="C376" s="10" t="str">
        <ns0:v>000051</ns0:v>
      </ns0:c>
      <ns0:c r="D376" s="8" t="str">
        <ns0:v>품질</ns0:v>
      </ns0:c>
      <ns0:c r="E376" s="8" t="str">
        <ns0:v>C11</ns0:v>
      </ns0:c>
      <ns0:c r="F376" s="12" t="d">
        <ns0:v>2026-10-07T00:00:00.000Z</ns0:v>
      </ns0:c>
      <ns0:c r="G376" s="8" t="n">
        <ns0:v>4</ns0:v>
      </ns0:c>
      <ns0:c r="H376" s="8" t="str">
        <ns0:v>승인</ns0:v>
      </ns0:c>
      <ns0:c r="I376" s="14" t="n">
        <ns0:v>0.1</ns0:v>
      </ns0:c>
      <ns0:c r="J376" s="16"/>
      <ns0:c r="K376" s="8" t="n">
        <ns0:v>1</ns0:v>
      </ns0:c>
      <ns0:c r="L376" s="8"/>
      <ns0:c r="M376" s="8" t="str">
        <ns0:v>C</ns0:v>
      </ns0:c>
    </ns0:row>
    <ns0:row r="377" ht="23" customHeight="1">
      <ns0:c r="B377" s="10" t="str">
        <ns0:v>APP000372</ns0:v>
      </ns0:c>
      <ns0:c r="C377" s="10" t="str">
        <ns0:v>000052</ns0:v>
      </ns0:c>
      <ns0:c r="D377" s="8" t="str">
        <ns0:v>기획</ns0:v>
      </ns0:c>
      <ns0:c r="E377" s="8" t="str">
        <ns0:v>C06</ns0:v>
      </ns0:c>
      <ns0:c r="F377" s="12" t="d">
        <ns0:v>2026-10-08T00:00:00.000Z</ns0:v>
      </ns0:c>
      <ns0:c r="G377" s="8" t="n">
        <ns0:v>5</ns0:v>
      </ns0:c>
      <ns0:c r="H377" s="8" t="str">
        <ns0:v>대기</ns0:v>
      </ns0:c>
      <ns0:c r="I377" s="14" t="n">
        <ns0:v>0.125</ns0:v>
      </ns0:c>
      <ns0:c r="J377" s="16" t="n">
        <ns0:v>0</ns0:v>
      </ns0:c>
      <ns0:c r="K377" s="8" t="n">
        <ns0:v>1</ns0:v>
      </ns0:c>
      <ns0:c r="L377" s="8" t="str">
        <ns0:v>0원 수동금액 유지</ns0:v>
      </ns0:c>
      <ns0:c r="M377" s="8" t="str">
        <ns0:v>C</ns0:v>
      </ns0:c>
    </ns0:row>
    <ns0:row r="378" ht="23" customHeight="1">
      <ns0:c r="B378" s="10" t="str">
        <ns0:v>APP000373</ns0:v>
      </ns0:c>
      <ns0:c r="C378" s="10" t="str">
        <ns0:v>000053</ns0:v>
      </ns0:c>
      <ns0:c r="D378" s="8" t="str">
        <ns0:v>영업</ns0:v>
      </ns0:c>
      <ns0:c r="E378" s="8" t="str">
        <ns0:v>C01</ns0:v>
      </ns0:c>
      <ns0:c r="F378" s="12" t="d">
        <ns0:v>2026-10-09T00:00:00.000Z</ns0:v>
      </ns0:c>
      <ns0:c r="G378" s="8" t="n">
        <ns0:v>0</ns0:v>
      </ns0:c>
      <ns0:c r="H378" s="8" t="str">
        <ns0:v>승인</ns0:v>
      </ns0:c>
      <ns0:c r="I378" s="14" t="n">
        <ns0:v>0</ns0:v>
      </ns0:c>
      <ns0:c r="J378" s="16"/>
      <ns0:c r="K378" s="8" t="n">
        <ns0:v>1</ns0:v>
      </ns0:c>
      <ns0:c r="L378" s="8"/>
      <ns0:c r="M378" s="8" t="str">
        <ns0:v>C</ns0:v>
      </ns0:c>
    </ns0:row>
    <ns0:row r="379" ht="23" customHeight="1">
      <ns0:c r="B379" s="10" t="str">
        <ns0:v>APP000374</ns0:v>
      </ns0:c>
      <ns0:c r="C379" s="10" t="str">
        <ns0:v>000054</ns0:v>
      </ns0:c>
      <ns0:c r="D379" s="8" t="str">
        <ns0:v>지원</ns0:v>
      </ns0:c>
      <ns0:c r="E379" s="8" t="str">
        <ns0:v>C08</ns0:v>
      </ns0:c>
      <ns0:c r="F379" s="12" t="d">
        <ns0:v>2026-10-10T00:00:00.000Z</ns0:v>
      </ns0:c>
      <ns0:c r="G379" s="8" t="n">
        <ns0:v>1</ns0:v>
      </ns0:c>
      <ns0:c r="H379" s="8" t="str">
        <ns0:v>승인</ns0:v>
      </ns0:c>
      <ns0:c r="I379" s="14" t="n">
        <ns0:v>0.05</ns0:v>
      </ns0:c>
      <ns0:c r="J379" s="16"/>
      <ns0:c r="K379" s="8" t="n">
        <ns0:v>1</ns0:v>
      </ns0:c>
      <ns0:c r="L379" s="8"/>
      <ns0:c r="M379" s="8" t="str">
        <ns0:v>C</ns0:v>
      </ns0:c>
    </ns0:row>
    <ns0:row r="380" ht="23" customHeight="1">
      <ns0:c r="B380" s="10" t="str">
        <ns0:v>APP000375</ns0:v>
      </ns0:c>
      <ns0:c r="C380" s="10" t="str">
        <ns0:v>000055</ns0:v>
      </ns0:c>
      <ns0:c r="D380" s="8" t="str">
        <ns0:v>개발</ns0:v>
      </ns0:c>
      <ns0:c r="E380" s="8" t="str">
        <ns0:v>C03</ns0:v>
      </ns0:c>
      <ns0:c r="F380" s="12" t="d">
        <ns0:v>2026-10-11T00:00:00.000Z</ns0:v>
      </ns0:c>
      <ns0:c r="G380" s="8" t="n">
        <ns0:v>2</ns0:v>
      </ns0:c>
      <ns0:c r="H380" s="8" t="str">
        <ns0:v>취소</ns0:v>
      </ns0:c>
      <ns0:c r="I380" s="14" t="n">
        <ns0:v>0.1</ns0:v>
      </ns0:c>
      <ns0:c r="J380" s="16"/>
      <ns0:c r="K380" s="8" t="n">
        <ns0:v>1</ns0:v>
      </ns0:c>
      <ns0:c r="L380" s="8"/>
      <ns0:c r="M380" s="8" t="str">
        <ns0:v>C</ns0:v>
      </ns0:c>
    </ns0:row>
    <ns0:row r="381" ht="23" customHeight="1">
      <ns0:c r="B381" s="10" t="str">
        <ns0:v>APP000376</ns0:v>
      </ns0:c>
      <ns0:c r="C381" s="10" t="str">
        <ns0:v>000056</ns0:v>
      </ns0:c>
      <ns0:c r="D381" s="8" t="str">
        <ns0:v>생산</ns0:v>
      </ns0:c>
      <ns0:c r="E381" s="8" t="str">
        <ns0:v>C10</ns0:v>
      </ns0:c>
      <ns0:c r="F381" s="12" t="d">
        <ns0:v>2026-10-12T00:00:00.000Z</ns0:v>
      </ns0:c>
      <ns0:c r="G381" s="8" t="n">
        <ns0:v>3</ns0:v>
      </ns0:c>
      <ns0:c r="H381" s="8" t="str">
        <ns0:v>승인</ns0:v>
      </ns0:c>
      <ns0:c r="I381" s="14" t="n">
        <ns0:v>0.125</ns0:v>
      </ns0:c>
      <ns0:c r="J381" s="16"/>
      <ns0:c r="K381" s="8" t="n">
        <ns0:v>1</ns0:v>
      </ns0:c>
      <ns0:c r="L381" s="8"/>
      <ns0:c r="M381" s="8" t="str">
        <ns0:v>C</ns0:v>
      </ns0:c>
    </ns0:row>
    <ns0:row r="382" ht="23" customHeight="1">
      <ns0:c r="B382" s="10" t="str">
        <ns0:v>APP000377</ns0:v>
      </ns0:c>
      <ns0:c r="C382" s="10" t="str">
        <ns0:v>000057</ns0:v>
      </ns0:c>
      <ns0:c r="D382" s="8" t="str">
        <ns0:v>품질</ns0:v>
      </ns0:c>
      <ns0:c r="E382" s="8" t="str">
        <ns0:v>C05</ns0:v>
      </ns0:c>
      <ns0:c r="F382" s="12" t="d">
        <ns0:v>2026-10-13T00:00:00.000Z</ns0:v>
      </ns0:c>
      <ns0:c r="G382" s="8" t="n">
        <ns0:v>4</ns0:v>
      </ns0:c>
      <ns0:c r="H382" s="8" t="str">
        <ns0:v>승인</ns0:v>
      </ns0:c>
      <ns0:c r="I382" s="14" t="n">
        <ns0:v>0</ns0:v>
      </ns0:c>
      <ns0:c r="J382" s="16"/>
      <ns0:c r="K382" s="8" t="n">
        <ns0:v>1</ns0:v>
      </ns0:c>
      <ns0:c r="L382" s="8"/>
      <ns0:c r="M382" s="8" t="str">
        <ns0:v>C</ns0:v>
      </ns0:c>
    </ns0:row>
    <ns0:row r="383" ht="23" customHeight="1">
      <ns0:c r="B383" s="10" t="str">
        <ns0:v>APP000378</ns0:v>
      </ns0:c>
      <ns0:c r="C383" s="10" t="str">
        <ns0:v>000058</ns0:v>
      </ns0:c>
      <ns0:c r="D383" s="8" t="str">
        <ns0:v>기획</ns0:v>
      </ns0:c>
      <ns0:c r="E383" s="8" t="str">
        <ns0:v>C12</ns0:v>
      </ns0:c>
      <ns0:c r="F383" s="12" t="d">
        <ns0:v>2026-10-14T00:00:00.000Z</ns0:v>
      </ns0:c>
      <ns0:c r="G383" s="8" t="n">
        <ns0:v>5</ns0:v>
      </ns0:c>
      <ns0:c r="H383" s="8" t="str">
        <ns0:v>승인</ns0:v>
      </ns0:c>
      <ns0:c r="I383" s="14" t="n">
        <ns0:v>0.05</ns0:v>
      </ns0:c>
      <ns0:c r="J383" s="16"/>
      <ns0:c r="K383" s="8" t="n">
        <ns0:v>1</ns0:v>
      </ns0:c>
      <ns0:c r="L383" s="8"/>
      <ns0:c r="M383" s="8" t="str">
        <ns0:v>C</ns0:v>
      </ns0:c>
    </ns0:row>
    <ns0:row r="384" ht="23" customHeight="1">
      <ns0:c r="B384" s="10" t="str">
        <ns0:v>APP000379</ns0:v>
      </ns0:c>
      <ns0:c r="C384" s="10" t="str">
        <ns0:v>000059</ns0:v>
      </ns0:c>
      <ns0:c r="D384" s="8" t="str">
        <ns0:v>영업</ns0:v>
      </ns0:c>
      <ns0:c r="E384" s="8" t="str">
        <ns0:v>C07</ns0:v>
      </ns0:c>
      <ns0:c r="F384" s="12" t="d">
        <ns0:v>2026-10-15T00:00:00.000Z</ns0:v>
      </ns0:c>
      <ns0:c r="G384" s="8" t="n">
        <ns0:v>0</ns0:v>
      </ns0:c>
      <ns0:c r="H384" s="8" t="str">
        <ns0:v>대기</ns0:v>
      </ns0:c>
      <ns0:c r="I384" s="14" t="n">
        <ns0:v>0.1</ns0:v>
      </ns0:c>
      <ns0:c r="J384" s="16"/>
      <ns0:c r="K384" s="8" t="n">
        <ns0:v>1</ns0:v>
      </ns0:c>
      <ns0:c r="L384" s="8"/>
      <ns0:c r="M384" s="8" t="str">
        <ns0:v>C</ns0:v>
      </ns0:c>
    </ns0:row>
    <ns0:row r="385" ht="23" customHeight="1">
      <ns0:c r="B385" s="10" t="str">
        <ns0:v>APP000380</ns0:v>
      </ns0:c>
      <ns0:c r="C385" s="10" t="str">
        <ns0:v>000060</ns0:v>
      </ns0:c>
      <ns0:c r="D385" s="8" t="str">
        <ns0:v>지원</ns0:v>
      </ns0:c>
      <ns0:c r="E385" s="8" t="str">
        <ns0:v>C02</ns0:v>
      </ns0:c>
      <ns0:c r="F385" s="12" t="d">
        <ns0:v>2026-10-16T00:00:00.000Z</ns0:v>
      </ns0:c>
      <ns0:c r="G385" s="8" t="n">
        <ns0:v>1</ns0:v>
      </ns0:c>
      <ns0:c r="H385" s="8" t="str">
        <ns0:v>승인</ns0:v>
      </ns0:c>
      <ns0:c r="I385" s="14" t="n">
        <ns0:v>0.125</ns0:v>
      </ns0:c>
      <ns0:c r="J385" s="16"/>
      <ns0:c r="K385" s="8" t="n">
        <ns0:v>1</ns0:v>
      </ns0:c>
      <ns0:c r="L385" s="8"/>
      <ns0:c r="M385" s="8" t="str">
        <ns0:v>C</ns0:v>
      </ns0:c>
    </ns0:row>
    <ns0:row r="386" ht="23" customHeight="1">
      <ns0:c r="B386" s="10" t="str">
        <ns0:v>APP000381</ns0:v>
      </ns0:c>
      <ns0:c r="C386" s="10" t="str">
        <ns0:v>000061</ns0:v>
      </ns0:c>
      <ns0:c r="D386" s="8" t="str">
        <ns0:v>개발</ns0:v>
      </ns0:c>
      <ns0:c r="E386" s="8" t="str">
        <ns0:v>C09</ns0:v>
      </ns0:c>
      <ns0:c r="F386" s="12" t="d">
        <ns0:v>2026-10-17T00:00:00.000Z</ns0:v>
      </ns0:c>
      <ns0:c r="G386" s="8" t="n">
        <ns0:v>2</ns0:v>
      </ns0:c>
      <ns0:c r="H386" s="8" t="str">
        <ns0:v>승인</ns0:v>
      </ns0:c>
      <ns0:c r="I386" s="14" t="n">
        <ns0:v>0</ns0:v>
      </ns0:c>
      <ns0:c r="J386" s="16"/>
      <ns0:c r="K386" s="8" t="n">
        <ns0:v>1</ns0:v>
      </ns0:c>
      <ns0:c r="L386" s="8"/>
      <ns0:c r="M386" s="8" t="str">
        <ns0:v>C</ns0:v>
      </ns0:c>
    </ns0:row>
    <ns0:row r="387" ht="23" customHeight="1">
      <ns0:c r="B387" s="10" t="str">
        <ns0:v>APP000382</ns0:v>
      </ns0:c>
      <ns0:c r="C387" s="10" t="str">
        <ns0:v>000062</ns0:v>
      </ns0:c>
      <ns0:c r="D387" s="8" t="str">
        <ns0:v>생산</ns0:v>
      </ns0:c>
      <ns0:c r="E387" s="8" t="str">
        <ns0:v>C04</ns0:v>
      </ns0:c>
      <ns0:c r="F387" s="12" t="d">
        <ns0:v>2026-10-18T00:00:00.000Z</ns0:v>
      </ns0:c>
      <ns0:c r="G387" s="8" t="n">
        <ns0:v>3</ns0:v>
      </ns0:c>
      <ns0:c r="H387" s="8" t="str">
        <ns0:v>승인</ns0:v>
      </ns0:c>
      <ns0:c r="I387" s="14" t="n">
        <ns0:v>0.05</ns0:v>
      </ns0:c>
      <ns0:c r="J387" s="16"/>
      <ns0:c r="K387" s="8" t="n">
        <ns0:v>1</ns0:v>
      </ns0:c>
      <ns0:c r="L387" s="8"/>
      <ns0:c r="M387" s="8" t="str">
        <ns0:v>C</ns0:v>
      </ns0:c>
    </ns0:row>
    <ns0:row r="388" ht="23" customHeight="1">
      <ns0:c r="B388" s="10" t="str">
        <ns0:v>APP000383</ns0:v>
      </ns0:c>
      <ns0:c r="C388" s="10" t="str">
        <ns0:v>000063</ns0:v>
      </ns0:c>
      <ns0:c r="D388" s="8" t="str">
        <ns0:v>품질</ns0:v>
      </ns0:c>
      <ns0:c r="E388" s="8" t="str">
        <ns0:v>C11</ns0:v>
      </ns0:c>
      <ns0:c r="F388" s="12" t="d">
        <ns0:v>2026-10-19T00:00:00.000Z</ns0:v>
      </ns0:c>
      <ns0:c r="G388" s="8" t="n">
        <ns0:v>4</ns0:v>
      </ns0:c>
      <ns0:c r="H388" s="8" t="str">
        <ns0:v>승인</ns0:v>
      </ns0:c>
      <ns0:c r="I388" s="14" t="n">
        <ns0:v>0.1</ns0:v>
      </ns0:c>
      <ns0:c r="J388" s="16"/>
      <ns0:c r="K388" s="8" t="n">
        <ns0:v>1</ns0:v>
      </ns0:c>
      <ns0:c r="L388" s="8"/>
      <ns0:c r="M388" s="8" t="str">
        <ns0:v>C</ns0:v>
      </ns0:c>
    </ns0:row>
    <ns0:row r="389" ht="23" customHeight="1">
      <ns0:c r="B389" s="10" t="str">
        <ns0:v>APP000384</ns0:v>
      </ns0:c>
      <ns0:c r="C389" s="10" t="str">
        <ns0:v>000064</ns0:v>
      </ns0:c>
      <ns0:c r="D389" s="8" t="str">
        <ns0:v>기획</ns0:v>
      </ns0:c>
      <ns0:c r="E389" s="8" t="str">
        <ns0:v>C06</ns0:v>
      </ns0:c>
      <ns0:c r="F389" s="12" t="d">
        <ns0:v>2026-10-20T00:00:00.000Z</ns0:v>
      </ns0:c>
      <ns0:c r="G389" s="8" t="n">
        <ns0:v>5</ns0:v>
      </ns0:c>
      <ns0:c r="H389" s="8" t="str">
        <ns0:v>승인</ns0:v>
      </ns0:c>
      <ns0:c r="I389" s="14" t="n">
        <ns0:v>0.125</ns0:v>
      </ns0:c>
      <ns0:c r="J389" s="16"/>
      <ns0:c r="K389" s="8" t="n">
        <ns0:v>1</ns0:v>
      </ns0:c>
      <ns0:c r="L389" s="8"/>
      <ns0:c r="M389" s="8" t="str">
        <ns0:v>C</ns0:v>
      </ns0:c>
    </ns0:row>
    <ns0:row r="390" ht="23" customHeight="1">
      <ns0:c r="B390" s="10" t="str">
        <ns0:v>APP000385</ns0:v>
      </ns0:c>
      <ns0:c r="C390" s="10" t="str">
        <ns0:v>000065</ns0:v>
      </ns0:c>
      <ns0:c r="D390" s="8" t="str">
        <ns0:v>영업</ns0:v>
      </ns0:c>
      <ns0:c r="E390" s="8" t="str">
        <ns0:v>C01</ns0:v>
      </ns0:c>
      <ns0:c r="F390" s="12" t="d">
        <ns0:v>2026-10-21T00:00:00.000Z</ns0:v>
      </ns0:c>
      <ns0:c r="G390" s="8" t="n">
        <ns0:v>0</ns0:v>
      </ns0:c>
      <ns0:c r="H390" s="8" t="str">
        <ns0:v>승인</ns0:v>
      </ns0:c>
      <ns0:c r="I390" s="14" t="n">
        <ns0:v>0</ns0:v>
      </ns0:c>
      <ns0:c r="J390" s="16"/>
      <ns0:c r="K390" s="8" t="n">
        <ns0:v>1</ns0:v>
      </ns0:c>
      <ns0:c r="L390" s="8"/>
      <ns0:c r="M390" s="8" t="str">
        <ns0:v>C</ns0:v>
      </ns0:c>
    </ns0:row>
    <ns0:row r="391" ht="23" customHeight="1">
      <ns0:c r="B391" s="10" t="str">
        <ns0:v>APP000386</ns0:v>
      </ns0:c>
      <ns0:c r="C391" s="10" t="str">
        <ns0:v>000066</ns0:v>
      </ns0:c>
      <ns0:c r="D391" s="8" t="str">
        <ns0:v>지원</ns0:v>
      </ns0:c>
      <ns0:c r="E391" s="8" t="str">
        <ns0:v>C08</ns0:v>
      </ns0:c>
      <ns0:c r="F391" s="12" t="d">
        <ns0:v>2026-10-22T00:00:00.000Z</ns0:v>
      </ns0:c>
      <ns0:c r="G391" s="8" t="n">
        <ns0:v>1</ns0:v>
      </ns0:c>
      <ns0:c r="H391" s="8" t="str">
        <ns0:v>취소</ns0:v>
      </ns0:c>
      <ns0:c r="I391" s="14" t="n">
        <ns0:v>0.05</ns0:v>
      </ns0:c>
      <ns0:c r="J391" s="16"/>
      <ns0:c r="K391" s="8" t="n">
        <ns0:v>1</ns0:v>
      </ns0:c>
      <ns0:c r="L391" s="8"/>
      <ns0:c r="M391" s="8" t="str">
        <ns0:v>C</ns0:v>
      </ns0:c>
    </ns0:row>
    <ns0:row r="392" ht="23" customHeight="1">
      <ns0:c r="B392" s="10" t="str">
        <ns0:v>APP000387</ns0:v>
      </ns0:c>
      <ns0:c r="C392" s="10" t="str">
        <ns0:v>000067</ns0:v>
      </ns0:c>
      <ns0:c r="D392" s="8" t="str">
        <ns0:v>개발</ns0:v>
      </ns0:c>
      <ns0:c r="E392" s="8" t="str">
        <ns0:v>C03</ns0:v>
      </ns0:c>
      <ns0:c r="F392" s="12" t="d">
        <ns0:v>2026-10-23T00:00:00.000Z</ns0:v>
      </ns0:c>
      <ns0:c r="G392" s="8" t="n">
        <ns0:v>2</ns0:v>
      </ns0:c>
      <ns0:c r="H392" s="8" t="str">
        <ns0:v>승인</ns0:v>
      </ns0:c>
      <ns0:c r="I392" s="14" t="n">
        <ns0:v>0.1</ns0:v>
      </ns0:c>
      <ns0:c r="J392" s="16"/>
      <ns0:c r="K392" s="8" t="n">
        <ns0:v>1</ns0:v>
      </ns0:c>
      <ns0:c r="L392" s="8"/>
      <ns0:c r="M392" s="8" t="str">
        <ns0:v>C</ns0:v>
      </ns0:c>
    </ns0:row>
    <ns0:row r="393" ht="23" customHeight="1">
      <ns0:c r="B393" s="10" t="str">
        <ns0:v>APP000388</ns0:v>
      </ns0:c>
      <ns0:c r="C393" s="10" t="str">
        <ns0:v>000068</ns0:v>
      </ns0:c>
      <ns0:c r="D393" s="8" t="str">
        <ns0:v>생산</ns0:v>
      </ns0:c>
      <ns0:c r="E393" s="8" t="str">
        <ns0:v>C10</ns0:v>
      </ns0:c>
      <ns0:c r="F393" s="12" t="d">
        <ns0:v>2026-10-24T00:00:00.000Z</ns0:v>
      </ns0:c>
      <ns0:c r="G393" s="8" t="n">
        <ns0:v>3</ns0:v>
      </ns0:c>
      <ns0:c r="H393" s="8" t="str">
        <ns0:v>승인</ns0:v>
      </ns0:c>
      <ns0:c r="I393" s="14" t="n">
        <ns0:v>0.125</ns0:v>
      </ns0:c>
      <ns0:c r="J393" s="16"/>
      <ns0:c r="K393" s="8" t="n">
        <ns0:v>1</ns0:v>
      </ns0:c>
      <ns0:c r="L393" s="8"/>
      <ns0:c r="M393" s="8" t="str">
        <ns0:v>C</ns0:v>
      </ns0:c>
    </ns0:row>
    <ns0:row r="394" ht="23" customHeight="1">
      <ns0:c r="B394" s="10" t="str">
        <ns0:v>APP000389</ns0:v>
      </ns0:c>
      <ns0:c r="C394" s="10" t="str">
        <ns0:v>000069</ns0:v>
      </ns0:c>
      <ns0:c r="D394" s="8" t="str">
        <ns0:v>품질</ns0:v>
      </ns0:c>
      <ns0:c r="E394" s="8" t="str">
        <ns0:v>C05</ns0:v>
      </ns0:c>
      <ns0:c r="F394" s="12" t="d">
        <ns0:v>2026-10-25T00:00:00.000Z</ns0:v>
      </ns0:c>
      <ns0:c r="G394" s="8" t="n">
        <ns0:v>4</ns0:v>
      </ns0:c>
      <ns0:c r="H394" s="8" t="str">
        <ns0:v>승인</ns0:v>
      </ns0:c>
      <ns0:c r="I394" s="14" t="n">
        <ns0:v>0</ns0:v>
      </ns0:c>
      <ns0:c r="J394" s="16"/>
      <ns0:c r="K394" s="8" t="n">
        <ns0:v>1</ns0:v>
      </ns0:c>
      <ns0:c r="L394" s="8"/>
      <ns0:c r="M394" s="8" t="str">
        <ns0:v>C</ns0:v>
      </ns0:c>
    </ns0:row>
    <ns0:row r="395" ht="23" customHeight="1">
      <ns0:c r="B395" s="10" t="str">
        <ns0:v>APP000390</ns0:v>
      </ns0:c>
      <ns0:c r="C395" s="10" t="str">
        <ns0:v>000070</ns0:v>
      </ns0:c>
      <ns0:c r="D395" s="8" t="str">
        <ns0:v>기획</ns0:v>
      </ns0:c>
      <ns0:c r="E395" s="8" t="str">
        <ns0:v>C12</ns0:v>
      </ns0:c>
      <ns0:c r="F395" s="12" t="d">
        <ns0:v>2026-10-26T00:00:00.000Z</ns0:v>
      </ns0:c>
      <ns0:c r="G395" s="8" t="n">
        <ns0:v>5</ns0:v>
      </ns0:c>
      <ns0:c r="H395" s="8" t="str">
        <ns0:v>승인</ns0:v>
      </ns0:c>
      <ns0:c r="I395" s="14" t="n">
        <ns0:v>0.05</ns0:v>
      </ns0:c>
      <ns0:c r="J395" s="16"/>
      <ns0:c r="K395" s="8" t="n">
        <ns0:v>1</ns0:v>
      </ns0:c>
      <ns0:c r="L395" s="8"/>
      <ns0:c r="M395" s="8" t="str">
        <ns0:v>C</ns0:v>
      </ns0:c>
    </ns0:row>
    <ns0:row r="396" ht="23" customHeight="1">
      <ns0:c r="B396" s="10" t="str">
        <ns0:v>APP000391</ns0:v>
      </ns0:c>
      <ns0:c r="C396" s="10" t="str">
        <ns0:v>000071</ns0:v>
      </ns0:c>
      <ns0:c r="D396" s="8" t="str">
        <ns0:v>영업</ns0:v>
      </ns0:c>
      <ns0:c r="E396" s="8" t="str">
        <ns0:v>C07</ns0:v>
      </ns0:c>
      <ns0:c r="F396" s="12" t="d">
        <ns0:v>2026-10-27T00:00:00.000Z</ns0:v>
      </ns0:c>
      <ns0:c r="G396" s="8" t="n">
        <ns0:v>0</ns0:v>
      </ns0:c>
      <ns0:c r="H396" s="8" t="str">
        <ns0:v>승인</ns0:v>
      </ns0:c>
      <ns0:c r="I396" s="14" t="n">
        <ns0:v>0.1</ns0:v>
      </ns0:c>
      <ns0:c r="J396" s="16"/>
      <ns0:c r="K396" s="8" t="n">
        <ns0:v>1</ns0:v>
      </ns0:c>
      <ns0:c r="L396" s="8"/>
      <ns0:c r="M396" s="8" t="str">
        <ns0:v>C</ns0:v>
      </ns0:c>
    </ns0:row>
    <ns0:row r="397" ht="23" customHeight="1">
      <ns0:c r="B397" s="10" t="str">
        <ns0:v>APP000392</ns0:v>
      </ns0:c>
      <ns0:c r="C397" s="10" t="str">
        <ns0:v>000072</ns0:v>
      </ns0:c>
      <ns0:c r="D397" s="8" t="str">
        <ns0:v>지원</ns0:v>
      </ns0:c>
      <ns0:c r="E397" s="8" t="str">
        <ns0:v>C02</ns0:v>
      </ns0:c>
      <ns0:c r="F397" s="12" t="d">
        <ns0:v>2026-10-28T00:00:00.000Z</ns0:v>
      </ns0:c>
      <ns0:c r="G397" s="8" t="n">
        <ns0:v>1</ns0:v>
      </ns0:c>
      <ns0:c r="H397" s="8" t="str">
        <ns0:v>승인</ns0:v>
      </ns0:c>
      <ns0:c r="I397" s="14" t="n">
        <ns0:v>0.125</ns0:v>
      </ns0:c>
      <ns0:c r="J397" s="16"/>
      <ns0:c r="K397" s="8" t="n">
        <ns0:v>1</ns0:v>
      </ns0:c>
      <ns0:c r="L397" s="8"/>
      <ns0:c r="M397" s="8" t="str">
        <ns0:v>C</ns0:v>
      </ns0:c>
    </ns0:row>
    <ns0:row r="398" ht="23" customHeight="1">
      <ns0:c r="B398" s="10" t="str">
        <ns0:v>APP000393</ns0:v>
      </ns0:c>
      <ns0:c r="C398" s="10" t="str">
        <ns0:v>000073</ns0:v>
      </ns0:c>
      <ns0:c r="D398" s="8" t="str">
        <ns0:v>개발</ns0:v>
      </ns0:c>
      <ns0:c r="E398" s="8" t="str">
        <ns0:v>C09</ns0:v>
      </ns0:c>
      <ns0:c r="F398" s="12" t="d">
        <ns0:v>2026-10-01T00:00:00.000Z</ns0:v>
      </ns0:c>
      <ns0:c r="G398" s="8" t="n">
        <ns0:v>2</ns0:v>
      </ns0:c>
      <ns0:c r="H398" s="8" t="str">
        <ns0:v>대기</ns0:v>
      </ns0:c>
      <ns0:c r="I398" s="14" t="n">
        <ns0:v>0</ns0:v>
      </ns0:c>
      <ns0:c r="J398" s="16"/>
      <ns0:c r="K398" s="8" t="n">
        <ns0:v>1</ns0:v>
      </ns0:c>
      <ns0:c r="L398" s="8"/>
      <ns0:c r="M398" s="8" t="str">
        <ns0:v>C</ns0:v>
      </ns0:c>
    </ns0:row>
    <ns0:row r="399" ht="23" customHeight="1">
      <ns0:c r="B399" s="10" t="str">
        <ns0:v>APP000394</ns0:v>
      </ns0:c>
      <ns0:c r="C399" s="10" t="str">
        <ns0:v>000074</ns0:v>
      </ns0:c>
      <ns0:c r="D399" s="8" t="str">
        <ns0:v>생산</ns0:v>
      </ns0:c>
      <ns0:c r="E399" s="8" t="str">
        <ns0:v>C04</ns0:v>
      </ns0:c>
      <ns0:c r="F399" s="12" t="d">
        <ns0:v>2026-10-02T00:00:00.000Z</ns0:v>
      </ns0:c>
      <ns0:c r="G399" s="8" t="n">
        <ns0:v>3</ns0:v>
      </ns0:c>
      <ns0:c r="H399" s="8" t="str">
        <ns0:v>승인</ns0:v>
      </ns0:c>
      <ns0:c r="I399" s="14" t="n">
        <ns0:v>0.05</ns0:v>
      </ns0:c>
      <ns0:c r="J399" s="16"/>
      <ns0:c r="K399" s="8" t="n">
        <ns0:v>1</ns0:v>
      </ns0:c>
      <ns0:c r="L399" s="8"/>
      <ns0:c r="M399" s="8" t="str">
        <ns0:v>C</ns0:v>
      </ns0:c>
    </ns0:row>
    <ns0:row r="400" ht="23" customHeight="1">
      <ns0:c r="B400" s="10" t="str">
        <ns0:v>APP000395</ns0:v>
      </ns0:c>
      <ns0:c r="C400" s="10" t="str">
        <ns0:v>000075</ns0:v>
      </ns0:c>
      <ns0:c r="D400" s="8" t="str">
        <ns0:v>품질</ns0:v>
      </ns0:c>
      <ns0:c r="E400" s="8" t="str">
        <ns0:v>C11</ns0:v>
      </ns0:c>
      <ns0:c r="F400" s="12" t="d">
        <ns0:v>2026-10-03T00:00:00.000Z</ns0:v>
      </ns0:c>
      <ns0:c r="G400" s="8" t="n">
        <ns0:v>4</ns0:v>
      </ns0:c>
      <ns0:c r="H400" s="8" t="str">
        <ns0:v>승인</ns0:v>
      </ns0:c>
      <ns0:c r="I400" s="14" t="n">
        <ns0:v>0.1</ns0:v>
      </ns0:c>
      <ns0:c r="J400" s="16"/>
      <ns0:c r="K400" s="8" t="n">
        <ns0:v>1</ns0:v>
      </ns0:c>
      <ns0:c r="L400" s="8"/>
      <ns0:c r="M400" s="8" t="str">
        <ns0:v>C</ns0:v>
      </ns0:c>
    </ns0:row>
    <ns0:row r="401" ht="23" customHeight="1">
      <ns0:c r="B401" s="10" t="str">
        <ns0:v>APP000396</ns0:v>
      </ns0:c>
      <ns0:c r="C401" s="10" t="str">
        <ns0:v>000076</ns0:v>
      </ns0:c>
      <ns0:c r="D401" s="8" t="str">
        <ns0:v>기획</ns0:v>
      </ns0:c>
      <ns0:c r="E401" s="8" t="str">
        <ns0:v>C06</ns0:v>
      </ns0:c>
      <ns0:c r="F401" s="12" t="d">
        <ns0:v>2026-10-04T00:00:00.000Z</ns0:v>
      </ns0:c>
      <ns0:c r="G401" s="8" t="n">
        <ns0:v>5</ns0:v>
      </ns0:c>
      <ns0:c r="H401" s="8" t="str">
        <ns0:v>승인</ns0:v>
      </ns0:c>
      <ns0:c r="I401" s="14" t="n">
        <ns0:v>0.125</ns0:v>
      </ns0:c>
      <ns0:c r="J401" s="16" t="n">
        <ns0:v>12345</ns0:v>
      </ns0:c>
      <ns0:c r="K401" s="8" t="n">
        <ns0:v>1</ns0:v>
      </ns0:c>
      <ns0:c r="L401" s="8"/>
      <ns0:c r="M401" s="8" t="str">
        <ns0:v>C</ns0:v>
      </ns0:c>
    </ns0:row>
    <ns0:row r="402" ht="23" customHeight="1">
      <ns0:c r="B402" s="10" t="str">
        <ns0:v>APP000397</ns0:v>
      </ns0:c>
      <ns0:c r="C402" s="10" t="str">
        <ns0:v>000077</ns0:v>
      </ns0:c>
      <ns0:c r="D402" s="8" t="str">
        <ns0:v>영업</ns0:v>
      </ns0:c>
      <ns0:c r="E402" s="8" t="str">
        <ns0:v>C01</ns0:v>
      </ns0:c>
      <ns0:c r="F402" s="12" t="d">
        <ns0:v>2026-10-05T00:00:00.000Z</ns0:v>
      </ns0:c>
      <ns0:c r="G402" s="8" t="n">
        <ns0:v>0</ns0:v>
      </ns0:c>
      <ns0:c r="H402" s="8" t="str">
        <ns0:v>취소</ns0:v>
      </ns0:c>
      <ns0:c r="I402" s="14" t="n">
        <ns0:v>0</ns0:v>
      </ns0:c>
      <ns0:c r="J402" s="16"/>
      <ns0:c r="K402" s="8" t="n">
        <ns0:v>1</ns0:v>
      </ns0:c>
      <ns0:c r="L402" s="8"/>
      <ns0:c r="M402" s="8" t="str">
        <ns0:v>C</ns0:v>
      </ns0:c>
    </ns0:row>
    <ns0:row r="403" ht="23" customHeight="1">
      <ns0:c r="B403" s="10" t="str">
        <ns0:v>APP000398</ns0:v>
      </ns0:c>
      <ns0:c r="C403" s="10" t="str">
        <ns0:v>000078</ns0:v>
      </ns0:c>
      <ns0:c r="D403" s="8" t="str">
        <ns0:v>지원</ns0:v>
      </ns0:c>
      <ns0:c r="E403" s="8" t="str">
        <ns0:v>C08</ns0:v>
      </ns0:c>
      <ns0:c r="F403" s="12" t="d">
        <ns0:v>2026-10-06T00:00:00.000Z</ns0:v>
      </ns0:c>
      <ns0:c r="G403" s="8" t="n">
        <ns0:v>1</ns0:v>
      </ns0:c>
      <ns0:c r="H403" s="8" t="str">
        <ns0:v>승인</ns0:v>
      </ns0:c>
      <ns0:c r="I403" s="14" t="n">
        <ns0:v>0.05</ns0:v>
      </ns0:c>
      <ns0:c r="J403" s="16"/>
      <ns0:c r="K403" s="8" t="n">
        <ns0:v>1</ns0:v>
      </ns0:c>
      <ns0:c r="L403" s="8"/>
      <ns0:c r="M403" s="8" t="str">
        <ns0:v>C</ns0:v>
      </ns0:c>
    </ns0:row>
    <ns0:row r="404" ht="23" customHeight="1">
      <ns0:c r="B404" s="10" t="str">
        <ns0:v>APP000399</ns0:v>
      </ns0:c>
      <ns0:c r="C404" s="10" t="str">
        <ns0:v>000079</ns0:v>
      </ns0:c>
      <ns0:c r="D404" s="8" t="str">
        <ns0:v>개발</ns0:v>
      </ns0:c>
      <ns0:c r="E404" s="8" t="str">
        <ns0:v>C03</ns0:v>
      </ns0:c>
      <ns0:c r="F404" s="12" t="d">
        <ns0:v>2026-10-07T00:00:00.000Z</ns0:v>
      </ns0:c>
      <ns0:c r="G404" s="8" t="n">
        <ns0:v>2</ns0:v>
      </ns0:c>
      <ns0:c r="H404" s="8" t="str">
        <ns0:v>승인</ns0:v>
      </ns0:c>
      <ns0:c r="I404" s="14" t="n">
        <ns0:v>0.1</ns0:v>
      </ns0:c>
      <ns0:c r="J404" s="16"/>
      <ns0:c r="K404" s="8" t="n">
        <ns0:v>1</ns0:v>
      </ns0:c>
      <ns0:c r="L404" s="8"/>
      <ns0:c r="M404" s="8" t="str">
        <ns0:v>C</ns0:v>
      </ns0:c>
    </ns0:row>
    <ns0:row r="405" ht="23" customHeight="1">
      <ns0:c r="B405" s="10" t="str">
        <ns0:v>APP000400</ns0:v>
      </ns0:c>
      <ns0:c r="C405" s="10" t="str">
        <ns0:v>000080</ns0:v>
      </ns0:c>
      <ns0:c r="D405" s="8" t="str">
        <ns0:v>생산</ns0:v>
      </ns0:c>
      <ns0:c r="E405" s="8" t="str">
        <ns0:v>C10</ns0:v>
      </ns0:c>
      <ns0:c r="F405" s="12" t="d">
        <ns0:v>2026-10-08T00:00:00.000Z</ns0:v>
      </ns0:c>
      <ns0:c r="G405" s="8" t="n">
        <ns0:v>3</ns0:v>
      </ns0:c>
      <ns0:c r="H405" s="8" t="str">
        <ns0:v>대기</ns0:v>
      </ns0:c>
      <ns0:c r="I405" s="14" t="n">
        <ns0:v>0.125</ns0:v>
      </ns0:c>
      <ns0:c r="J405" s="16"/>
      <ns0:c r="K405" s="8" t="n">
        <ns0:v>1</ns0:v>
      </ns0:c>
      <ns0:c r="L405" s="8"/>
      <ns0:c r="M405" s="8" t="str">
        <ns0:v>C</ns0:v>
      </ns0:c>
    </ns0:row>
    <ns0:row r="406" ht="23" customHeight="1">
      <ns0:c r="B406" s="10" t="str">
        <ns0:v>APP000401</ns0:v>
      </ns0:c>
      <ns0:c r="C406" s="10" t="str">
        <ns0:v>000081</ns0:v>
      </ns0:c>
      <ns0:c r="D406" s="8" t="str">
        <ns0:v>품질</ns0:v>
      </ns0:c>
      <ns0:c r="E406" s="8" t="str">
        <ns0:v>C05</ns0:v>
      </ns0:c>
      <ns0:c r="F406" s="12" t="d">
        <ns0:v>2026-10-09T00:00:00.000Z</ns0:v>
      </ns0:c>
      <ns0:c r="G406" s="8" t="n">
        <ns0:v>4</ns0:v>
      </ns0:c>
      <ns0:c r="H406" s="8" t="str">
        <ns0:v>승인</ns0:v>
      </ns0:c>
      <ns0:c r="I406" s="14" t="n">
        <ns0:v>0</ns0:v>
      </ns0:c>
      <ns0:c r="J406" s="16"/>
      <ns0:c r="K406" s="8" t="n">
        <ns0:v>1</ns0:v>
      </ns0:c>
      <ns0:c r="L406" s="8"/>
      <ns0:c r="M406" s="8" t="str">
        <ns0:v>C</ns0:v>
      </ns0:c>
    </ns0:row>
    <ns0:row r="407" ht="23" customHeight="1">
      <ns0:c r="B407" s="10" t="str">
        <ns0:v>APP000402</ns0:v>
      </ns0:c>
      <ns0:c r="C407" s="10" t="str">
        <ns0:v>000082</ns0:v>
      </ns0:c>
      <ns0:c r="D407" s="8" t="str">
        <ns0:v>기획</ns0:v>
      </ns0:c>
      <ns0:c r="E407" s="8" t="str">
        <ns0:v>C12</ns0:v>
      </ns0:c>
      <ns0:c r="F407" s="12" t="d">
        <ns0:v>2026-10-10T00:00:00.000Z</ns0:v>
      </ns0:c>
      <ns0:c r="G407" s="8" t="n">
        <ns0:v>5</ns0:v>
      </ns0:c>
      <ns0:c r="H407" s="8" t="str">
        <ns0:v>승인</ns0:v>
      </ns0:c>
      <ns0:c r="I407" s="14" t="n">
        <ns0:v>0.05</ns0:v>
      </ns0:c>
      <ns0:c r="J407" s="16"/>
      <ns0:c r="K407" s="8" t="n">
        <ns0:v>1</ns0:v>
      </ns0:c>
      <ns0:c r="L407" s="8"/>
      <ns0:c r="M407" s="8" t="str">
        <ns0:v>C</ns0:v>
      </ns0:c>
    </ns0:row>
    <ns0:row r="408" ht="23" customHeight="1">
      <ns0:c r="B408" s="10" t="str">
        <ns0:v>APP000403</ns0:v>
      </ns0:c>
      <ns0:c r="C408" s="10" t="str">
        <ns0:v>000083</ns0:v>
      </ns0:c>
      <ns0:c r="D408" s="8" t="str">
        <ns0:v>영업</ns0:v>
      </ns0:c>
      <ns0:c r="E408" s="8" t="str">
        <ns0:v>C07</ns0:v>
      </ns0:c>
      <ns0:c r="F408" s="12" t="d">
        <ns0:v>2026-10-11T00:00:00.000Z</ns0:v>
      </ns0:c>
      <ns0:c r="G408" s="8" t="n">
        <ns0:v>0</ns0:v>
      </ns0:c>
      <ns0:c r="H408" s="8" t="str">
        <ns0:v>승인</ns0:v>
      </ns0:c>
      <ns0:c r="I408" s="14" t="n">
        <ns0:v>0.1</ns0:v>
      </ns0:c>
      <ns0:c r="J408" s="16"/>
      <ns0:c r="K408" s="8" t="n">
        <ns0:v>1</ns0:v>
      </ns0:c>
      <ns0:c r="L408" s="8"/>
      <ns0:c r="M408" s="8" t="str">
        <ns0:v>C</ns0:v>
      </ns0:c>
    </ns0:row>
    <ns0:row r="409" ht="23" customHeight="1">
      <ns0:c r="B409" s="10" t="str">
        <ns0:v>APP000404</ns0:v>
      </ns0:c>
      <ns0:c r="C409" s="10" t="str">
        <ns0:v>000084</ns0:v>
      </ns0:c>
      <ns0:c r="D409" s="8" t="str">
        <ns0:v>지원</ns0:v>
      </ns0:c>
      <ns0:c r="E409" s="8" t="str">
        <ns0:v>C02</ns0:v>
      </ns0:c>
      <ns0:c r="F409" s="12" t="d">
        <ns0:v>2026-10-12T00:00:00.000Z</ns0:v>
      </ns0:c>
      <ns0:c r="G409" s="8" t="n">
        <ns0:v>1</ns0:v>
      </ns0:c>
      <ns0:c r="H409" s="8" t="str">
        <ns0:v>승인</ns0:v>
      </ns0:c>
      <ns0:c r="I409" s="14" t="n">
        <ns0:v>0.125</ns0:v>
      </ns0:c>
      <ns0:c r="J409" s="16"/>
      <ns0:c r="K409" s="8" t="n">
        <ns0:v>1</ns0:v>
      </ns0:c>
      <ns0:c r="L409" s="8"/>
      <ns0:c r="M409" s="8" t="str">
        <ns0:v>C</ns0:v>
      </ns0:c>
    </ns0:row>
    <ns0:row r="410" ht="23" customHeight="1">
      <ns0:c r="B410" s="10" t="str">
        <ns0:v>APP000405</ns0:v>
      </ns0:c>
      <ns0:c r="C410" s="10" t="str">
        <ns0:v>000085</ns0:v>
      </ns0:c>
      <ns0:c r="D410" s="8" t="str">
        <ns0:v>개발</ns0:v>
      </ns0:c>
      <ns0:c r="E410" s="8" t="str">
        <ns0:v>C09</ns0:v>
      </ns0:c>
      <ns0:c r="F410" s="12" t="d">
        <ns0:v>2026-10-13T00:00:00.000Z</ns0:v>
      </ns0:c>
      <ns0:c r="G410" s="8" t="n">
        <ns0:v>2</ns0:v>
      </ns0:c>
      <ns0:c r="H410" s="8" t="str">
        <ns0:v>승인</ns0:v>
      </ns0:c>
      <ns0:c r="I410" s="14" t="n">
        <ns0:v>0</ns0:v>
      </ns0:c>
      <ns0:c r="J410" s="16"/>
      <ns0:c r="K410" s="8" t="n">
        <ns0:v>1</ns0:v>
      </ns0:c>
      <ns0:c r="L410" s="8"/>
      <ns0:c r="M410" s="8" t="str">
        <ns0:v>C</ns0:v>
      </ns0:c>
    </ns0:row>
    <ns0:row r="411" ht="23" customHeight="1">
      <ns0:c r="B411" s="10" t="str">
        <ns0:v>APP000406</ns0:v>
      </ns0:c>
      <ns0:c r="C411" s="10" t="str">
        <ns0:v>000086</ns0:v>
      </ns0:c>
      <ns0:c r="D411" s="8" t="str">
        <ns0:v>생산</ns0:v>
      </ns0:c>
      <ns0:c r="E411" s="8" t="str">
        <ns0:v>C04</ns0:v>
      </ns0:c>
      <ns0:c r="F411" s="12" t="d">
        <ns0:v>2026-10-14T00:00:00.000Z</ns0:v>
      </ns0:c>
      <ns0:c r="G411" s="8" t="n">
        <ns0:v>3</ns0:v>
      </ns0:c>
      <ns0:c r="H411" s="8" t="str">
        <ns0:v>승인</ns0:v>
      </ns0:c>
      <ns0:c r="I411" s="14" t="n">
        <ns0:v>0.05</ns0:v>
      </ns0:c>
      <ns0:c r="J411" s="16"/>
      <ns0:c r="K411" s="8" t="n">
        <ns0:v>1</ns0:v>
      </ns0:c>
      <ns0:c r="L411" s="8"/>
      <ns0:c r="M411" s="8" t="str">
        <ns0:v>C</ns0:v>
      </ns0:c>
    </ns0:row>
    <ns0:row r="412" ht="23" customHeight="1">
      <ns0:c r="B412" s="10" t="str">
        <ns0:v>APP000407</ns0:v>
      </ns0:c>
      <ns0:c r="C412" s="10" t="str">
        <ns0:v>000087</ns0:v>
      </ns0:c>
      <ns0:c r="D412" s="8" t="str">
        <ns0:v>품질</ns0:v>
      </ns0:c>
      <ns0:c r="E412" s="8" t="str">
        <ns0:v>C11</ns0:v>
      </ns0:c>
      <ns0:c r="F412" s="12" t="d">
        <ns0:v>2026-10-15T00:00:00.000Z</ns0:v>
      </ns0:c>
      <ns0:c r="G412" s="8" t="n">
        <ns0:v>4</ns0:v>
      </ns0:c>
      <ns0:c r="H412" s="8" t="str">
        <ns0:v>대기</ns0:v>
      </ns0:c>
      <ns0:c r="I412" s="14" t="n">
        <ns0:v>0.1</ns0:v>
      </ns0:c>
      <ns0:c r="J412" s="16"/>
      <ns0:c r="K412" s="8" t="n">
        <ns0:v>1</ns0:v>
      </ns0:c>
      <ns0:c r="L412" s="8"/>
      <ns0:c r="M412" s="8" t="str">
        <ns0:v>C</ns0:v>
      </ns0:c>
    </ns0:row>
    <ns0:row r="413" ht="23" customHeight="1">
      <ns0:c r="B413" s="10" t="str">
        <ns0:v>APP000408</ns0:v>
      </ns0:c>
      <ns0:c r="C413" s="10" t="str">
        <ns0:v>000088</ns0:v>
      </ns0:c>
      <ns0:c r="D413" s="8" t="str">
        <ns0:v>기획</ns0:v>
      </ns0:c>
      <ns0:c r="E413" s="8" t="str">
        <ns0:v>C06</ns0:v>
      </ns0:c>
      <ns0:c r="F413" s="12" t="d">
        <ns0:v>2026-10-16T00:00:00.000Z</ns0:v>
      </ns0:c>
      <ns0:c r="G413" s="8" t="n">
        <ns0:v>5</ns0:v>
      </ns0:c>
      <ns0:c r="H413" s="8" t="str">
        <ns0:v>취소</ns0:v>
      </ns0:c>
      <ns0:c r="I413" s="14" t="n">
        <ns0:v>0.125</ns0:v>
      </ns0:c>
      <ns0:c r="J413" s="16"/>
      <ns0:c r="K413" s="8" t="n">
        <ns0:v>1</ns0:v>
      </ns0:c>
      <ns0:c r="L413" s="8"/>
      <ns0:c r="M413" s="8" t="str">
        <ns0:v>C</ns0:v>
      </ns0:c>
    </ns0:row>
    <ns0:row r="414" ht="23" customHeight="1">
      <ns0:c r="B414" s="10" t="str">
        <ns0:v>APP000409</ns0:v>
      </ns0:c>
      <ns0:c r="C414" s="10" t="str">
        <ns0:v>000089</ns0:v>
      </ns0:c>
      <ns0:c r="D414" s="8" t="str">
        <ns0:v>영업</ns0:v>
      </ns0:c>
      <ns0:c r="E414" s="8" t="str">
        <ns0:v>C01</ns0:v>
      </ns0:c>
      <ns0:c r="F414" s="12" t="d">
        <ns0:v>2026-10-17T00:00:00.000Z</ns0:v>
      </ns0:c>
      <ns0:c r="G414" s="8" t="n">
        <ns0:v>0</ns0:v>
      </ns0:c>
      <ns0:c r="H414" s="8" t="str">
        <ns0:v>승인</ns0:v>
      </ns0:c>
      <ns0:c r="I414" s="14" t="n">
        <ns0:v>0</ns0:v>
      </ns0:c>
      <ns0:c r="J414" s="16"/>
      <ns0:c r="K414" s="8" t="n">
        <ns0:v>1</ns0:v>
      </ns0:c>
      <ns0:c r="L414" s="8"/>
      <ns0:c r="M414" s="8" t="str">
        <ns0:v>C</ns0:v>
      </ns0:c>
    </ns0:row>
    <ns0:row r="415" ht="23" customHeight="1">
      <ns0:c r="B415" s="10" t="str">
        <ns0:v>APP000410</ns0:v>
      </ns0:c>
      <ns0:c r="C415" s="10" t="str">
        <ns0:v>000090</ns0:v>
      </ns0:c>
      <ns0:c r="D415" s="8" t="str">
        <ns0:v>지원</ns0:v>
      </ns0:c>
      <ns0:c r="E415" s="8" t="str">
        <ns0:v>C08</ns0:v>
      </ns0:c>
      <ns0:c r="F415" s="12" t="d">
        <ns0:v>2026-10-18T00:00:00.000Z</ns0:v>
      </ns0:c>
      <ns0:c r="G415" s="8" t="n">
        <ns0:v>1</ns0:v>
      </ns0:c>
      <ns0:c r="H415" s="8" t="str">
        <ns0:v>승인</ns0:v>
      </ns0:c>
      <ns0:c r="I415" s="14" t="n">
        <ns0:v>0.05</ns0:v>
      </ns0:c>
      <ns0:c r="J415" s="16"/>
      <ns0:c r="K415" s="8" t="n">
        <ns0:v>1</ns0:v>
      </ns0:c>
      <ns0:c r="L415" s="8"/>
      <ns0:c r="M415" s="8" t="str">
        <ns0:v>C</ns0:v>
      </ns0:c>
    </ns0:row>
    <ns0:row r="416" ht="23" customHeight="1">
      <ns0:c r="B416" s="10" t="str">
        <ns0:v>APP000411</ns0:v>
      </ns0:c>
      <ns0:c r="C416" s="10" t="str">
        <ns0:v>000091</ns0:v>
      </ns0:c>
      <ns0:c r="D416" s="8" t="str">
        <ns0:v>개발</ns0:v>
      </ns0:c>
      <ns0:c r="E416" s="8" t="str">
        <ns0:v>C03</ns0:v>
      </ns0:c>
      <ns0:c r="F416" s="12" t="d">
        <ns0:v>2026-10-19T00:00:00.000Z</ns0:v>
      </ns0:c>
      <ns0:c r="G416" s="8" t="n">
        <ns0:v>2</ns0:v>
      </ns0:c>
      <ns0:c r="H416" s="8" t="str">
        <ns0:v>승인</ns0:v>
      </ns0:c>
      <ns0:c r="I416" s="14" t="n">
        <ns0:v>0.1</ns0:v>
      </ns0:c>
      <ns0:c r="J416" s="16"/>
      <ns0:c r="K416" s="8" t="n">
        <ns0:v>1</ns0:v>
      </ns0:c>
      <ns0:c r="L416" s="8"/>
      <ns0:c r="M416" s="8" t="str">
        <ns0:v>C</ns0:v>
      </ns0:c>
    </ns0:row>
    <ns0:row r="417" ht="23" customHeight="1">
      <ns0:c r="B417" s="10" t="str">
        <ns0:v>APP000412</ns0:v>
      </ns0:c>
      <ns0:c r="C417" s="10" t="str">
        <ns0:v>000092</ns0:v>
      </ns0:c>
      <ns0:c r="D417" s="8" t="str">
        <ns0:v>생산</ns0:v>
      </ns0:c>
      <ns0:c r="E417" s="8" t="str">
        <ns0:v>C10</ns0:v>
      </ns0:c>
      <ns0:c r="F417" s="12" t="d">
        <ns0:v>2026-10-20T00:00:00.000Z</ns0:v>
      </ns0:c>
      <ns0:c r="G417" s="8" t="n">
        <ns0:v>3</ns0:v>
      </ns0:c>
      <ns0:c r="H417" s="8" t="str">
        <ns0:v>승인</ns0:v>
      </ns0:c>
      <ns0:c r="I417" s="14" t="n">
        <ns0:v>0.125</ns0:v>
      </ns0:c>
      <ns0:c r="J417" s="16"/>
      <ns0:c r="K417" s="8" t="n">
        <ns0:v>1</ns0:v>
      </ns0:c>
      <ns0:c r="L417" s="8"/>
      <ns0:c r="M417" s="8" t="str">
        <ns0:v>C</ns0:v>
      </ns0:c>
    </ns0:row>
    <ns0:row r="418" ht="23" customHeight="1">
      <ns0:c r="B418" s="10" t="str">
        <ns0:v>APP000413</ns0:v>
      </ns0:c>
      <ns0:c r="C418" s="10" t="str">
        <ns0:v>000093</ns0:v>
      </ns0:c>
      <ns0:c r="D418" s="8" t="str">
        <ns0:v>품질</ns0:v>
      </ns0:c>
      <ns0:c r="E418" s="8" t="str">
        <ns0:v>C05</ns0:v>
      </ns0:c>
      <ns0:c r="F418" s="12" t="d">
        <ns0:v>2026-10-21T00:00:00.000Z</ns0:v>
      </ns0:c>
      <ns0:c r="G418" s="8" t="n">
        <ns0:v>4</ns0:v>
      </ns0:c>
      <ns0:c r="H418" s="8" t="str">
        <ns0:v>승인</ns0:v>
      </ns0:c>
      <ns0:c r="I418" s="14" t="n">
        <ns0:v>0</ns0:v>
      </ns0:c>
      <ns0:c r="J418" s="16"/>
      <ns0:c r="K418" s="8" t="n">
        <ns0:v>1</ns0:v>
      </ns0:c>
      <ns0:c r="L418" s="8"/>
      <ns0:c r="M418" s="8" t="str">
        <ns0:v>C</ns0:v>
      </ns0:c>
    </ns0:row>
    <ns0:row r="419" ht="23" customHeight="1">
      <ns0:c r="B419" s="10" t="str">
        <ns0:v>APP000414</ns0:v>
      </ns0:c>
      <ns0:c r="C419" s="10" t="str">
        <ns0:v>000094</ns0:v>
      </ns0:c>
      <ns0:c r="D419" s="8" t="str">
        <ns0:v>기획</ns0:v>
      </ns0:c>
      <ns0:c r="E419" s="8" t="str">
        <ns0:v>C12</ns0:v>
      </ns0:c>
      <ns0:c r="F419" s="12" t="d">
        <ns0:v>2026-10-22T00:00:00.000Z</ns0:v>
      </ns0:c>
      <ns0:c r="G419" s="8" t="n">
        <ns0:v>5</ns0:v>
      </ns0:c>
      <ns0:c r="H419" s="8" t="str">
        <ns0:v>대기</ns0:v>
      </ns0:c>
      <ns0:c r="I419" s="14" t="n">
        <ns0:v>0.05</ns0:v>
      </ns0:c>
      <ns0:c r="J419" s="16"/>
      <ns0:c r="K419" s="8" t="n">
        <ns0:v>1</ns0:v>
      </ns0:c>
      <ns0:c r="L419" s="8"/>
      <ns0:c r="M419" s="8" t="str">
        <ns0:v>C</ns0:v>
      </ns0:c>
    </ns0:row>
    <ns0:row r="420" ht="23" customHeight="1">
      <ns0:c r="B420" s="10" t="str">
        <ns0:v>APP000415</ns0:v>
      </ns0:c>
      <ns0:c r="C420" s="10" t="str">
        <ns0:v>000095</ns0:v>
      </ns0:c>
      <ns0:c r="D420" s="8" t="str">
        <ns0:v>영업</ns0:v>
      </ns0:c>
      <ns0:c r="E420" s="8" t="str">
        <ns0:v>C07</ns0:v>
      </ns0:c>
      <ns0:c r="F420" s="12" t="d">
        <ns0:v>2026-10-23T00:00:00.000Z</ns0:v>
      </ns0:c>
      <ns0:c r="G420" s="8" t="n">
        <ns0:v>0</ns0:v>
      </ns0:c>
      <ns0:c r="H420" s="8" t="str">
        <ns0:v>승인</ns0:v>
      </ns0:c>
      <ns0:c r="I420" s="14" t="n">
        <ns0:v>0.1</ns0:v>
      </ns0:c>
      <ns0:c r="J420" s="16"/>
      <ns0:c r="K420" s="8" t="n">
        <ns0:v>1</ns0:v>
      </ns0:c>
      <ns0:c r="L420" s="8"/>
      <ns0:c r="M420" s="8" t="str">
        <ns0:v>C</ns0:v>
      </ns0:c>
    </ns0:row>
    <ns0:row r="421" ht="23" customHeight="1">
      <ns0:c r="B421" s="10" t="str">
        <ns0:v>APP000416</ns0:v>
      </ns0:c>
      <ns0:c r="C421" s="10" t="str">
        <ns0:v>000096</ns0:v>
      </ns0:c>
      <ns0:c r="D421" s="8" t="str">
        <ns0:v>지원</ns0:v>
      </ns0:c>
      <ns0:c r="E421" s="8" t="str">
        <ns0:v>C02</ns0:v>
      </ns0:c>
      <ns0:c r="F421" s="12" t="d">
        <ns0:v>2026-10-24T00:00:00.000Z</ns0:v>
      </ns0:c>
      <ns0:c r="G421" s="8" t="n">
        <ns0:v>1</ns0:v>
      </ns0:c>
      <ns0:c r="H421" s="8" t="str">
        <ns0:v>승인</ns0:v>
      </ns0:c>
      <ns0:c r="I421" s="14" t="n">
        <ns0:v>0.125</ns0:v>
      </ns0:c>
      <ns0:c r="J421" s="16"/>
      <ns0:c r="K421" s="8" t="n">
        <ns0:v>1</ns0:v>
      </ns0:c>
      <ns0:c r="L421" s="8"/>
      <ns0:c r="M421" s="8" t="str">
        <ns0:v>C</ns0:v>
      </ns0:c>
    </ns0:row>
    <ns0:row r="422" ht="23" customHeight="1">
      <ns0:c r="B422" s="10" t="str">
        <ns0:v>APP000417</ns0:v>
      </ns0:c>
      <ns0:c r="C422" s="10" t="str">
        <ns0:v>000097</ns0:v>
      </ns0:c>
      <ns0:c r="D422" s="8" t="str">
        <ns0:v>개발</ns0:v>
      </ns0:c>
      <ns0:c r="E422" s="8" t="str">
        <ns0:v>C09</ns0:v>
      </ns0:c>
      <ns0:c r="F422" s="12" t="d">
        <ns0:v>2026-10-25T00:00:00.000Z</ns0:v>
      </ns0:c>
      <ns0:c r="G422" s="8" t="n">
        <ns0:v>2</ns0:v>
      </ns0:c>
      <ns0:c r="H422" s="8" t="str">
        <ns0:v>승인</ns0:v>
      </ns0:c>
      <ns0:c r="I422" s="14" t="n">
        <ns0:v>0</ns0:v>
      </ns0:c>
      <ns0:c r="J422" s="16"/>
      <ns0:c r="K422" s="8" t="n">
        <ns0:v>1</ns0:v>
      </ns0:c>
      <ns0:c r="L422" s="8"/>
      <ns0:c r="M422" s="8" t="str">
        <ns0:v>C</ns0:v>
      </ns0:c>
    </ns0:row>
    <ns0:row r="423" ht="23" customHeight="1">
      <ns0:c r="B423" s="10" t="str">
        <ns0:v>APP000418</ns0:v>
      </ns0:c>
      <ns0:c r="C423" s="10" t="str">
        <ns0:v>000098</ns0:v>
      </ns0:c>
      <ns0:c r="D423" s="8" t="str">
        <ns0:v>생산</ns0:v>
      </ns0:c>
      <ns0:c r="E423" s="8" t="str">
        <ns0:v>C04</ns0:v>
      </ns0:c>
      <ns0:c r="F423" s="12" t="d">
        <ns0:v>2026-10-26T00:00:00.000Z</ns0:v>
      </ns0:c>
      <ns0:c r="G423" s="8" t="n">
        <ns0:v>3</ns0:v>
      </ns0:c>
      <ns0:c r="H423" s="8" t="str">
        <ns0:v>승인</ns0:v>
      </ns0:c>
      <ns0:c r="I423" s="14" t="n">
        <ns0:v>0.05</ns0:v>
      </ns0:c>
      <ns0:c r="J423" s="16"/>
      <ns0:c r="K423" s="8" t="n">
        <ns0:v>1</ns0:v>
      </ns0:c>
      <ns0:c r="L423" s="8"/>
      <ns0:c r="M423" s="8" t="str">
        <ns0:v>C</ns0:v>
      </ns0:c>
    </ns0:row>
    <ns0:row r="424" ht="23" customHeight="1">
      <ns0:c r="B424" s="10" t="str">
        <ns0:v>APP000419</ns0:v>
      </ns0:c>
      <ns0:c r="C424" s="10" t="str">
        <ns0:v>000099</ns0:v>
      </ns0:c>
      <ns0:c r="D424" s="8" t="str">
        <ns0:v>품질</ns0:v>
      </ns0:c>
      <ns0:c r="E424" s="8" t="str">
        <ns0:v>C11</ns0:v>
      </ns0:c>
      <ns0:c r="F424" s="12" t="d">
        <ns0:v>2026-10-27T00:00:00.000Z</ns0:v>
      </ns0:c>
      <ns0:c r="G424" s="8" t="n">
        <ns0:v>4</ns0:v>
      </ns0:c>
      <ns0:c r="H424" s="8" t="str">
        <ns0:v>취소</ns0:v>
      </ns0:c>
      <ns0:c r="I424" s="14" t="n">
        <ns0:v>0.1</ns0:v>
      </ns0:c>
      <ns0:c r="J424" s="16"/>
      <ns0:c r="K424" s="8" t="n">
        <ns0:v>1</ns0:v>
      </ns0:c>
      <ns0:c r="L424" s="8"/>
      <ns0:c r="M424" s="8" t="str">
        <ns0:v>C</ns0:v>
      </ns0:c>
    </ns0:row>
    <ns0:row r="425" ht="23" customHeight="1">
      <ns0:c r="B425" s="10" t="str">
        <ns0:v>APP000420</ns0:v>
      </ns0:c>
      <ns0:c r="C425" s="10" t="str">
        <ns0:v>000100</ns0:v>
      </ns0:c>
      <ns0:c r="D425" s="8" t="str">
        <ns0:v>기획</ns0:v>
      </ns0:c>
      <ns0:c r="E425" s="8" t="str">
        <ns0:v>C06</ns0:v>
      </ns0:c>
      <ns0:c r="F425" s="12" t="d">
        <ns0:v>2026-10-28T00:00:00.000Z</ns0:v>
      </ns0:c>
      <ns0:c r="G425" s="8" t="n">
        <ns0:v>5</ns0:v>
      </ns0:c>
      <ns0:c r="H425" s="8" t="str">
        <ns0:v>승인</ns0:v>
      </ns0:c>
      <ns0:c r="I425" s="14" t="n">
        <ns0:v>0.125</ns0:v>
      </ns0:c>
      <ns0:c r="J425" s="16"/>
      <ns0:c r="K425" s="8" t="n">
        <ns0:v>1</ns0:v>
      </ns0:c>
      <ns0:c r="L425" s="8"/>
      <ns0:c r="M425" s="8" t="str">
        <ns0:v>C</ns0:v>
      </ns0:c>
    </ns0:row>
    <ns0:row r="426" ht="23" customHeight="1">
      <ns0:c r="B426" s="10" t="str">
        <ns0:v>APP000421</ns0:v>
      </ns0:c>
      <ns0:c r="C426" s="10" t="str">
        <ns0:v>000101</ns0:v>
      </ns0:c>
      <ns0:c r="D426" s="8" t="str">
        <ns0:v>영업</ns0:v>
      </ns0:c>
      <ns0:c r="E426" s="8" t="str">
        <ns0:v>C01</ns0:v>
      </ns0:c>
      <ns0:c r="F426" s="12" t="d">
        <ns0:v>2026-10-01T00:00:00.000Z</ns0:v>
      </ns0:c>
      <ns0:c r="G426" s="8" t="n">
        <ns0:v>0</ns0:v>
      </ns0:c>
      <ns0:c r="H426" s="8" t="str">
        <ns0:v>대기</ns0:v>
      </ns0:c>
      <ns0:c r="I426" s="14" t="n">
        <ns0:v>0</ns0:v>
      </ns0:c>
      <ns0:c r="J426" s="16"/>
      <ns0:c r="K426" s="8" t="n">
        <ns0:v>1</ns0:v>
      </ns0:c>
      <ns0:c r="L426" s="8"/>
      <ns0:c r="M426" s="8" t="str">
        <ns0:v>C</ns0:v>
      </ns0:c>
    </ns0:row>
    <ns0:row r="427" ht="23" customHeight="1">
      <ns0:c r="B427" s="10" t="str">
        <ns0:v>APP000422</ns0:v>
      </ns0:c>
      <ns0:c r="C427" s="10" t="str">
        <ns0:v>000102</ns0:v>
      </ns0:c>
      <ns0:c r="D427" s="8" t="str">
        <ns0:v>지원</ns0:v>
      </ns0:c>
      <ns0:c r="E427" s="8" t="str">
        <ns0:v>C08</ns0:v>
      </ns0:c>
      <ns0:c r="F427" s="12" t="d">
        <ns0:v>2026-10-02T00:00:00.000Z</ns0:v>
      </ns0:c>
      <ns0:c r="G427" s="8" t="n">
        <ns0:v>1</ns0:v>
      </ns0:c>
      <ns0:c r="H427" s="8" t="str">
        <ns0:v>승인</ns0:v>
      </ns0:c>
      <ns0:c r="I427" s="14" t="n">
        <ns0:v>0.05</ns0:v>
      </ns0:c>
      <ns0:c r="J427" s="16"/>
      <ns0:c r="K427" s="8" t="n">
        <ns0:v>1</ns0:v>
      </ns0:c>
      <ns0:c r="L427" s="8"/>
      <ns0:c r="M427" s="8" t="str">
        <ns0:v>C</ns0:v>
      </ns0:c>
    </ns0:row>
    <ns0:row r="428" ht="23" customHeight="1">
      <ns0:c r="B428" s="10" t="str">
        <ns0:v>APP000423</ns0:v>
      </ns0:c>
      <ns0:c r="C428" s="10" t="str">
        <ns0:v>000103</ns0:v>
      </ns0:c>
      <ns0:c r="D428" s="8" t="str">
        <ns0:v>개발</ns0:v>
      </ns0:c>
      <ns0:c r="E428" s="8" t="str">
        <ns0:v>C03</ns0:v>
      </ns0:c>
      <ns0:c r="F428" s="12" t="d">
        <ns0:v>2026-10-03T00:00:00.000Z</ns0:v>
      </ns0:c>
      <ns0:c r="G428" s="8" t="n">
        <ns0:v>2</ns0:v>
      </ns0:c>
      <ns0:c r="H428" s="8" t="str">
        <ns0:v>승인</ns0:v>
      </ns0:c>
      <ns0:c r="I428" s="14" t="n">
        <ns0:v>0.1</ns0:v>
      </ns0:c>
      <ns0:c r="J428" s="16"/>
      <ns0:c r="K428" s="8" t="n">
        <ns0:v>1</ns0:v>
      </ns0:c>
      <ns0:c r="L428" s="8"/>
      <ns0:c r="M428" s="8" t="str">
        <ns0:v>C</ns0:v>
      </ns0:c>
    </ns0:row>
    <ns0:row r="429" ht="23" customHeight="1">
      <ns0:c r="B429" s="10" t="str">
        <ns0:v>APP000424</ns0:v>
      </ns0:c>
      <ns0:c r="C429" s="10" t="str">
        <ns0:v>000104</ns0:v>
      </ns0:c>
      <ns0:c r="D429" s="8" t="str">
        <ns0:v>생산</ns0:v>
      </ns0:c>
      <ns0:c r="E429" s="8" t="str">
        <ns0:v>C10</ns0:v>
      </ns0:c>
      <ns0:c r="F429" s="12" t="d">
        <ns0:v>2026-10-04T00:00:00.000Z</ns0:v>
      </ns0:c>
      <ns0:c r="G429" s="8" t="n">
        <ns0:v>3</ns0:v>
      </ns0:c>
      <ns0:c r="H429" s="8" t="str">
        <ns0:v>승인</ns0:v>
      </ns0:c>
      <ns0:c r="I429" s="14" t="n">
        <ns0:v>0.125</ns0:v>
      </ns0:c>
      <ns0:c r="J429" s="16"/>
      <ns0:c r="K429" s="8" t="n">
        <ns0:v>1</ns0:v>
      </ns0:c>
      <ns0:c r="L429" s="8"/>
      <ns0:c r="M429" s="8" t="str">
        <ns0:v>C</ns0:v>
      </ns0:c>
    </ns0:row>
    <ns0:row r="430" ht="23" customHeight="1">
      <ns0:c r="B430" s="10" t="str">
        <ns0:v>APP000425</ns0:v>
      </ns0:c>
      <ns0:c r="C430" s="10" t="str">
        <ns0:v>000105</ns0:v>
      </ns0:c>
      <ns0:c r="D430" s="8" t="str">
        <ns0:v>품질</ns0:v>
      </ns0:c>
      <ns0:c r="E430" s="8" t="str">
        <ns0:v>C05</ns0:v>
      </ns0:c>
      <ns0:c r="F430" s="12" t="d">
        <ns0:v>2026-10-05T00:00:00.000Z</ns0:v>
      </ns0:c>
      <ns0:c r="G430" s="8" t="n">
        <ns0:v>4</ns0:v>
      </ns0:c>
      <ns0:c r="H430" s="8" t="str">
        <ns0:v>승인</ns0:v>
      </ns0:c>
      <ns0:c r="I430" s="14" t="n">
        <ns0:v>0</ns0:v>
      </ns0:c>
      <ns0:c r="J430" s="16" t="n">
        <ns0:v>0</ns0:v>
      </ns0:c>
      <ns0:c r="K430" s="8" t="n">
        <ns0:v>1</ns0:v>
      </ns0:c>
      <ns0:c r="L430" s="8" t="str">
        <ns0:v>0원 수동금액 유지</ns0:v>
      </ns0:c>
      <ns0:c r="M430" s="8" t="str">
        <ns0:v>C</ns0:v>
      </ns0:c>
    </ns0:row>
    <ns0:row r="431" ht="23" customHeight="1">
      <ns0:c r="B431" s="10" t="str">
        <ns0:v>APP000426</ns0:v>
      </ns0:c>
      <ns0:c r="C431" s="10" t="str">
        <ns0:v>000106</ns0:v>
      </ns0:c>
      <ns0:c r="D431" s="8" t="str">
        <ns0:v>기획</ns0:v>
      </ns0:c>
      <ns0:c r="E431" s="8" t="str">
        <ns0:v>C12</ns0:v>
      </ns0:c>
      <ns0:c r="F431" s="12" t="d">
        <ns0:v>2026-10-06T00:00:00.000Z</ns0:v>
      </ns0:c>
      <ns0:c r="G431" s="8" t="n">
        <ns0:v>5</ns0:v>
      </ns0:c>
      <ns0:c r="H431" s="8" t="str">
        <ns0:v>승인</ns0:v>
      </ns0:c>
      <ns0:c r="I431" s="14" t="n">
        <ns0:v>0.05</ns0:v>
      </ns0:c>
      <ns0:c r="J431" s="16"/>
      <ns0:c r="K431" s="8" t="n">
        <ns0:v>1</ns0:v>
      </ns0:c>
      <ns0:c r="L431" s="8"/>
      <ns0:c r="M431" s="8" t="str">
        <ns0:v>C</ns0:v>
      </ns0:c>
    </ns0:row>
    <ns0:row r="432" ht="23" customHeight="1">
      <ns0:c r="B432" s="10" t="str">
        <ns0:v>APP000427</ns0:v>
      </ns0:c>
      <ns0:c r="C432" s="10" t="str">
        <ns0:v>000107</ns0:v>
      </ns0:c>
      <ns0:c r="D432" s="8" t="str">
        <ns0:v>영업</ns0:v>
      </ns0:c>
      <ns0:c r="E432" s="8" t="str">
        <ns0:v>C07</ns0:v>
      </ns0:c>
      <ns0:c r="F432" s="12" t="d">
        <ns0:v>2026-10-07T00:00:00.000Z</ns0:v>
      </ns0:c>
      <ns0:c r="G432" s="8" t="n">
        <ns0:v>0</ns0:v>
      </ns0:c>
      <ns0:c r="H432" s="8" t="str">
        <ns0:v>승인</ns0:v>
      </ns0:c>
      <ns0:c r="I432" s="14" t="n">
        <ns0:v>0.1</ns0:v>
      </ns0:c>
      <ns0:c r="J432" s="16"/>
      <ns0:c r="K432" s="8" t="n">
        <ns0:v>1</ns0:v>
      </ns0:c>
      <ns0:c r="L432" s="8"/>
      <ns0:c r="M432" s="8" t="str">
        <ns0:v>C</ns0:v>
      </ns0:c>
    </ns0:row>
    <ns0:row r="433" ht="23" customHeight="1">
      <ns0:c r="B433" s="10" t="str">
        <ns0:v>APP000428</ns0:v>
      </ns0:c>
      <ns0:c r="C433" s="10" t="str">
        <ns0:v>000108</ns0:v>
      </ns0:c>
      <ns0:c r="D433" s="8" t="str">
        <ns0:v>지원</ns0:v>
      </ns0:c>
      <ns0:c r="E433" s="8" t="str">
        <ns0:v>C02</ns0:v>
      </ns0:c>
      <ns0:c r="F433" s="12" t="d">
        <ns0:v>2026-10-08T00:00:00.000Z</ns0:v>
      </ns0:c>
      <ns0:c r="G433" s="8" t="n">
        <ns0:v>1</ns0:v>
      </ns0:c>
      <ns0:c r="H433" s="8" t="str">
        <ns0:v>대기</ns0:v>
      </ns0:c>
      <ns0:c r="I433" s="14" t="n">
        <ns0:v>0.125</ns0:v>
      </ns0:c>
      <ns0:c r="J433" s="16"/>
      <ns0:c r="K433" s="8" t="n">
        <ns0:v>1</ns0:v>
      </ns0:c>
      <ns0:c r="L433" s="8"/>
      <ns0:c r="M433" s="8" t="str">
        <ns0:v>C</ns0:v>
      </ns0:c>
    </ns0:row>
    <ns0:row r="434" ht="23" customHeight="1">
      <ns0:c r="B434" s="10" t="str">
        <ns0:v>APP000429</ns0:v>
      </ns0:c>
      <ns0:c r="C434" s="10" t="str">
        <ns0:v>000109</ns0:v>
      </ns0:c>
      <ns0:c r="D434" s="8" t="str">
        <ns0:v>개발</ns0:v>
      </ns0:c>
      <ns0:c r="E434" s="8" t="str">
        <ns0:v>C09</ns0:v>
      </ns0:c>
      <ns0:c r="F434" s="12" t="d">
        <ns0:v>2026-10-09T00:00:00.000Z</ns0:v>
      </ns0:c>
      <ns0:c r="G434" s="8" t="n">
        <ns0:v>2</ns0:v>
      </ns0:c>
      <ns0:c r="H434" s="8" t="str">
        <ns0:v>승인</ns0:v>
      </ns0:c>
      <ns0:c r="I434" s="14" t="n">
        <ns0:v>0</ns0:v>
      </ns0:c>
      <ns0:c r="J434" s="16"/>
      <ns0:c r="K434" s="8" t="n">
        <ns0:v>1</ns0:v>
      </ns0:c>
      <ns0:c r="L434" s="8"/>
      <ns0:c r="M434" s="8" t="str">
        <ns0:v>C</ns0:v>
      </ns0:c>
    </ns0:row>
    <ns0:row r="435" ht="23" customHeight="1">
      <ns0:c r="B435" s="10" t="str">
        <ns0:v>APP000430</ns0:v>
      </ns0:c>
      <ns0:c r="C435" s="10" t="str">
        <ns0:v>000110</ns0:v>
      </ns0:c>
      <ns0:c r="D435" s="8" t="str">
        <ns0:v>생산</ns0:v>
      </ns0:c>
      <ns0:c r="E435" s="8" t="str">
        <ns0:v>C04</ns0:v>
      </ns0:c>
      <ns0:c r="F435" s="12" t="d">
        <ns0:v>2026-10-10T00:00:00.000Z</ns0:v>
      </ns0:c>
      <ns0:c r="G435" s="8" t="n">
        <ns0:v>3</ns0:v>
      </ns0:c>
      <ns0:c r="H435" s="8" t="str">
        <ns0:v>취소</ns0:v>
      </ns0:c>
      <ns0:c r="I435" s="14" t="n">
        <ns0:v>0.05</ns0:v>
      </ns0:c>
      <ns0:c r="J435" s="16"/>
      <ns0:c r="K435" s="8" t="n">
        <ns0:v>1</ns0:v>
      </ns0:c>
      <ns0:c r="L435" s="8"/>
      <ns0:c r="M435" s="8" t="str">
        <ns0:v>C</ns0:v>
      </ns0:c>
    </ns0:row>
    <ns0:row r="436" ht="23" customHeight="1">
      <ns0:c r="B436" s="10" t="str">
        <ns0:v>APP000431</ns0:v>
      </ns0:c>
      <ns0:c r="C436" s="10" t="str">
        <ns0:v>000111</ns0:v>
      </ns0:c>
      <ns0:c r="D436" s="8" t="str">
        <ns0:v>품질</ns0:v>
      </ns0:c>
      <ns0:c r="E436" s="8" t="str">
        <ns0:v>C11</ns0:v>
      </ns0:c>
      <ns0:c r="F436" s="12" t="d">
        <ns0:v>2026-10-11T00:00:00.000Z</ns0:v>
      </ns0:c>
      <ns0:c r="G436" s="8" t="n">
        <ns0:v>4</ns0:v>
      </ns0:c>
      <ns0:c r="H436" s="8" t="str">
        <ns0:v>승인</ns0:v>
      </ns0:c>
      <ns0:c r="I436" s="14" t="n">
        <ns0:v>0.1</ns0:v>
      </ns0:c>
      <ns0:c r="J436" s="16"/>
      <ns0:c r="K436" s="8" t="n">
        <ns0:v>1</ns0:v>
      </ns0:c>
      <ns0:c r="L436" s="8"/>
      <ns0:c r="M436" s="8" t="str">
        <ns0:v>C</ns0:v>
      </ns0:c>
    </ns0:row>
    <ns0:row r="437" ht="23" customHeight="1">
      <ns0:c r="B437" s="10" t="str">
        <ns0:v>APP000432</ns0:v>
      </ns0:c>
      <ns0:c r="C437" s="10" t="str">
        <ns0:v>000112</ns0:v>
      </ns0:c>
      <ns0:c r="D437" s="8" t="str">
        <ns0:v>기획</ns0:v>
      </ns0:c>
      <ns0:c r="E437" s="8" t="str">
        <ns0:v>C06</ns0:v>
      </ns0:c>
      <ns0:c r="F437" s="12" t="d">
        <ns0:v>2026-10-12T00:00:00.000Z</ns0:v>
      </ns0:c>
      <ns0:c r="G437" s="8" t="n">
        <ns0:v>5</ns0:v>
      </ns0:c>
      <ns0:c r="H437" s="8" t="str">
        <ns0:v>승인</ns0:v>
      </ns0:c>
      <ns0:c r="I437" s="14" t="n">
        <ns0:v>0.125</ns0:v>
      </ns0:c>
      <ns0:c r="J437" s="16"/>
      <ns0:c r="K437" s="8" t="n">
        <ns0:v>1</ns0:v>
      </ns0:c>
      <ns0:c r="L437" s="8"/>
      <ns0:c r="M437" s="8" t="str">
        <ns0:v>C</ns0:v>
      </ns0:c>
    </ns0:row>
    <ns0:row r="438" ht="23" customHeight="1">
      <ns0:c r="B438" s="10" t="str">
        <ns0:v>APP000433</ns0:v>
      </ns0:c>
      <ns0:c r="C438" s="10" t="str">
        <ns0:v>000113</ns0:v>
      </ns0:c>
      <ns0:c r="D438" s="8" t="str">
        <ns0:v>영업</ns0:v>
      </ns0:c>
      <ns0:c r="E438" s="8" t="str">
        <ns0:v>C01</ns0:v>
      </ns0:c>
      <ns0:c r="F438" s="12" t="d">
        <ns0:v>2026-10-13T00:00:00.000Z</ns0:v>
      </ns0:c>
      <ns0:c r="G438" s="8" t="n">
        <ns0:v>0</ns0:v>
      </ns0:c>
      <ns0:c r="H438" s="8" t="str">
        <ns0:v>승인</ns0:v>
      </ns0:c>
      <ns0:c r="I438" s="14" t="n">
        <ns0:v>0</ns0:v>
      </ns0:c>
      <ns0:c r="J438" s="16"/>
      <ns0:c r="K438" s="8" t="n">
        <ns0:v>1</ns0:v>
      </ns0:c>
      <ns0:c r="L438" s="8"/>
      <ns0:c r="M438" s="8" t="str">
        <ns0:v>C</ns0:v>
      </ns0:c>
    </ns0:row>
    <ns0:row r="439" ht="23" customHeight="1">
      <ns0:c r="B439" s="10" t="str">
        <ns0:v>APP000434</ns0:v>
      </ns0:c>
      <ns0:c r="C439" s="10" t="str">
        <ns0:v>000114</ns0:v>
      </ns0:c>
      <ns0:c r="D439" s="8" t="str">
        <ns0:v>지원</ns0:v>
      </ns0:c>
      <ns0:c r="E439" s="8" t="str">
        <ns0:v>C08</ns0:v>
      </ns0:c>
      <ns0:c r="F439" s="12" t="d">
        <ns0:v>2026-10-14T00:00:00.000Z</ns0:v>
      </ns0:c>
      <ns0:c r="G439" s="8" t="n">
        <ns0:v>1</ns0:v>
      </ns0:c>
      <ns0:c r="H439" s="8" t="str">
        <ns0:v>승인</ns0:v>
      </ns0:c>
      <ns0:c r="I439" s="14" t="n">
        <ns0:v>0.05</ns0:v>
      </ns0:c>
      <ns0:c r="J439" s="16"/>
      <ns0:c r="K439" s="8" t="n">
        <ns0:v>1</ns0:v>
      </ns0:c>
      <ns0:c r="L439" s="8"/>
      <ns0:c r="M439" s="8" t="str">
        <ns0:v>C</ns0:v>
      </ns0:c>
    </ns0:row>
    <ns0:row r="440" ht="23" customHeight="1">
      <ns0:c r="B440" s="10" t="str">
        <ns0:v>APP000435</ns0:v>
      </ns0:c>
      <ns0:c r="C440" s="10" t="str">
        <ns0:v>000115</ns0:v>
      </ns0:c>
      <ns0:c r="D440" s="8" t="str">
        <ns0:v>개발</ns0:v>
      </ns0:c>
      <ns0:c r="E440" s="8" t="str">
        <ns0:v>C03</ns0:v>
      </ns0:c>
      <ns0:c r="F440" s="12" t="d">
        <ns0:v>2026-10-15T00:00:00.000Z</ns0:v>
      </ns0:c>
      <ns0:c r="G440" s="8" t="n">
        <ns0:v>2</ns0:v>
      </ns0:c>
      <ns0:c r="H440" s="8" t="str">
        <ns0:v>대기</ns0:v>
      </ns0:c>
      <ns0:c r="I440" s="14" t="n">
        <ns0:v>0.1</ns0:v>
      </ns0:c>
      <ns0:c r="J440" s="16"/>
      <ns0:c r="K440" s="8" t="n">
        <ns0:v>1</ns0:v>
      </ns0:c>
      <ns0:c r="L440" s="8"/>
      <ns0:c r="M440" s="8" t="str">
        <ns0:v>C</ns0:v>
      </ns0:c>
    </ns0:row>
    <ns0:row r="441" ht="23" customHeight="1">
      <ns0:c r="B441" s="10" t="str">
        <ns0:v>APP000436</ns0:v>
      </ns0:c>
      <ns0:c r="C441" s="10" t="str">
        <ns0:v>000116</ns0:v>
      </ns0:c>
      <ns0:c r="D441" s="8" t="str">
        <ns0:v>생산</ns0:v>
      </ns0:c>
      <ns0:c r="E441" s="8" t="str">
        <ns0:v>C10</ns0:v>
      </ns0:c>
      <ns0:c r="F441" s="12" t="d">
        <ns0:v>2026-10-16T00:00:00.000Z</ns0:v>
      </ns0:c>
      <ns0:c r="G441" s="8" t="n">
        <ns0:v>3</ns0:v>
      </ns0:c>
      <ns0:c r="H441" s="8" t="str">
        <ns0:v>승인</ns0:v>
      </ns0:c>
      <ns0:c r="I441" s="14" t="n">
        <ns0:v>0.125</ns0:v>
      </ns0:c>
      <ns0:c r="J441" s="16"/>
      <ns0:c r="K441" s="8" t="n">
        <ns0:v>1</ns0:v>
      </ns0:c>
      <ns0:c r="L441" s="8"/>
      <ns0:c r="M441" s="8" t="str">
        <ns0:v>C</ns0:v>
      </ns0:c>
    </ns0:row>
    <ns0:row r="442" ht="23" customHeight="1">
      <ns0:c r="B442" s="10" t="str">
        <ns0:v>APP000437</ns0:v>
      </ns0:c>
      <ns0:c r="C442" s="10" t="str">
        <ns0:v>000117</ns0:v>
      </ns0:c>
      <ns0:c r="D442" s="8" t="str">
        <ns0:v>품질</ns0:v>
      </ns0:c>
      <ns0:c r="E442" s="8" t="str">
        <ns0:v>C05</ns0:v>
      </ns0:c>
      <ns0:c r="F442" s="12" t="d">
        <ns0:v>2026-10-17T00:00:00.000Z</ns0:v>
      </ns0:c>
      <ns0:c r="G442" s="8" t="n">
        <ns0:v>4</ns0:v>
      </ns0:c>
      <ns0:c r="H442" s="8" t="str">
        <ns0:v>승인</ns0:v>
      </ns0:c>
      <ns0:c r="I442" s="14" t="n">
        <ns0:v>0</ns0:v>
      </ns0:c>
      <ns0:c r="J442" s="16"/>
      <ns0:c r="K442" s="8" t="n">
        <ns0:v>1</ns0:v>
      </ns0:c>
      <ns0:c r="L442" s="8"/>
      <ns0:c r="M442" s="8" t="str">
        <ns0:v>C</ns0:v>
      </ns0:c>
    </ns0:row>
    <ns0:row r="443" ht="23" customHeight="1">
      <ns0:c r="B443" s="10" t="str">
        <ns0:v>APP000438</ns0:v>
      </ns0:c>
      <ns0:c r="C443" s="10" t="str">
        <ns0:v>000118</ns0:v>
      </ns0:c>
      <ns0:c r="D443" s="8" t="str">
        <ns0:v>기획</ns0:v>
      </ns0:c>
      <ns0:c r="E443" s="8" t="str">
        <ns0:v>C12</ns0:v>
      </ns0:c>
      <ns0:c r="F443" s="12" t="d">
        <ns0:v>2026-10-18T00:00:00.000Z</ns0:v>
      </ns0:c>
      <ns0:c r="G443" s="8" t="n">
        <ns0:v>5</ns0:v>
      </ns0:c>
      <ns0:c r="H443" s="8" t="str">
        <ns0:v>승인</ns0:v>
      </ns0:c>
      <ns0:c r="I443" s="14" t="n">
        <ns0:v>0.05</ns0:v>
      </ns0:c>
      <ns0:c r="J443" s="16"/>
      <ns0:c r="K443" s="8" t="n">
        <ns0:v>1</ns0:v>
      </ns0:c>
      <ns0:c r="L443" s="8"/>
      <ns0:c r="M443" s="8" t="str">
        <ns0:v>C</ns0:v>
      </ns0:c>
    </ns0:row>
    <ns0:row r="444" ht="23" customHeight="1">
      <ns0:c r="B444" s="10" t="str">
        <ns0:v>APP000439</ns0:v>
      </ns0:c>
      <ns0:c r="C444" s="10" t="str">
        <ns0:v>000119</ns0:v>
      </ns0:c>
      <ns0:c r="D444" s="8" t="str">
        <ns0:v>영업</ns0:v>
      </ns0:c>
      <ns0:c r="E444" s="8" t="str">
        <ns0:v>C07</ns0:v>
      </ns0:c>
      <ns0:c r="F444" s="12" t="d">
        <ns0:v>2026-10-19T00:00:00.000Z</ns0:v>
      </ns0:c>
      <ns0:c r="G444" s="8" t="n">
        <ns0:v>0</ns0:v>
      </ns0:c>
      <ns0:c r="H444" s="8" t="str">
        <ns0:v>승인</ns0:v>
      </ns0:c>
      <ns0:c r="I444" s="14" t="n">
        <ns0:v>0.1</ns0:v>
      </ns0:c>
      <ns0:c r="J444" s="16"/>
      <ns0:c r="K444" s="8" t="n">
        <ns0:v>1</ns0:v>
      </ns0:c>
      <ns0:c r="L444" s="8"/>
      <ns0:c r="M444" s="8" t="str">
        <ns0:v>C</ns0:v>
      </ns0:c>
    </ns0:row>
    <ns0:row r="445" ht="23" customHeight="1">
      <ns0:c r="B445" s="10" t="str">
        <ns0:v>APP000440</ns0:v>
      </ns0:c>
      <ns0:c r="C445" s="10" t="str">
        <ns0:v>000120</ns0:v>
      </ns0:c>
      <ns0:c r="D445" s="8" t="str">
        <ns0:v>지원</ns0:v>
      </ns0:c>
      <ns0:c r="E445" s="8" t="str">
        <ns0:v>C02</ns0:v>
      </ns0:c>
      <ns0:c r="F445" s="12" t="d">
        <ns0:v>2026-10-20T00:00:00.000Z</ns0:v>
      </ns0:c>
      <ns0:c r="G445" s="8" t="n">
        <ns0:v>1</ns0:v>
      </ns0:c>
      <ns0:c r="H445" s="8" t="str">
        <ns0:v>승인</ns0:v>
      </ns0:c>
      <ns0:c r="I445" s="14" t="n">
        <ns0:v>0.125</ns0:v>
      </ns0:c>
      <ns0:c r="J445" s="16"/>
      <ns0:c r="K445" s="8" t="n">
        <ns0:v>1</ns0:v>
      </ns0:c>
      <ns0:c r="L445" s="8"/>
      <ns0:c r="M445" s="8" t="str">
        <ns0:v>C</ns0:v>
      </ns0:c>
    </ns0:row>
    <ns0:row r="446" ht="23" customHeight="1">
      <ns0:c r="B446" s="10" t="str">
        <ns0:v>APP000441</ns0:v>
      </ns0:c>
      <ns0:c r="C446" s="10" t="str">
        <ns0:v>000121</ns0:v>
      </ns0:c>
      <ns0:c r="D446" s="8" t="str">
        <ns0:v>개발</ns0:v>
      </ns0:c>
      <ns0:c r="E446" s="8" t="str">
        <ns0:v>C09</ns0:v>
      </ns0:c>
      <ns0:c r="F446" s="12" t="d">
        <ns0:v>2026-10-21T00:00:00.000Z</ns0:v>
      </ns0:c>
      <ns0:c r="G446" s="8" t="n">
        <ns0:v>2</ns0:v>
      </ns0:c>
      <ns0:c r="H446" s="8" t="str">
        <ns0:v>취소</ns0:v>
      </ns0:c>
      <ns0:c r="I446" s="14" t="n">
        <ns0:v>0</ns0:v>
      </ns0:c>
      <ns0:c r="J446" s="16"/>
      <ns0:c r="K446" s="8" t="n">
        <ns0:v>1</ns0:v>
      </ns0:c>
      <ns0:c r="L446" s="8"/>
      <ns0:c r="M446" s="8" t="str">
        <ns0:v>C</ns0:v>
      </ns0:c>
    </ns0:row>
    <ns0:row r="447" ht="23" customHeight="1">
      <ns0:c r="B447" s="10" t="str">
        <ns0:v>APP000442</ns0:v>
      </ns0:c>
      <ns0:c r="C447" s="10" t="str">
        <ns0:v>000122</ns0:v>
      </ns0:c>
      <ns0:c r="D447" s="8" t="str">
        <ns0:v>생산</ns0:v>
      </ns0:c>
      <ns0:c r="E447" s="8" t="str">
        <ns0:v>C04</ns0:v>
      </ns0:c>
      <ns0:c r="F447" s="12" t="d">
        <ns0:v>2026-10-22T00:00:00.000Z</ns0:v>
      </ns0:c>
      <ns0:c r="G447" s="8" t="n">
        <ns0:v>3</ns0:v>
      </ns0:c>
      <ns0:c r="H447" s="8" t="str">
        <ns0:v>대기</ns0:v>
      </ns0:c>
      <ns0:c r="I447" s="14" t="n">
        <ns0:v>0.05</ns0:v>
      </ns0:c>
      <ns0:c r="J447" s="16"/>
      <ns0:c r="K447" s="8" t="n">
        <ns0:v>1</ns0:v>
      </ns0:c>
      <ns0:c r="L447" s="8"/>
      <ns0:c r="M447" s="8" t="str">
        <ns0:v>C</ns0:v>
      </ns0:c>
    </ns0:row>
    <ns0:row r="448" ht="23" customHeight="1">
      <ns0:c r="B448" s="10" t="str">
        <ns0:v>APP000443</ns0:v>
      </ns0:c>
      <ns0:c r="C448" s="10" t="str">
        <ns0:v>000123</ns0:v>
      </ns0:c>
      <ns0:c r="D448" s="8" t="str">
        <ns0:v>품질</ns0:v>
      </ns0:c>
      <ns0:c r="E448" s="8" t="str">
        <ns0:v>C11</ns0:v>
      </ns0:c>
      <ns0:c r="F448" s="12" t="d">
        <ns0:v>2026-10-23T00:00:00.000Z</ns0:v>
      </ns0:c>
      <ns0:c r="G448" s="8" t="n">
        <ns0:v>4</ns0:v>
      </ns0:c>
      <ns0:c r="H448" s="8" t="str">
        <ns0:v>승인</ns0:v>
      </ns0:c>
      <ns0:c r="I448" s="14" t="n">
        <ns0:v>0.1</ns0:v>
      </ns0:c>
      <ns0:c r="J448" s="16"/>
      <ns0:c r="K448" s="8" t="n">
        <ns0:v>1</ns0:v>
      </ns0:c>
      <ns0:c r="L448" s="8"/>
      <ns0:c r="M448" s="8" t="str">
        <ns0:v>C</ns0:v>
      </ns0:c>
    </ns0:row>
    <ns0:row r="449" ht="23" customHeight="1">
      <ns0:c r="B449" s="10" t="str">
        <ns0:v>APP000444</ns0:v>
      </ns0:c>
      <ns0:c r="C449" s="10" t="str">
        <ns0:v>000124</ns0:v>
      </ns0:c>
      <ns0:c r="D449" s="8" t="str">
        <ns0:v>기획</ns0:v>
      </ns0:c>
      <ns0:c r="E449" s="8" t="str">
        <ns0:v>C06</ns0:v>
      </ns0:c>
      <ns0:c r="F449" s="12" t="d">
        <ns0:v>2026-10-24T00:00:00.000Z</ns0:v>
      </ns0:c>
      <ns0:c r="G449" s="8" t="n">
        <ns0:v>5</ns0:v>
      </ns0:c>
      <ns0:c r="H449" s="8" t="str">
        <ns0:v>승인</ns0:v>
      </ns0:c>
      <ns0:c r="I449" s="14" t="n">
        <ns0:v>0.125</ns0:v>
      </ns0:c>
      <ns0:c r="J449" s="16"/>
      <ns0:c r="K449" s="8" t="n">
        <ns0:v>1</ns0:v>
      </ns0:c>
      <ns0:c r="L449" s="8"/>
      <ns0:c r="M449" s="8" t="str">
        <ns0:v>C</ns0:v>
      </ns0:c>
    </ns0:row>
    <ns0:row r="450" ht="23" customHeight="1">
      <ns0:c r="B450" s="10" t="str">
        <ns0:v>APP000445</ns0:v>
      </ns0:c>
      <ns0:c r="C450" s="10" t="str">
        <ns0:v>000125</ns0:v>
      </ns0:c>
      <ns0:c r="D450" s="8" t="str">
        <ns0:v>영업</ns0:v>
      </ns0:c>
      <ns0:c r="E450" s="8" t="str">
        <ns0:v>C01</ns0:v>
      </ns0:c>
      <ns0:c r="F450" s="12" t="d">
        <ns0:v>2026-10-25T00:00:00.000Z</ns0:v>
      </ns0:c>
      <ns0:c r="G450" s="8" t="n">
        <ns0:v>0</ns0:v>
      </ns0:c>
      <ns0:c r="H450" s="8" t="str">
        <ns0:v>승인</ns0:v>
      </ns0:c>
      <ns0:c r="I450" s="14" t="n">
        <ns0:v>0</ns0:v>
      </ns0:c>
      <ns0:c r="J450" s="16"/>
      <ns0:c r="K450" s="8" t="n">
        <ns0:v>1</ns0:v>
      </ns0:c>
      <ns0:c r="L450" s="8"/>
      <ns0:c r="M450" s="8" t="str">
        <ns0:v>C</ns0:v>
      </ns0:c>
    </ns0:row>
    <ns0:row r="451" ht="23" customHeight="1">
      <ns0:c r="B451" s="10" t="str">
        <ns0:v>APP000446</ns0:v>
      </ns0:c>
      <ns0:c r="C451" s="10" t="str">
        <ns0:v>000126</ns0:v>
      </ns0:c>
      <ns0:c r="D451" s="8" t="str">
        <ns0:v>지원</ns0:v>
      </ns0:c>
      <ns0:c r="E451" s="8" t="str">
        <ns0:v>C08</ns0:v>
      </ns0:c>
      <ns0:c r="F451" s="12" t="d">
        <ns0:v>2026-10-26T00:00:00.000Z</ns0:v>
      </ns0:c>
      <ns0:c r="G451" s="8" t="n">
        <ns0:v>1</ns0:v>
      </ns0:c>
      <ns0:c r="H451" s="8" t="str">
        <ns0:v>승인</ns0:v>
      </ns0:c>
      <ns0:c r="I451" s="14" t="n">
        <ns0:v>0.05</ns0:v>
      </ns0:c>
      <ns0:c r="J451" s="16"/>
      <ns0:c r="K451" s="8" t="n">
        <ns0:v>1</ns0:v>
      </ns0:c>
      <ns0:c r="L451" s="8"/>
      <ns0:c r="M451" s="8" t="str">
        <ns0:v>C</ns0:v>
      </ns0:c>
    </ns0:row>
    <ns0:row r="452" ht="23" customHeight="1">
      <ns0:c r="B452" s="10" t="str">
        <ns0:v>APP000447</ns0:v>
      </ns0:c>
      <ns0:c r="C452" s="10" t="str">
        <ns0:v>000127</ns0:v>
      </ns0:c>
      <ns0:c r="D452" s="8" t="str">
        <ns0:v>개발</ns0:v>
      </ns0:c>
      <ns0:c r="E452" s="8" t="str">
        <ns0:v>C03</ns0:v>
      </ns0:c>
      <ns0:c r="F452" s="12" t="d">
        <ns0:v>2026-10-27T00:00:00.000Z</ns0:v>
      </ns0:c>
      <ns0:c r="G452" s="8" t="n">
        <ns0:v>2</ns0:v>
      </ns0:c>
      <ns0:c r="H452" s="8" t="str">
        <ns0:v>승인</ns0:v>
      </ns0:c>
      <ns0:c r="I452" s="14" t="n">
        <ns0:v>0.1</ns0:v>
      </ns0:c>
      <ns0:c r="J452" s="16"/>
      <ns0:c r="K452" s="8" t="n">
        <ns0:v>1</ns0:v>
      </ns0:c>
      <ns0:c r="L452" s="8"/>
      <ns0:c r="M452" s="8" t="str">
        <ns0:v>C</ns0:v>
      </ns0:c>
    </ns0:row>
    <ns0:row r="453" ht="23" customHeight="1">
      <ns0:c r="B453" s="10" t="str">
        <ns0:v>APP000448</ns0:v>
      </ns0:c>
      <ns0:c r="C453" s="10" t="str">
        <ns0:v>000128</ns0:v>
      </ns0:c>
      <ns0:c r="D453" s="8" t="str">
        <ns0:v>생산</ns0:v>
      </ns0:c>
      <ns0:c r="E453" s="8" t="str">
        <ns0:v>C10</ns0:v>
      </ns0:c>
      <ns0:c r="F453" s="12" t="d">
        <ns0:v>2026-10-28T00:00:00.000Z</ns0:v>
      </ns0:c>
      <ns0:c r="G453" s="8" t="n">
        <ns0:v>3</ns0:v>
      </ns0:c>
      <ns0:c r="H453" s="8" t="str">
        <ns0:v>승인</ns0:v>
      </ns0:c>
      <ns0:c r="I453" s="14" t="n">
        <ns0:v>0.125</ns0:v>
      </ns0:c>
      <ns0:c r="J453" s="16"/>
      <ns0:c r="K453" s="8" t="n">
        <ns0:v>1</ns0:v>
      </ns0:c>
      <ns0:c r="L453" s="8"/>
      <ns0:c r="M453" s="8" t="str">
        <ns0:v>C</ns0:v>
      </ns0:c>
    </ns0:row>
    <ns0:row r="454" ht="23" customHeight="1">
      <ns0:c r="B454" s="10" t="str">
        <ns0:v>APP000449</ns0:v>
      </ns0:c>
      <ns0:c r="C454" s="10" t="str">
        <ns0:v>000129</ns0:v>
      </ns0:c>
      <ns0:c r="D454" s="8" t="str">
        <ns0:v>품질</ns0:v>
      </ns0:c>
      <ns0:c r="E454" s="8" t="str">
        <ns0:v>C05</ns0:v>
      </ns0:c>
      <ns0:c r="F454" s="12" t="d">
        <ns0:v>2026-10-01T00:00:00.000Z</ns0:v>
      </ns0:c>
      <ns0:c r="G454" s="8" t="n">
        <ns0:v>4</ns0:v>
      </ns0:c>
      <ns0:c r="H454" s="8" t="str">
        <ns0:v>대기</ns0:v>
      </ns0:c>
      <ns0:c r="I454" s="14" t="n">
        <ns0:v>0</ns0:v>
      </ns0:c>
      <ns0:c r="J454" s="16"/>
      <ns0:c r="K454" s="8" t="n">
        <ns0:v>1</ns0:v>
      </ns0:c>
      <ns0:c r="L454" s="8"/>
      <ns0:c r="M454" s="8" t="str">
        <ns0:v>C</ns0:v>
      </ns0:c>
    </ns0:row>
    <ns0:row r="455" ht="23" customHeight="1">
      <ns0:c r="B455" s="10" t="str">
        <ns0:v>APP000450</ns0:v>
      </ns0:c>
      <ns0:c r="C455" s="10" t="str">
        <ns0:v>000130</ns0:v>
      </ns0:c>
      <ns0:c r="D455" s="8" t="str">
        <ns0:v>기획</ns0:v>
      </ns0:c>
      <ns0:c r="E455" s="8" t="str">
        <ns0:v>C12</ns0:v>
      </ns0:c>
      <ns0:c r="F455" s="12" t="d">
        <ns0:v>2026-10-02T00:00:00.000Z</ns0:v>
      </ns0:c>
      <ns0:c r="G455" s="8" t="n">
        <ns0:v>5</ns0:v>
      </ns0:c>
      <ns0:c r="H455" s="8" t="str">
        <ns0:v>승인</ns0:v>
      </ns0:c>
      <ns0:c r="I455" s="14" t="n">
        <ns0:v>0.05</ns0:v>
      </ns0:c>
      <ns0:c r="J455" s="16"/>
      <ns0:c r="K455" s="8" t="n">
        <ns0:v>1</ns0:v>
      </ns0:c>
      <ns0:c r="L455" s="8"/>
      <ns0:c r="M455" s="8" t="str">
        <ns0:v>C</ns0:v>
      </ns0:c>
    </ns0:row>
    <ns0:row r="456" ht="23" customHeight="1">
      <ns0:c r="B456" s="10" t="str">
        <ns0:v>APP000451</ns0:v>
      </ns0:c>
      <ns0:c r="C456" s="10" t="str">
        <ns0:v>000131</ns0:v>
      </ns0:c>
      <ns0:c r="D456" s="8" t="str">
        <ns0:v>영업</ns0:v>
      </ns0:c>
      <ns0:c r="E456" s="8" t="str">
        <ns0:v>C07</ns0:v>
      </ns0:c>
      <ns0:c r="F456" s="12" t="d">
        <ns0:v>2026-10-03T00:00:00.000Z</ns0:v>
      </ns0:c>
      <ns0:c r="G456" s="8" t="n">
        <ns0:v>0</ns0:v>
      </ns0:c>
      <ns0:c r="H456" s="8" t="str">
        <ns0:v>승인</ns0:v>
      </ns0:c>
      <ns0:c r="I456" s="14" t="n">
        <ns0:v>0.1</ns0:v>
      </ns0:c>
      <ns0:c r="J456" s="16"/>
      <ns0:c r="K456" s="8" t="n">
        <ns0:v>1</ns0:v>
      </ns0:c>
      <ns0:c r="L456" s="8"/>
      <ns0:c r="M456" s="8" t="str">
        <ns0:v>C</ns0:v>
      </ns0:c>
    </ns0:row>
    <ns0:row r="457" ht="23" customHeight="1">
      <ns0:c r="B457" s="10" t="str">
        <ns0:v>APP000452</ns0:v>
      </ns0:c>
      <ns0:c r="C457" s="10" t="str">
        <ns0:v>000132</ns0:v>
      </ns0:c>
      <ns0:c r="D457" s="8" t="str">
        <ns0:v>지원</ns0:v>
      </ns0:c>
      <ns0:c r="E457" s="8" t="str">
        <ns0:v>C02</ns0:v>
      </ns0:c>
      <ns0:c r="F457" s="12" t="d">
        <ns0:v>2026-10-04T00:00:00.000Z</ns0:v>
      </ns0:c>
      <ns0:c r="G457" s="8" t="n">
        <ns0:v>1</ns0:v>
      </ns0:c>
      <ns0:c r="H457" s="8" t="str">
        <ns0:v>취소</ns0:v>
      </ns0:c>
      <ns0:c r="I457" s="14" t="n">
        <ns0:v>0.125</ns0:v>
      </ns0:c>
      <ns0:c r="J457" s="16"/>
      <ns0:c r="K457" s="8" t="n">
        <ns0:v>1</ns0:v>
      </ns0:c>
      <ns0:c r="L457" s="8"/>
      <ns0:c r="M457" s="8" t="str">
        <ns0:v>C</ns0:v>
      </ns0:c>
    </ns0:row>
    <ns0:row r="458" ht="23" customHeight="1">
      <ns0:c r="B458" s="10" t="str">
        <ns0:v>APP000453</ns0:v>
      </ns0:c>
      <ns0:c r="C458" s="10" t="str">
        <ns0:v>000133</ns0:v>
      </ns0:c>
      <ns0:c r="D458" s="8" t="str">
        <ns0:v>개발</ns0:v>
      </ns0:c>
      <ns0:c r="E458" s="8" t="str">
        <ns0:v>C09</ns0:v>
      </ns0:c>
      <ns0:c r="F458" s="12" t="d">
        <ns0:v>2026-10-05T00:00:00.000Z</ns0:v>
      </ns0:c>
      <ns0:c r="G458" s="8" t="n">
        <ns0:v>2</ns0:v>
      </ns0:c>
      <ns0:c r="H458" s="8" t="str">
        <ns0:v>승인</ns0:v>
      </ns0:c>
      <ns0:c r="I458" s="14" t="n">
        <ns0:v>0</ns0:v>
      </ns0:c>
      <ns0:c r="J458" s="16"/>
      <ns0:c r="K458" s="8" t="n">
        <ns0:v>1</ns0:v>
      </ns0:c>
      <ns0:c r="L458" s="8"/>
      <ns0:c r="M458" s="8" t="str">
        <ns0:v>C</ns0:v>
      </ns0:c>
    </ns0:row>
    <ns0:row r="459" ht="23" customHeight="1">
      <ns0:c r="B459" s="10" t="str">
        <ns0:v>APP000454</ns0:v>
      </ns0:c>
      <ns0:c r="C459" s="10" t="str">
        <ns0:v>000134</ns0:v>
      </ns0:c>
      <ns0:c r="D459" s="8" t="str">
        <ns0:v>생산</ns0:v>
      </ns0:c>
      <ns0:c r="E459" s="8" t="str">
        <ns0:v>C04</ns0:v>
      </ns0:c>
      <ns0:c r="F459" s="12" t="d">
        <ns0:v>2026-10-06T00:00:00.000Z</ns0:v>
      </ns0:c>
      <ns0:c r="G459" s="8" t="n">
        <ns0:v>3</ns0:v>
      </ns0:c>
      <ns0:c r="H459" s="8" t="str">
        <ns0:v>승인</ns0:v>
      </ns0:c>
      <ns0:c r="I459" s="14" t="n">
        <ns0:v>0.05</ns0:v>
      </ns0:c>
      <ns0:c r="J459" s="16"/>
      <ns0:c r="K459" s="8" t="n">
        <ns0:v>1</ns0:v>
      </ns0:c>
      <ns0:c r="L459" s="8"/>
      <ns0:c r="M459" s="8" t="str">
        <ns0:v>C</ns0:v>
      </ns0:c>
    </ns0:row>
    <ns0:row r="460" ht="23" customHeight="1">
      <ns0:c r="B460" s="10" t="str">
        <ns0:v>APP000455</ns0:v>
      </ns0:c>
      <ns0:c r="C460" s="10" t="str">
        <ns0:v>000135</ns0:v>
      </ns0:c>
      <ns0:c r="D460" s="8" t="str">
        <ns0:v>품질</ns0:v>
      </ns0:c>
      <ns0:c r="E460" s="8" t="str">
        <ns0:v>C11</ns0:v>
      </ns0:c>
      <ns0:c r="F460" s="12" t="d">
        <ns0:v>2026-10-07T00:00:00.000Z</ns0:v>
      </ns0:c>
      <ns0:c r="G460" s="8" t="n">
        <ns0:v>4</ns0:v>
      </ns0:c>
      <ns0:c r="H460" s="8" t="str">
        <ns0:v>승인</ns0:v>
      </ns0:c>
      <ns0:c r="I460" s="14" t="n">
        <ns0:v>0.1</ns0:v>
      </ns0:c>
      <ns0:c r="J460" s="16"/>
      <ns0:c r="K460" s="8" t="n">
        <ns0:v>1</ns0:v>
      </ns0:c>
      <ns0:c r="L460" s="8"/>
      <ns0:c r="M460" s="8" t="str">
        <ns0:v>C</ns0:v>
      </ns0:c>
    </ns0:row>
    <ns0:row r="461" ht="23" customHeight="1">
      <ns0:c r="B461" s="10" t="str">
        <ns0:v>APP000456</ns0:v>
      </ns0:c>
      <ns0:c r="C461" s="10" t="str">
        <ns0:v>000136</ns0:v>
      </ns0:c>
      <ns0:c r="D461" s="8" t="str">
        <ns0:v>기획</ns0:v>
      </ns0:c>
      <ns0:c r="E461" s="8" t="str">
        <ns0:v>C06</ns0:v>
      </ns0:c>
      <ns0:c r="F461" s="12" t="d">
        <ns0:v>2026-10-08T00:00:00.000Z</ns0:v>
      </ns0:c>
      <ns0:c r="G461" s="8" t="n">
        <ns0:v>5</ns0:v>
      </ns0:c>
      <ns0:c r="H461" s="8" t="str">
        <ns0:v>대기</ns0:v>
      </ns0:c>
      <ns0:c r="I461" s="14" t="n">
        <ns0:v>0.125</ns0:v>
      </ns0:c>
      <ns0:c r="J461" s="16"/>
      <ns0:c r="K461" s="8" t="n">
        <ns0:v>1</ns0:v>
      </ns0:c>
      <ns0:c r="L461" s="8"/>
      <ns0:c r="M461" s="8" t="str">
        <ns0:v>C</ns0:v>
      </ns0:c>
    </ns0:row>
    <ns0:row r="462" ht="23" customHeight="1">
      <ns0:c r="B462" s="10" t="str">
        <ns0:v>APP000457</ns0:v>
      </ns0:c>
      <ns0:c r="C462" s="10" t="str">
        <ns0:v>000137</ns0:v>
      </ns0:c>
      <ns0:c r="D462" s="8" t="str">
        <ns0:v>영업</ns0:v>
      </ns0:c>
      <ns0:c r="E462" s="8" t="str">
        <ns0:v>C01</ns0:v>
      </ns0:c>
      <ns0:c r="F462" s="12" t="d">
        <ns0:v>2026-10-09T00:00:00.000Z</ns0:v>
      </ns0:c>
      <ns0:c r="G462" s="8" t="n">
        <ns0:v>0</ns0:v>
      </ns0:c>
      <ns0:c r="H462" s="8" t="str">
        <ns0:v>승인</ns0:v>
      </ns0:c>
      <ns0:c r="I462" s="14" t="n">
        <ns0:v>0</ns0:v>
      </ns0:c>
      <ns0:c r="J462" s="16"/>
      <ns0:c r="K462" s="8" t="n">
        <ns0:v>1</ns0:v>
      </ns0:c>
      <ns0:c r="L462" s="8"/>
      <ns0:c r="M462" s="8" t="str">
        <ns0:v>C</ns0:v>
      </ns0:c>
    </ns0:row>
    <ns0:row r="463" ht="23" customHeight="1">
      <ns0:c r="B463" s="10" t="str">
        <ns0:v>APP000458</ns0:v>
      </ns0:c>
      <ns0:c r="C463" s="10" t="str">
        <ns0:v>000138</ns0:v>
      </ns0:c>
      <ns0:c r="D463" s="8" t="str">
        <ns0:v>지원</ns0:v>
      </ns0:c>
      <ns0:c r="E463" s="8" t="str">
        <ns0:v>C08</ns0:v>
      </ns0:c>
      <ns0:c r="F463" s="12" t="d">
        <ns0:v>2026-10-10T00:00:00.000Z</ns0:v>
      </ns0:c>
      <ns0:c r="G463" s="8" t="n">
        <ns0:v>1</ns0:v>
      </ns0:c>
      <ns0:c r="H463" s="8" t="str">
        <ns0:v>승인</ns0:v>
      </ns0:c>
      <ns0:c r="I463" s="14" t="n">
        <ns0:v>0.05</ns0:v>
      </ns0:c>
      <ns0:c r="J463" s="16"/>
      <ns0:c r="K463" s="8" t="n">
        <ns0:v>1</ns0:v>
      </ns0:c>
      <ns0:c r="L463" s="8"/>
      <ns0:c r="M463" s="8" t="str">
        <ns0:v>C</ns0:v>
      </ns0:c>
    </ns0:row>
    <ns0:row r="464" ht="23" customHeight="1">
      <ns0:c r="B464" s="10" t="str">
        <ns0:v>APP000459</ns0:v>
      </ns0:c>
      <ns0:c r="C464" s="10" t="str">
        <ns0:v>000139</ns0:v>
      </ns0:c>
      <ns0:c r="D464" s="8" t="str">
        <ns0:v>개발</ns0:v>
      </ns0:c>
      <ns0:c r="E464" s="8" t="str">
        <ns0:v>C03</ns0:v>
      </ns0:c>
      <ns0:c r="F464" s="12" t="d">
        <ns0:v>2026-10-11T00:00:00.000Z</ns0:v>
      </ns0:c>
      <ns0:c r="G464" s="8" t="n">
        <ns0:v>2</ns0:v>
      </ns0:c>
      <ns0:c r="H464" s="8" t="str">
        <ns0:v>승인</ns0:v>
      </ns0:c>
      <ns0:c r="I464" s="14" t="n">
        <ns0:v>0.1</ns0:v>
      </ns0:c>
      <ns0:c r="J464" s="16"/>
      <ns0:c r="K464" s="8" t="n">
        <ns0:v>1</ns0:v>
      </ns0:c>
      <ns0:c r="L464" s="8"/>
      <ns0:c r="M464" s="8" t="str">
        <ns0:v>C</ns0:v>
      </ns0:c>
    </ns0:row>
    <ns0:row r="465" ht="23" customHeight="1">
      <ns0:c r="B465" s="10" t="str">
        <ns0:v>APP000460</ns0:v>
      </ns0:c>
      <ns0:c r="C465" s="10" t="str">
        <ns0:v>000140</ns0:v>
      </ns0:c>
      <ns0:c r="D465" s="8" t="str">
        <ns0:v>생산</ns0:v>
      </ns0:c>
      <ns0:c r="E465" s="8" t="str">
        <ns0:v>C10</ns0:v>
      </ns0:c>
      <ns0:c r="F465" s="12" t="d">
        <ns0:v>2026-10-12T00:00:00.000Z</ns0:v>
      </ns0:c>
      <ns0:c r="G465" s="8" t="n">
        <ns0:v>3</ns0:v>
      </ns0:c>
      <ns0:c r="H465" s="8" t="str">
        <ns0:v>승인</ns0:v>
      </ns0:c>
      <ns0:c r="I465" s="14" t="n">
        <ns0:v>0.125</ns0:v>
      </ns0:c>
      <ns0:c r="J465" s="16"/>
      <ns0:c r="K465" s="8" t="n">
        <ns0:v>1</ns0:v>
      </ns0:c>
      <ns0:c r="L465" s="8"/>
      <ns0:c r="M465" s="8" t="str">
        <ns0:v>C</ns0:v>
      </ns0:c>
    </ns0:row>
    <ns0:row r="466" ht="23" customHeight="1">
      <ns0:c r="B466" s="10" t="str">
        <ns0:v>APP000461</ns0:v>
      </ns0:c>
      <ns0:c r="C466" s="10" t="str">
        <ns0:v>000141</ns0:v>
      </ns0:c>
      <ns0:c r="D466" s="8" t="str">
        <ns0:v>품질</ns0:v>
      </ns0:c>
      <ns0:c r="E466" s="8" t="str">
        <ns0:v>C05</ns0:v>
      </ns0:c>
      <ns0:c r="F466" s="12" t="d">
        <ns0:v>2026-10-13T00:00:00.000Z</ns0:v>
      </ns0:c>
      <ns0:c r="G466" s="8" t="n">
        <ns0:v>4</ns0:v>
      </ns0:c>
      <ns0:c r="H466" s="8" t="str">
        <ns0:v>승인</ns0:v>
      </ns0:c>
      <ns0:c r="I466" s="14" t="n">
        <ns0:v>0</ns0:v>
      </ns0:c>
      <ns0:c r="J466" s="16"/>
      <ns0:c r="K466" s="8" t="n">
        <ns0:v>1</ns0:v>
      </ns0:c>
      <ns0:c r="L466" s="8"/>
      <ns0:c r="M466" s="8" t="str">
        <ns0:v>C</ns0:v>
      </ns0:c>
    </ns0:row>
    <ns0:row r="467" ht="23" customHeight="1">
      <ns0:c r="B467" s="10" t="str">
        <ns0:v>APP000462</ns0:v>
      </ns0:c>
      <ns0:c r="C467" s="10" t="str">
        <ns0:v>000142</ns0:v>
      </ns0:c>
      <ns0:c r="D467" s="8" t="str">
        <ns0:v>기획</ns0:v>
      </ns0:c>
      <ns0:c r="E467" s="8" t="str">
        <ns0:v>C12</ns0:v>
      </ns0:c>
      <ns0:c r="F467" s="12" t="d">
        <ns0:v>2026-10-14T00:00:00.000Z</ns0:v>
      </ns0:c>
      <ns0:c r="G467" s="8" t="n">
        <ns0:v>5</ns0:v>
      </ns0:c>
      <ns0:c r="H467" s="8" t="str">
        <ns0:v>승인</ns0:v>
      </ns0:c>
      <ns0:c r="I467" s="14" t="n">
        <ns0:v>0.05</ns0:v>
      </ns0:c>
      <ns0:c r="J467" s="16"/>
      <ns0:c r="K467" s="8" t="n">
        <ns0:v>1</ns0:v>
      </ns0:c>
      <ns0:c r="L467" s="8"/>
      <ns0:c r="M467" s="8" t="str">
        <ns0:v>C</ns0:v>
      </ns0:c>
    </ns0:row>
    <ns0:row r="468" ht="23" customHeight="1">
      <ns0:c r="B468" s="10" t="str">
        <ns0:v>APP000463</ns0:v>
      </ns0:c>
      <ns0:c r="C468" s="10" t="str">
        <ns0:v>000143</ns0:v>
      </ns0:c>
      <ns0:c r="D468" s="8" t="str">
        <ns0:v>영업</ns0:v>
      </ns0:c>
      <ns0:c r="E468" s="8" t="str">
        <ns0:v>C07</ns0:v>
      </ns0:c>
      <ns0:c r="F468" s="12" t="d">
        <ns0:v>2026-10-15T00:00:00.000Z</ns0:v>
      </ns0:c>
      <ns0:c r="G468" s="8" t="n">
        <ns0:v>0</ns0:v>
      </ns0:c>
      <ns0:c r="H468" s="8" t="str">
        <ns0:v>취소</ns0:v>
      </ns0:c>
      <ns0:c r="I468" s="14" t="n">
        <ns0:v>0.1</ns0:v>
      </ns0:c>
      <ns0:c r="J468" s="16"/>
      <ns0:c r="K468" s="8" t="n">
        <ns0:v>1</ns0:v>
      </ns0:c>
      <ns0:c r="L468" s="8"/>
      <ns0:c r="M468" s="8" t="str">
        <ns0:v>C</ns0:v>
      </ns0:c>
    </ns0:row>
    <ns0:row r="469" ht="23" customHeight="1">
      <ns0:c r="B469" s="10" t="str">
        <ns0:v>APP000464</ns0:v>
      </ns0:c>
      <ns0:c r="C469" s="10" t="str">
        <ns0:v>000144</ns0:v>
      </ns0:c>
      <ns0:c r="D469" s="8" t="str">
        <ns0:v>지원</ns0:v>
      </ns0:c>
      <ns0:c r="E469" s="8" t="str">
        <ns0:v>C02</ns0:v>
      </ns0:c>
      <ns0:c r="F469" s="12" t="d">
        <ns0:v>2026-10-16T00:00:00.000Z</ns0:v>
      </ns0:c>
      <ns0:c r="G469" s="8" t="n">
        <ns0:v>1</ns0:v>
      </ns0:c>
      <ns0:c r="H469" s="8" t="str">
        <ns0:v>승인</ns0:v>
      </ns0:c>
      <ns0:c r="I469" s="14" t="n">
        <ns0:v>0.125</ns0:v>
      </ns0:c>
      <ns0:c r="J469" s="16"/>
      <ns0:c r="K469" s="8" t="n">
        <ns0:v>1</ns0:v>
      </ns0:c>
      <ns0:c r="L469" s="8"/>
      <ns0:c r="M469" s="8" t="str">
        <ns0:v>C</ns0:v>
      </ns0:c>
    </ns0:row>
    <ns0:row r="470" ht="23" customHeight="1">
      <ns0:c r="B470" s="10" t="str">
        <ns0:v>APP000465</ns0:v>
      </ns0:c>
      <ns0:c r="C470" s="10" t="str">
        <ns0:v>000145</ns0:v>
      </ns0:c>
      <ns0:c r="D470" s="8" t="str">
        <ns0:v>개발</ns0:v>
      </ns0:c>
      <ns0:c r="E470" s="8" t="str">
        <ns0:v>C09</ns0:v>
      </ns0:c>
      <ns0:c r="F470" s="12" t="d">
        <ns0:v>2026-10-17T00:00:00.000Z</ns0:v>
      </ns0:c>
      <ns0:c r="G470" s="8" t="n">
        <ns0:v>2</ns0:v>
      </ns0:c>
      <ns0:c r="H470" s="8" t="str">
        <ns0:v>승인</ns0:v>
      </ns0:c>
      <ns0:c r="I470" s="14" t="n">
        <ns0:v>0</ns0:v>
      </ns0:c>
      <ns0:c r="J470" s="16"/>
      <ns0:c r="K470" s="8" t="n">
        <ns0:v>1</ns0:v>
      </ns0:c>
      <ns0:c r="L470" s="8"/>
      <ns0:c r="M470" s="8" t="str">
        <ns0:v>C</ns0:v>
      </ns0:c>
    </ns0:row>
    <ns0:row r="471" ht="23" customHeight="1">
      <ns0:c r="B471" s="10" t="str">
        <ns0:v>APP000466</ns0:v>
      </ns0:c>
      <ns0:c r="C471" s="10" t="str">
        <ns0:v>000146</ns0:v>
      </ns0:c>
      <ns0:c r="D471" s="8" t="str">
        <ns0:v>생산</ns0:v>
      </ns0:c>
      <ns0:c r="E471" s="8" t="str">
        <ns0:v>C04</ns0:v>
      </ns0:c>
      <ns0:c r="F471" s="12" t="d">
        <ns0:v>2026-10-18T00:00:00.000Z</ns0:v>
      </ns0:c>
      <ns0:c r="G471" s="8" t="n">
        <ns0:v>3</ns0:v>
      </ns0:c>
      <ns0:c r="H471" s="8" t="str">
        <ns0:v>승인</ns0:v>
      </ns0:c>
      <ns0:c r="I471" s="14" t="n">
        <ns0:v>0.05</ns0:v>
      </ns0:c>
      <ns0:c r="J471" s="16"/>
      <ns0:c r="K471" s="8" t="n">
        <ns0:v>1</ns0:v>
      </ns0:c>
      <ns0:c r="L471" s="8"/>
      <ns0:c r="M471" s="8" t="str">
        <ns0:v>C</ns0:v>
      </ns0:c>
    </ns0:row>
    <ns0:row r="472" ht="23" customHeight="1">
      <ns0:c r="B472" s="10" t="str">
        <ns0:v>APP000467</ns0:v>
      </ns0:c>
      <ns0:c r="C472" s="10" t="str">
        <ns0:v>000147</ns0:v>
      </ns0:c>
      <ns0:c r="D472" s="8" t="str">
        <ns0:v>품질</ns0:v>
      </ns0:c>
      <ns0:c r="E472" s="8" t="str">
        <ns0:v>C11</ns0:v>
      </ns0:c>
      <ns0:c r="F472" s="12" t="d">
        <ns0:v>2026-10-19T00:00:00.000Z</ns0:v>
      </ns0:c>
      <ns0:c r="G472" s="8" t="n">
        <ns0:v>4</ns0:v>
      </ns0:c>
      <ns0:c r="H472" s="8" t="str">
        <ns0:v>승인</ns0:v>
      </ns0:c>
      <ns0:c r="I472" s="14" t="n">
        <ns0:v>0.1</ns0:v>
      </ns0:c>
      <ns0:c r="J472" s="16"/>
      <ns0:c r="K472" s="8" t="n">
        <ns0:v>1</ns0:v>
      </ns0:c>
      <ns0:c r="L472" s="8"/>
      <ns0:c r="M472" s="8" t="str">
        <ns0:v>C</ns0:v>
      </ns0:c>
    </ns0:row>
    <ns0:row r="473" ht="23" customHeight="1">
      <ns0:c r="B473" s="10" t="str">
        <ns0:v>APP000468</ns0:v>
      </ns0:c>
      <ns0:c r="C473" s="10" t="str">
        <ns0:v>000148</ns0:v>
      </ns0:c>
      <ns0:c r="D473" s="8" t="str">
        <ns0:v>기획</ns0:v>
      </ns0:c>
      <ns0:c r="E473" s="8" t="str">
        <ns0:v>C06</ns0:v>
      </ns0:c>
      <ns0:c r="F473" s="12" t="d">
        <ns0:v>2026-10-20T00:00:00.000Z</ns0:v>
      </ns0:c>
      <ns0:c r="G473" s="8" t="n">
        <ns0:v>5</ns0:v>
      </ns0:c>
      <ns0:c r="H473" s="8" t="str">
        <ns0:v>승인</ns0:v>
      </ns0:c>
      <ns0:c r="I473" s="14" t="n">
        <ns0:v>0.125</ns0:v>
      </ns0:c>
      <ns0:c r="J473" s="16"/>
      <ns0:c r="K473" s="8" t="n">
        <ns0:v>1</ns0:v>
      </ns0:c>
      <ns0:c r="L473" s="8"/>
      <ns0:c r="M473" s="8" t="str">
        <ns0:v>C</ns0:v>
      </ns0:c>
    </ns0:row>
    <ns0:row r="474" ht="23" customHeight="1">
      <ns0:c r="B474" s="10" t="str">
        <ns0:v>APP000469</ns0:v>
      </ns0:c>
      <ns0:c r="C474" s="10" t="str">
        <ns0:v>000149</ns0:v>
      </ns0:c>
      <ns0:c r="D474" s="8" t="str">
        <ns0:v>영업</ns0:v>
      </ns0:c>
      <ns0:c r="E474" s="8" t="str">
        <ns0:v>C01</ns0:v>
      </ns0:c>
      <ns0:c r="F474" s="12" t="d">
        <ns0:v>2026-10-21T00:00:00.000Z</ns0:v>
      </ns0:c>
      <ns0:c r="G474" s="8" t="n">
        <ns0:v>0</ns0:v>
      </ns0:c>
      <ns0:c r="H474" s="8" t="str">
        <ns0:v>승인</ns0:v>
      </ns0:c>
      <ns0:c r="I474" s="14" t="n">
        <ns0:v>0</ns0:v>
      </ns0:c>
      <ns0:c r="J474" s="16"/>
      <ns0:c r="K474" s="8" t="n">
        <ns0:v>1</ns0:v>
      </ns0:c>
      <ns0:c r="L474" s="8"/>
      <ns0:c r="M474" s="8" t="str">
        <ns0:v>C</ns0:v>
      </ns0:c>
    </ns0:row>
    <ns0:row r="475" ht="23" customHeight="1">
      <ns0:c r="B475" s="10" t="str">
        <ns0:v>APP000470</ns0:v>
      </ns0:c>
      <ns0:c r="C475" s="10" t="str">
        <ns0:v>000150</ns0:v>
      </ns0:c>
      <ns0:c r="D475" s="8" t="str">
        <ns0:v>지원</ns0:v>
      </ns0:c>
      <ns0:c r="E475" s="8" t="str">
        <ns0:v>C08</ns0:v>
      </ns0:c>
      <ns0:c r="F475" s="12" t="d">
        <ns0:v>2026-10-22T00:00:00.000Z</ns0:v>
      </ns0:c>
      <ns0:c r="G475" s="8" t="n">
        <ns0:v>1</ns0:v>
      </ns0:c>
      <ns0:c r="H475" s="8" t="str">
        <ns0:v>대기</ns0:v>
      </ns0:c>
      <ns0:c r="I475" s="14" t="n">
        <ns0:v>0.05</ns0:v>
      </ns0:c>
      <ns0:c r="J475" s="16"/>
      <ns0:c r="K475" s="8" t="n">
        <ns0:v>1</ns0:v>
      </ns0:c>
      <ns0:c r="L475" s="8"/>
      <ns0:c r="M475" s="8" t="str">
        <ns0:v>C</ns0:v>
      </ns0:c>
    </ns0:row>
    <ns0:row r="476" ht="23" customHeight="1">
      <ns0:c r="B476" s="10" t="str">
        <ns0:v>APP000471</ns0:v>
      </ns0:c>
      <ns0:c r="C476" s="10" t="str">
        <ns0:v>000151</ns0:v>
      </ns0:c>
      <ns0:c r="D476" s="8" t="str">
        <ns0:v>개발</ns0:v>
      </ns0:c>
      <ns0:c r="E476" s="8" t="str">
        <ns0:v>C03</ns0:v>
      </ns0:c>
      <ns0:c r="F476" s="12" t="d">
        <ns0:v>2026-10-23T00:00:00.000Z</ns0:v>
      </ns0:c>
      <ns0:c r="G476" s="8" t="n">
        <ns0:v>2</ns0:v>
      </ns0:c>
      <ns0:c r="H476" s="8" t="str">
        <ns0:v>승인</ns0:v>
      </ns0:c>
      <ns0:c r="I476" s="14" t="n">
        <ns0:v>0.1</ns0:v>
      </ns0:c>
      <ns0:c r="J476" s="16"/>
      <ns0:c r="K476" s="8" t="n">
        <ns0:v>1</ns0:v>
      </ns0:c>
      <ns0:c r="L476" s="8"/>
      <ns0:c r="M476" s="8" t="str">
        <ns0:v>C</ns0:v>
      </ns0:c>
    </ns0:row>
    <ns0:row r="477" ht="23" customHeight="1">
      <ns0:c r="B477" s="10" t="str">
        <ns0:v>APP000472</ns0:v>
      </ns0:c>
      <ns0:c r="C477" s="10" t="str">
        <ns0:v>000152</ns0:v>
      </ns0:c>
      <ns0:c r="D477" s="8" t="str">
        <ns0:v>생산</ns0:v>
      </ns0:c>
      <ns0:c r="E477" s="8" t="str">
        <ns0:v>C10</ns0:v>
      </ns0:c>
      <ns0:c r="F477" s="12" t="d">
        <ns0:v>2026-10-24T00:00:00.000Z</ns0:v>
      </ns0:c>
      <ns0:c r="G477" s="8" t="n">
        <ns0:v>3</ns0:v>
      </ns0:c>
      <ns0:c r="H477" s="8" t="str">
        <ns0:v>승인</ns0:v>
      </ns0:c>
      <ns0:c r="I477" s="14" t="n">
        <ns0:v>0.125</ns0:v>
      </ns0:c>
      <ns0:c r="J477" s="16"/>
      <ns0:c r="K477" s="8" t="n">
        <ns0:v>1</ns0:v>
      </ns0:c>
      <ns0:c r="L477" s="8"/>
      <ns0:c r="M477" s="8" t="str">
        <ns0:v>C</ns0:v>
      </ns0:c>
    </ns0:row>
    <ns0:row r="478" ht="23" customHeight="1">
      <ns0:c r="B478" s="10" t="str">
        <ns0:v>APP000473</ns0:v>
      </ns0:c>
      <ns0:c r="C478" s="10" t="str">
        <ns0:v>000153</ns0:v>
      </ns0:c>
      <ns0:c r="D478" s="8" t="str">
        <ns0:v>품질</ns0:v>
      </ns0:c>
      <ns0:c r="E478" s="8" t="str">
        <ns0:v>C05</ns0:v>
      </ns0:c>
      <ns0:c r="F478" s="12" t="d">
        <ns0:v>2026-10-25T00:00:00.000Z</ns0:v>
      </ns0:c>
      <ns0:c r="G478" s="8" t="n">
        <ns0:v>4</ns0:v>
      </ns0:c>
      <ns0:c r="H478" s="8" t="str">
        <ns0:v>승인</ns0:v>
      </ns0:c>
      <ns0:c r="I478" s="14" t="n">
        <ns0:v>0</ns0:v>
      </ns0:c>
      <ns0:c r="J478" s="16"/>
      <ns0:c r="K478" s="8" t="n">
        <ns0:v>1</ns0:v>
      </ns0:c>
      <ns0:c r="L478" s="8"/>
      <ns0:c r="M478" s="8" t="str">
        <ns0:v>C</ns0:v>
      </ns0:c>
    </ns0:row>
    <ns0:row r="479" ht="23" customHeight="1">
      <ns0:c r="B479" s="10" t="str">
        <ns0:v>APP000474</ns0:v>
      </ns0:c>
      <ns0:c r="C479" s="10" t="str">
        <ns0:v>000154</ns0:v>
      </ns0:c>
      <ns0:c r="D479" s="8" t="str">
        <ns0:v>기획</ns0:v>
      </ns0:c>
      <ns0:c r="E479" s="8" t="str">
        <ns0:v>C12</ns0:v>
      </ns0:c>
      <ns0:c r="F479" s="12" t="d">
        <ns0:v>2026-10-26T00:00:00.000Z</ns0:v>
      </ns0:c>
      <ns0:c r="G479" s="8" t="n">
        <ns0:v>5</ns0:v>
      </ns0:c>
      <ns0:c r="H479" s="8" t="str">
        <ns0:v>취소</ns0:v>
      </ns0:c>
      <ns0:c r="I479" s="14" t="n">
        <ns0:v>0.05</ns0:v>
      </ns0:c>
      <ns0:c r="J479" s="16"/>
      <ns0:c r="K479" s="8" t="n">
        <ns0:v>1</ns0:v>
      </ns0:c>
      <ns0:c r="L479" s="8"/>
      <ns0:c r="M479" s="8" t="str">
        <ns0:v>C</ns0:v>
      </ns0:c>
    </ns0:row>
    <ns0:row r="480" ht="23" customHeight="1">
      <ns0:c r="B480" s="10" t="str">
        <ns0:v>APP000475</ns0:v>
      </ns0:c>
      <ns0:c r="C480" s="10" t="str">
        <ns0:v>000155</ns0:v>
      </ns0:c>
      <ns0:c r="D480" s="8" t="str">
        <ns0:v>영업</ns0:v>
      </ns0:c>
      <ns0:c r="E480" s="8" t="str">
        <ns0:v>C07</ns0:v>
      </ns0:c>
      <ns0:c r="F480" s="12" t="d">
        <ns0:v>2026-10-27T00:00:00.000Z</ns0:v>
      </ns0:c>
      <ns0:c r="G480" s="8" t="n">
        <ns0:v>0</ns0:v>
      </ns0:c>
      <ns0:c r="H480" s="8" t="str">
        <ns0:v>승인</ns0:v>
      </ns0:c>
      <ns0:c r="I480" s="14" t="n">
        <ns0:v>0.1</ns0:v>
      </ns0:c>
      <ns0:c r="J480" s="16" t="n">
        <ns0:v>12345</ns0:v>
      </ns0:c>
      <ns0:c r="K480" s="8" t="n">
        <ns0:v>1</ns0:v>
      </ns0:c>
      <ns0:c r="L480" s="8"/>
      <ns0:c r="M480" s="8" t="str">
        <ns0:v>C</ns0:v>
      </ns0:c>
    </ns0:row>
    <ns0:row r="481" ht="23" customHeight="1">
      <ns0:c r="B481" s="10" t="str">
        <ns0:v>APP000476</ns0:v>
      </ns0:c>
      <ns0:c r="C481" s="10" t="str">
        <ns0:v>000156</ns0:v>
      </ns0:c>
      <ns0:c r="D481" s="8" t="str">
        <ns0:v>지원</ns0:v>
      </ns0:c>
      <ns0:c r="E481" s="8" t="str">
        <ns0:v>C02</ns0:v>
      </ns0:c>
      <ns0:c r="F481" s="12" t="d">
        <ns0:v>2026-10-28T00:00:00.000Z</ns0:v>
      </ns0:c>
      <ns0:c r="G481" s="8" t="n">
        <ns0:v>1</ns0:v>
      </ns0:c>
      <ns0:c r="H481" s="8" t="str">
        <ns0:v>승인</ns0:v>
      </ns0:c>
      <ns0:c r="I481" s="14" t="n">
        <ns0:v>0.125</ns0:v>
      </ns0:c>
      <ns0:c r="J481" s="16"/>
      <ns0:c r="K481" s="8" t="n">
        <ns0:v>1</ns0:v>
      </ns0:c>
      <ns0:c r="L481" s="8"/>
      <ns0:c r="M481" s="8" t="str">
        <ns0:v>C</ns0:v>
      </ns0:c>
    </ns0:row>
    <ns0:row r="482" ht="23" customHeight="1">
      <ns0:c r="B482" s="10" t="str">
        <ns0:v>APP000477</ns0:v>
      </ns0:c>
      <ns0:c r="C482" s="10" t="str">
        <ns0:v>000157</ns0:v>
      </ns0:c>
      <ns0:c r="D482" s="8" t="str">
        <ns0:v>개발</ns0:v>
      </ns0:c>
      <ns0:c r="E482" s="8" t="str">
        <ns0:v>C09</ns0:v>
      </ns0:c>
      <ns0:c r="F482" s="12" t="d">
        <ns0:v>2026-10-01T00:00:00.000Z</ns0:v>
      </ns0:c>
      <ns0:c r="G482" s="8" t="n">
        <ns0:v>2</ns0:v>
      </ns0:c>
      <ns0:c r="H482" s="8" t="str">
        <ns0:v>대기</ns0:v>
      </ns0:c>
      <ns0:c r="I482" s="14" t="n">
        <ns0:v>0</ns0:v>
      </ns0:c>
      <ns0:c r="J482" s="16"/>
      <ns0:c r="K482" s="8" t="n">
        <ns0:v>1</ns0:v>
      </ns0:c>
      <ns0:c r="L482" s="8"/>
      <ns0:c r="M482" s="8" t="str">
        <ns0:v>C</ns0:v>
      </ns0:c>
    </ns0:row>
    <ns0:row r="483" ht="23" customHeight="1">
      <ns0:c r="B483" s="10" t="str">
        <ns0:v>APP000478</ns0:v>
      </ns0:c>
      <ns0:c r="C483" s="10" t="str">
        <ns0:v>000158</ns0:v>
      </ns0:c>
      <ns0:c r="D483" s="8" t="str">
        <ns0:v>생산</ns0:v>
      </ns0:c>
      <ns0:c r="E483" s="8" t="str">
        <ns0:v>C04</ns0:v>
      </ns0:c>
      <ns0:c r="F483" s="12" t="d">
        <ns0:v>2026-10-02T00:00:00.000Z</ns0:v>
      </ns0:c>
      <ns0:c r="G483" s="8" t="n">
        <ns0:v>3</ns0:v>
      </ns0:c>
      <ns0:c r="H483" s="8" t="str">
        <ns0:v>승인</ns0:v>
      </ns0:c>
      <ns0:c r="I483" s="14" t="n">
        <ns0:v>0.05</ns0:v>
      </ns0:c>
      <ns0:c r="J483" s="16" t="n">
        <ns0:v>0</ns0:v>
      </ns0:c>
      <ns0:c r="K483" s="8" t="n">
        <ns0:v>1</ns0:v>
      </ns0:c>
      <ns0:c r="L483" s="8" t="str">
        <ns0:v>0원 수동금액 유지</ns0:v>
      </ns0:c>
      <ns0:c r="M483" s="8" t="str">
        <ns0:v>C</ns0:v>
      </ns0:c>
    </ns0:row>
    <ns0:row r="484" ht="23" customHeight="1">
      <ns0:c r="B484" s="10" t="str">
        <ns0:v>APP000479</ns0:v>
      </ns0:c>
      <ns0:c r="C484" s="10" t="str">
        <ns0:v>000159</ns0:v>
      </ns0:c>
      <ns0:c r="D484" s="8" t="str">
        <ns0:v>품질</ns0:v>
      </ns0:c>
      <ns0:c r="E484" s="8" t="str">
        <ns0:v>C11</ns0:v>
      </ns0:c>
      <ns0:c r="F484" s="12" t="d">
        <ns0:v>2026-10-03T00:00:00.000Z</ns0:v>
      </ns0:c>
      <ns0:c r="G484" s="8" t="n">
        <ns0:v>4</ns0:v>
      </ns0:c>
      <ns0:c r="H484" s="8" t="str">
        <ns0:v>승인</ns0:v>
      </ns0:c>
      <ns0:c r="I484" s="14" t="n">
        <ns0:v>0.1</ns0:v>
      </ns0:c>
      <ns0:c r="J484" s="16"/>
      <ns0:c r="K484" s="8" t="n">
        <ns0:v>1</ns0:v>
      </ns0:c>
      <ns0:c r="L484" s="8"/>
      <ns0:c r="M484" s="8" t="str">
        <ns0:v>C</ns0:v>
      </ns0:c>
    </ns0:row>
    <ns0:row r="485" ht="23" customHeight="1">
      <ns0:c r="B485" s="10" t="str">
        <ns0:v>APP000480</ns0:v>
      </ns0:c>
      <ns0:c r="C485" s="10" t="str">
        <ns0:v>000160</ns0:v>
      </ns0:c>
      <ns0:c r="D485" s="8" t="str">
        <ns0:v>기획</ns0:v>
      </ns0:c>
      <ns0:c r="E485" s="8" t="str">
        <ns0:v>C06</ns0:v>
      </ns0:c>
      <ns0:c r="F485" s="12" t="d">
        <ns0:v>2026-10-04T00:00:00.000Z</ns0:v>
      </ns0:c>
      <ns0:c r="G485" s="8" t="n">
        <ns0:v>5</ns0:v>
      </ns0:c>
      <ns0:c r="H485" s="8" t="str">
        <ns0:v>승인</ns0:v>
      </ns0:c>
      <ns0:c r="I485" s="14" t="n">
        <ns0:v>0.125</ns0:v>
      </ns0:c>
      <ns0:c r="J485" s="16"/>
      <ns0:c r="K485" s="8" t="n">
        <ns0:v>1</ns0:v>
      </ns0:c>
      <ns0:c r="L485" s="8"/>
      <ns0:c r="M485" s="8" t="str">
        <ns0:v>C</ns0:v>
      </ns0:c>
    </ns0:row>
  </ns0:sheetData>
  <ns0:pageMargins left="0.7" right="0.7" top="0.75" bottom="0.75" header="0.3" footer="0.3"/>
  <ns0:tableParts count="1">
    <ns0:tablePart ns1:id="R2a8da2fe597440b7"/>
  </ns0:tableParts>
</ns0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출결원본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신청ID</x:v>
      </x:c>
      <x:c r="C5" s="6" t="str">
        <x:v>차시</x:v>
      </x:c>
      <x:c r="D5" s="6" t="str">
        <x:v>참석</x:v>
      </x:c>
      <x:c r="E5" s="6" t="str">
        <x:v>시간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APP000001</x:v>
      </x:c>
      <x:c r="C6" s="2" t="n">
        <x:v>1</x:v>
      </x:c>
      <x:c r="D6" s="2" t="n">
        <x:v>1</x:v>
      </x:c>
      <x:c r="E6" s="2" t="n">
        <x:v>2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APP000001</x:v>
      </x:c>
      <x:c r="C7" s="2" t="n">
        <x:v>2</x:v>
      </x:c>
      <x:c r="D7" s="2" t="n">
        <x:v>0</x:v>
      </x:c>
      <x:c r="E7" s="2" t="n">
        <x:v>2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APP000001</x:v>
      </x:c>
      <x:c r="C8" s="2" t="n">
        <x:v>3</x:v>
      </x:c>
      <x:c r="D8" s="2" t="n">
        <x:v>0</x:v>
      </x:c>
      <x:c r="E8" s="2" t="n">
        <x:v>2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3" customHeight="1">
      <x:c r="A9" s="2"/>
      <x:c r="B9" s="2" t="str">
        <x:v>APP000002</x:v>
      </x:c>
      <x:c r="C9" s="2" t="n">
        <x:v>1</x:v>
      </x:c>
      <x:c r="D9" s="2" t="n">
        <x:v>1</x:v>
      </x:c>
      <x:c r="E9" s="2" t="n">
        <x:v>2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3" customHeight="1">
      <x:c r="A10" s="2"/>
      <x:c r="B10" s="2" t="str">
        <x:v>APP000002</x:v>
      </x:c>
      <x:c r="C10" s="2" t="n">
        <x:v>2</x:v>
      </x:c>
      <x:c r="D10" s="2" t="n">
        <x:v>1</x:v>
      </x:c>
      <x:c r="E10" s="2" t="n">
        <x:v>2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3" customHeight="1">
      <x:c r="A11" s="2"/>
      <x:c r="B11" s="2" t="str">
        <x:v>APP000002</x:v>
      </x:c>
      <x:c r="C11" s="2" t="n">
        <x:v>3</x:v>
      </x:c>
      <x:c r="D11" s="2" t="n">
        <x:v>1</x:v>
      </x:c>
      <x:c r="E11" s="2" t="n">
        <x:v>2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3" customHeight="1">
      <x:c r="A12" s="2"/>
      <x:c r="B12" s="2" t="str">
        <x:v>APP000003</x:v>
      </x:c>
      <x:c r="C12" s="2" t="n">
        <x:v>1</x:v>
      </x:c>
      <x:c r="D12" s="2" t="n">
        <x:v>1</x:v>
      </x:c>
      <x:c r="E12" s="2" t="n">
        <x:v>2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/>
      <x:c r="B13" s="2" t="str">
        <x:v>APP000003</x:v>
      </x:c>
      <x:c r="C13" s="2" t="n">
        <x:v>2</x:v>
      </x:c>
      <x:c r="D13" s="2" t="n">
        <x:v>1</x:v>
      </x:c>
      <x:c r="E13" s="2" t="n">
        <x:v>2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3" customHeight="1">
      <x:c r="A14" s="2"/>
      <x:c r="B14" s="2" t="str">
        <x:v>APP000003</x:v>
      </x:c>
      <x:c r="C14" s="2" t="n">
        <x:v>3</x:v>
      </x:c>
      <x:c r="D14" s="2" t="n">
        <x:v>1</x:v>
      </x:c>
      <x:c r="E14" s="2" t="n">
        <x:v>2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3" customHeight="1">
      <x:c r="A15" s="2"/>
      <x:c r="B15" s="2" t="str">
        <x:v>APP000004</x:v>
      </x:c>
      <x:c r="C15" s="2" t="n">
        <x:v>1</x:v>
      </x:c>
      <x:c r="D15" s="2" t="n">
        <x:v>1</x:v>
      </x:c>
      <x:c r="E15" s="2" t="n">
        <x:v>2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3" customHeight="1">
      <x:c r="A16" s="2"/>
      <x:c r="B16" s="2" t="str">
        <x:v>APP000004</x:v>
      </x:c>
      <x:c r="C16" s="2" t="n">
        <x:v>2</x:v>
      </x:c>
      <x:c r="D16" s="2" t="n">
        <x:v>1</x:v>
      </x:c>
      <x:c r="E16" s="2" t="n">
        <x:v>2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3" customHeight="1">
      <x:c r="A17" s="2"/>
      <x:c r="B17" s="2" t="str">
        <x:v>APP000004</x:v>
      </x:c>
      <x:c r="C17" s="2" t="n">
        <x:v>3</x:v>
      </x:c>
      <x:c r="D17" s="2" t="n">
        <x:v>1</x:v>
      </x:c>
      <x:c r="E17" s="2" t="n">
        <x:v>2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3" customHeight="1">
      <x:c r="A18" s="2"/>
      <x:c r="B18" s="2" t="str">
        <x:v>APP000005</x:v>
      </x:c>
      <x:c r="C18" s="2" t="n">
        <x:v>1</x:v>
      </x:c>
      <x:c r="D18" s="2" t="n">
        <x:v>1</x:v>
      </x:c>
      <x:c r="E18" s="2" t="n">
        <x:v>2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3" customHeight="1">
      <x:c r="A19" s="2"/>
      <x:c r="B19" s="2" t="str">
        <x:v>APP000005</x:v>
      </x:c>
      <x:c r="C19" s="2" t="n">
        <x:v>2</x:v>
      </x:c>
      <x:c r="D19" s="2" t="n">
        <x:v>1</x:v>
      </x:c>
      <x:c r="E19" s="2" t="n">
        <x:v>2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3" customHeight="1">
      <x:c r="A20" s="2"/>
      <x:c r="B20" s="2" t="str">
        <x:v>APP000005</x:v>
      </x:c>
      <x:c r="C20" s="2" t="n">
        <x:v>3</x:v>
      </x:c>
      <x:c r="D20" s="2" t="n">
        <x:v>1</x:v>
      </x:c>
      <x:c r="E20" s="2" t="n">
        <x:v>2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3" customHeight="1">
      <x:c r="A21" s="2"/>
      <x:c r="B21" s="2" t="str">
        <x:v>APP000006</x:v>
      </x:c>
      <x:c r="C21" s="2" t="n">
        <x:v>1</x:v>
      </x:c>
      <x:c r="D21" s="2" t="n">
        <x:v>1</x:v>
      </x:c>
      <x:c r="E21" s="2" t="n">
        <x:v>2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3" customHeight="1">
      <x:c r="A22" s="2"/>
      <x:c r="B22" s="2" t="str">
        <x:v>APP000006</x:v>
      </x:c>
      <x:c r="C22" s="2" t="n">
        <x:v>2</x:v>
      </x:c>
      <x:c r="D22" s="2" t="n">
        <x:v>1</x:v>
      </x:c>
      <x:c r="E22" s="2" t="n">
        <x:v>2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3" customHeight="1">
      <x:c r="A23" s="2"/>
      <x:c r="B23" s="2" t="str">
        <x:v>APP000006</x:v>
      </x:c>
      <x:c r="C23" s="2" t="n">
        <x:v>3</x:v>
      </x:c>
      <x:c r="D23" s="2" t="n">
        <x:v>1</x:v>
      </x:c>
      <x:c r="E23" s="2" t="n">
        <x:v>2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3" customHeight="1">
      <x:c r="A24" s="2"/>
      <x:c r="B24" s="2" t="str">
        <x:v>APP000007</x:v>
      </x:c>
      <x:c r="C24" s="2" t="n">
        <x:v>1</x:v>
      </x:c>
      <x:c r="D24" s="2" t="n">
        <x:v>1</x:v>
      </x:c>
      <x:c r="E24" s="2" t="n">
        <x:v>2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3" customHeight="1">
      <x:c r="B25" s="8" t="str">
        <x:v>APP000007</x:v>
      </x:c>
      <x:c r="C25" s="8" t="n">
        <x:v>2</x:v>
      </x:c>
      <x:c r="D25" s="8" t="n">
        <x:v>1</x:v>
      </x:c>
      <x:c r="E25" s="8" t="n">
        <x:v>2</x:v>
      </x:c>
    </x:row>
    <x:row r="26" ht="23" customHeight="1">
      <x:c r="B26" s="8" t="str">
        <x:v>APP000007</x:v>
      </x:c>
      <x:c r="C26" s="8" t="n">
        <x:v>3</x:v>
      </x:c>
      <x:c r="D26" s="8" t="n">
        <x:v>1</x:v>
      </x:c>
      <x:c r="E26" s="8" t="n">
        <x:v>2</x:v>
      </x:c>
    </x:row>
    <x:row r="27" ht="23" customHeight="1">
      <x:c r="B27" s="8" t="str">
        <x:v>APP000008</x:v>
      </x:c>
      <x:c r="C27" s="8" t="n">
        <x:v>1</x:v>
      </x:c>
      <x:c r="D27" s="8" t="n">
        <x:v>1</x:v>
      </x:c>
      <x:c r="E27" s="8" t="n">
        <x:v>2</x:v>
      </x:c>
    </x:row>
    <x:row r="28" ht="23" customHeight="1">
      <x:c r="B28" s="8" t="str">
        <x:v>APP000008</x:v>
      </x:c>
      <x:c r="C28" s="8" t="n">
        <x:v>2</x:v>
      </x:c>
      <x:c r="D28" s="8" t="n">
        <x:v>1</x:v>
      </x:c>
      <x:c r="E28" s="8" t="n">
        <x:v>2</x:v>
      </x:c>
    </x:row>
    <x:row r="29" ht="23" customHeight="1">
      <x:c r="B29" s="8" t="str">
        <x:v>APP000008</x:v>
      </x:c>
      <x:c r="C29" s="8" t="n">
        <x:v>3</x:v>
      </x:c>
      <x:c r="D29" s="8" t="n">
        <x:v>1</x:v>
      </x:c>
      <x:c r="E29" s="8" t="n">
        <x:v>2</x:v>
      </x:c>
    </x:row>
    <x:row r="30" ht="23" customHeight="1">
      <x:c r="B30" s="8" t="str">
        <x:v>APP000009</x:v>
      </x:c>
      <x:c r="C30" s="8" t="n">
        <x:v>1</x:v>
      </x:c>
      <x:c r="D30" s="8" t="n">
        <x:v>1</x:v>
      </x:c>
      <x:c r="E30" s="8" t="n">
        <x:v>2</x:v>
      </x:c>
    </x:row>
    <x:row r="31" ht="23" customHeight="1">
      <x:c r="B31" s="8" t="str">
        <x:v>APP000009</x:v>
      </x:c>
      <x:c r="C31" s="8" t="n">
        <x:v>2</x:v>
      </x:c>
      <x:c r="D31" s="8" t="n">
        <x:v>1</x:v>
      </x:c>
      <x:c r="E31" s="8" t="n">
        <x:v>2</x:v>
      </x:c>
    </x:row>
    <x:row r="32" ht="23" customHeight="1">
      <x:c r="B32" s="8" t="str">
        <x:v>APP000009</x:v>
      </x:c>
      <x:c r="C32" s="8" t="n">
        <x:v>3</x:v>
      </x:c>
      <x:c r="D32" s="8" t="n">
        <x:v>1</x:v>
      </x:c>
      <x:c r="E32" s="8" t="n">
        <x:v>2</x:v>
      </x:c>
    </x:row>
    <x:row r="33" ht="23" customHeight="1">
      <x:c r="B33" s="8" t="str">
        <x:v>APP000010</x:v>
      </x:c>
      <x:c r="C33" s="8" t="n">
        <x:v>1</x:v>
      </x:c>
      <x:c r="D33" s="8" t="n">
        <x:v>1</x:v>
      </x:c>
      <x:c r="E33" s="8" t="n">
        <x:v>2</x:v>
      </x:c>
    </x:row>
    <x:row r="34" ht="23" customHeight="1">
      <x:c r="B34" s="8" t="str">
        <x:v>APP000010</x:v>
      </x:c>
      <x:c r="C34" s="8" t="n">
        <x:v>2</x:v>
      </x:c>
      <x:c r="D34" s="8" t="n">
        <x:v>1</x:v>
      </x:c>
      <x:c r="E34" s="8" t="n">
        <x:v>2</x:v>
      </x:c>
    </x:row>
    <x:row r="35" ht="23" customHeight="1">
      <x:c r="B35" s="8" t="str">
        <x:v>APP000010</x:v>
      </x:c>
      <x:c r="C35" s="8" t="n">
        <x:v>3</x:v>
      </x:c>
      <x:c r="D35" s="8" t="n">
        <x:v>0</x:v>
      </x:c>
      <x:c r="E35" s="8" t="n">
        <x:v>2</x:v>
      </x:c>
    </x:row>
    <x:row r="36" ht="23" customHeight="1">
      <x:c r="B36" s="8" t="str">
        <x:v>APP000011</x:v>
      </x:c>
      <x:c r="C36" s="8" t="n">
        <x:v>1</x:v>
      </x:c>
      <x:c r="D36" s="8" t="n">
        <x:v>1</x:v>
      </x:c>
      <x:c r="E36" s="8" t="n">
        <x:v>2</x:v>
      </x:c>
    </x:row>
    <x:row r="37" ht="23" customHeight="1">
      <x:c r="B37" s="8" t="str">
        <x:v>APP000011</x:v>
      </x:c>
      <x:c r="C37" s="8" t="n">
        <x:v>2</x:v>
      </x:c>
      <x:c r="D37" s="8" t="n">
        <x:v>1</x:v>
      </x:c>
      <x:c r="E37" s="8" t="n">
        <x:v>2</x:v>
      </x:c>
    </x:row>
    <x:row r="38" ht="23" customHeight="1">
      <x:c r="B38" s="8" t="str">
        <x:v>APP000011</x:v>
      </x:c>
      <x:c r="C38" s="8" t="n">
        <x:v>3</x:v>
      </x:c>
      <x:c r="D38" s="8" t="n">
        <x:v>1</x:v>
      </x:c>
      <x:c r="E38" s="8" t="n">
        <x:v>2</x:v>
      </x:c>
    </x:row>
    <x:row r="39" ht="23" customHeight="1">
      <x:c r="B39" s="8" t="str">
        <x:v>APP000012</x:v>
      </x:c>
      <x:c r="C39" s="8" t="n">
        <x:v>1</x:v>
      </x:c>
      <x:c r="D39" s="8" t="n">
        <x:v>1</x:v>
      </x:c>
      <x:c r="E39" s="8" t="n">
        <x:v>2</x:v>
      </x:c>
    </x:row>
    <x:row r="40" ht="23" customHeight="1">
      <x:c r="B40" s="8" t="str">
        <x:v>APP000012</x:v>
      </x:c>
      <x:c r="C40" s="8" t="n">
        <x:v>2</x:v>
      </x:c>
      <x:c r="D40" s="8" t="n">
        <x:v>1</x:v>
      </x:c>
      <x:c r="E40" s="8" t="n">
        <x:v>2</x:v>
      </x:c>
    </x:row>
    <x:row r="41" ht="23" customHeight="1">
      <x:c r="B41" s="8" t="str">
        <x:v>APP000012</x:v>
      </x:c>
      <x:c r="C41" s="8" t="n">
        <x:v>3</x:v>
      </x:c>
      <x:c r="D41" s="8" t="n">
        <x:v>1</x:v>
      </x:c>
      <x:c r="E41" s="8" t="n">
        <x:v>2</x:v>
      </x:c>
    </x:row>
    <x:row r="42" ht="23" customHeight="1">
      <x:c r="B42" s="8" t="str">
        <x:v>APP000013</x:v>
      </x:c>
      <x:c r="C42" s="8" t="n">
        <x:v>1</x:v>
      </x:c>
      <x:c r="D42" s="8" t="n">
        <x:v>1</x:v>
      </x:c>
      <x:c r="E42" s="8" t="n">
        <x:v>2</x:v>
      </x:c>
    </x:row>
    <x:row r="43" ht="23" customHeight="1">
      <x:c r="B43" s="8" t="str">
        <x:v>APP000013</x:v>
      </x:c>
      <x:c r="C43" s="8" t="n">
        <x:v>2</x:v>
      </x:c>
      <x:c r="D43" s="8" t="n">
        <x:v>1</x:v>
      </x:c>
      <x:c r="E43" s="8" t="n">
        <x:v>2</x:v>
      </x:c>
    </x:row>
    <x:row r="44" ht="23" customHeight="1">
      <x:c r="B44" s="8" t="str">
        <x:v>APP000013</x:v>
      </x:c>
      <x:c r="C44" s="8" t="n">
        <x:v>3</x:v>
      </x:c>
      <x:c r="D44" s="8" t="n">
        <x:v>1</x:v>
      </x:c>
      <x:c r="E44" s="8" t="n">
        <x:v>2</x:v>
      </x:c>
    </x:row>
    <x:row r="45" ht="23" customHeight="1">
      <x:c r="B45" s="8" t="str">
        <x:v>APP000014</x:v>
      </x:c>
      <x:c r="C45" s="8" t="n">
        <x:v>1</x:v>
      </x:c>
      <x:c r="D45" s="8" t="n">
        <x:v>1</x:v>
      </x:c>
      <x:c r="E45" s="8" t="n">
        <x:v>2</x:v>
      </x:c>
    </x:row>
    <x:row r="46" ht="23" customHeight="1">
      <x:c r="B46" s="8" t="str">
        <x:v>APP000014</x:v>
      </x:c>
      <x:c r="C46" s="8" t="n">
        <x:v>2</x:v>
      </x:c>
      <x:c r="D46" s="8" t="n">
        <x:v>0</x:v>
      </x:c>
      <x:c r="E46" s="8" t="n">
        <x:v>2</x:v>
      </x:c>
    </x:row>
    <x:row r="47" ht="23" customHeight="1">
      <x:c r="B47" s="8" t="str">
        <x:v>APP000014</x:v>
      </x:c>
      <x:c r="C47" s="8" t="n">
        <x:v>3</x:v>
      </x:c>
      <x:c r="D47" s="8" t="n">
        <x:v>1</x:v>
      </x:c>
      <x:c r="E47" s="8" t="n">
        <x:v>2</x:v>
      </x:c>
    </x:row>
    <x:row r="48" ht="23" customHeight="1">
      <x:c r="B48" s="8" t="str">
        <x:v>APP000015</x:v>
      </x:c>
      <x:c r="C48" s="8" t="n">
        <x:v>1</x:v>
      </x:c>
      <x:c r="D48" s="8" t="n">
        <x:v>1</x:v>
      </x:c>
      <x:c r="E48" s="8" t="n">
        <x:v>2</x:v>
      </x:c>
    </x:row>
    <x:row r="49" ht="23" customHeight="1">
      <x:c r="B49" s="8" t="str">
        <x:v>APP000015</x:v>
      </x:c>
      <x:c r="C49" s="8" t="n">
        <x:v>2</x:v>
      </x:c>
      <x:c r="D49" s="8" t="n">
        <x:v>1</x:v>
      </x:c>
      <x:c r="E49" s="8" t="n">
        <x:v>2</x:v>
      </x:c>
    </x:row>
    <x:row r="50" ht="23" customHeight="1">
      <x:c r="B50" s="8" t="str">
        <x:v>APP000015</x:v>
      </x:c>
      <x:c r="C50" s="8" t="n">
        <x:v>3</x:v>
      </x:c>
      <x:c r="D50" s="8" t="n">
        <x:v>1</x:v>
      </x:c>
      <x:c r="E50" s="8" t="n">
        <x:v>2</x:v>
      </x:c>
    </x:row>
    <x:row r="51" ht="23" customHeight="1">
      <x:c r="B51" s="8" t="str">
        <x:v>APP000016</x:v>
      </x:c>
      <x:c r="C51" s="8" t="n">
        <x:v>1</x:v>
      </x:c>
      <x:c r="D51" s="8" t="n">
        <x:v>1</x:v>
      </x:c>
      <x:c r="E51" s="8" t="n">
        <x:v>2</x:v>
      </x:c>
    </x:row>
    <x:row r="52" ht="23" customHeight="1">
      <x:c r="B52" s="8" t="str">
        <x:v>APP000016</x:v>
      </x:c>
      <x:c r="C52" s="8" t="n">
        <x:v>2</x:v>
      </x:c>
      <x:c r="D52" s="8" t="n">
        <x:v>1</x:v>
      </x:c>
      <x:c r="E52" s="8" t="n">
        <x:v>2</x:v>
      </x:c>
    </x:row>
    <x:row r="53" ht="23" customHeight="1">
      <x:c r="B53" s="8" t="str">
        <x:v>APP000016</x:v>
      </x:c>
      <x:c r="C53" s="8" t="n">
        <x:v>3</x:v>
      </x:c>
      <x:c r="D53" s="8" t="n">
        <x:v>1</x:v>
      </x:c>
      <x:c r="E53" s="8" t="n">
        <x:v>2</x:v>
      </x:c>
    </x:row>
    <x:row r="54" ht="23" customHeight="1">
      <x:c r="B54" s="8" t="str">
        <x:v>APP000017</x:v>
      </x:c>
      <x:c r="C54" s="8" t="n">
        <x:v>1</x:v>
      </x:c>
      <x:c r="D54" s="8" t="n">
        <x:v>1</x:v>
      </x:c>
      <x:c r="E54" s="8" t="n">
        <x:v>2</x:v>
      </x:c>
    </x:row>
    <x:row r="55" ht="23" customHeight="1">
      <x:c r="B55" s="8" t="str">
        <x:v>APP000017</x:v>
      </x:c>
      <x:c r="C55" s="8" t="n">
        <x:v>2</x:v>
      </x:c>
      <x:c r="D55" s="8" t="n">
        <x:v>1</x:v>
      </x:c>
      <x:c r="E55" s="8" t="n">
        <x:v>2</x:v>
      </x:c>
    </x:row>
    <x:row r="56" ht="23" customHeight="1">
      <x:c r="B56" s="8" t="str">
        <x:v>APP000017</x:v>
      </x:c>
      <x:c r="C56" s="8" t="n">
        <x:v>3</x:v>
      </x:c>
      <x:c r="D56" s="8" t="n">
        <x:v>1</x:v>
      </x:c>
      <x:c r="E56" s="8" t="n">
        <x:v>2</x:v>
      </x:c>
    </x:row>
    <x:row r="57" ht="23" customHeight="1">
      <x:c r="B57" s="8" t="str">
        <x:v>APP000018</x:v>
      </x:c>
      <x:c r="C57" s="8" t="n">
        <x:v>1</x:v>
      </x:c>
      <x:c r="D57" s="8" t="n">
        <x:v>1</x:v>
      </x:c>
      <x:c r="E57" s="8" t="n">
        <x:v>2</x:v>
      </x:c>
    </x:row>
    <x:row r="58" ht="23" customHeight="1">
      <x:c r="B58" s="8" t="str">
        <x:v>APP000018</x:v>
      </x:c>
      <x:c r="C58" s="8" t="n">
        <x:v>2</x:v>
      </x:c>
      <x:c r="D58" s="8" t="n">
        <x:v>1</x:v>
      </x:c>
      <x:c r="E58" s="8" t="n">
        <x:v>2</x:v>
      </x:c>
    </x:row>
    <x:row r="59" ht="23" customHeight="1">
      <x:c r="B59" s="8" t="str">
        <x:v>APP000018</x:v>
      </x:c>
      <x:c r="C59" s="8" t="n">
        <x:v>3</x:v>
      </x:c>
      <x:c r="D59" s="8" t="n">
        <x:v>1</x:v>
      </x:c>
      <x:c r="E59" s="8" t="n">
        <x:v>2</x:v>
      </x:c>
    </x:row>
    <x:row r="60" ht="23" customHeight="1">
      <x:c r="B60" s="8" t="str">
        <x:v>APP000019</x:v>
      </x:c>
      <x:c r="C60" s="8" t="n">
        <x:v>1</x:v>
      </x:c>
      <x:c r="D60" s="8" t="n">
        <x:v>1</x:v>
      </x:c>
      <x:c r="E60" s="8" t="n">
        <x:v>2</x:v>
      </x:c>
    </x:row>
    <x:row r="61" ht="23" customHeight="1">
      <x:c r="B61" s="8" t="str">
        <x:v>APP000019</x:v>
      </x:c>
      <x:c r="C61" s="8" t="n">
        <x:v>2</x:v>
      </x:c>
      <x:c r="D61" s="8" t="n">
        <x:v>1</x:v>
      </x:c>
      <x:c r="E61" s="8" t="n">
        <x:v>2</x:v>
      </x:c>
    </x:row>
    <x:row r="62" ht="23" customHeight="1">
      <x:c r="B62" s="8" t="str">
        <x:v>APP000019</x:v>
      </x:c>
      <x:c r="C62" s="8" t="n">
        <x:v>3</x:v>
      </x:c>
      <x:c r="D62" s="8" t="n">
        <x:v>0</x:v>
      </x:c>
      <x:c r="E62" s="8" t="n">
        <x:v>2</x:v>
      </x:c>
    </x:row>
    <x:row r="63" ht="23" customHeight="1">
      <x:c r="B63" s="8" t="str">
        <x:v>APP000020</x:v>
      </x:c>
      <x:c r="C63" s="8" t="n">
        <x:v>1</x:v>
      </x:c>
      <x:c r="D63" s="8" t="n">
        <x:v>1</x:v>
      </x:c>
      <x:c r="E63" s="8" t="n">
        <x:v>2</x:v>
      </x:c>
    </x:row>
    <x:row r="64" ht="23" customHeight="1">
      <x:c r="B64" s="8" t="str">
        <x:v>APP000020</x:v>
      </x:c>
      <x:c r="C64" s="8" t="n">
        <x:v>2</x:v>
      </x:c>
      <x:c r="D64" s="8" t="n">
        <x:v>1</x:v>
      </x:c>
      <x:c r="E64" s="8" t="n">
        <x:v>2</x:v>
      </x:c>
    </x:row>
    <x:row r="65" ht="23" customHeight="1">
      <x:c r="B65" s="8" t="str">
        <x:v>APP000020</x:v>
      </x:c>
      <x:c r="C65" s="8" t="n">
        <x:v>3</x:v>
      </x:c>
      <x:c r="D65" s="8" t="n">
        <x:v>1</x:v>
      </x:c>
      <x:c r="E65" s="8" t="n">
        <x:v>2</x:v>
      </x:c>
    </x:row>
    <x:row r="66" ht="23" customHeight="1">
      <x:c r="B66" s="8" t="str">
        <x:v>APP000021</x:v>
      </x:c>
      <x:c r="C66" s="8" t="n">
        <x:v>1</x:v>
      </x:c>
      <x:c r="D66" s="8" t="n">
        <x:v>1</x:v>
      </x:c>
      <x:c r="E66" s="8" t="n">
        <x:v>2</x:v>
      </x:c>
    </x:row>
    <x:row r="67" ht="23" customHeight="1">
      <x:c r="B67" s="8" t="str">
        <x:v>APP000021</x:v>
      </x:c>
      <x:c r="C67" s="8" t="n">
        <x:v>2</x:v>
      </x:c>
      <x:c r="D67" s="8" t="n">
        <x:v>1</x:v>
      </x:c>
      <x:c r="E67" s="8" t="n">
        <x:v>2</x:v>
      </x:c>
    </x:row>
    <x:row r="68" ht="23" customHeight="1">
      <x:c r="B68" s="8" t="str">
        <x:v>APP000021</x:v>
      </x:c>
      <x:c r="C68" s="8" t="n">
        <x:v>3</x:v>
      </x:c>
      <x:c r="D68" s="8" t="n">
        <x:v>1</x:v>
      </x:c>
      <x:c r="E68" s="8" t="n">
        <x:v>2</x:v>
      </x:c>
    </x:row>
    <x:row r="69" ht="23" customHeight="1">
      <x:c r="B69" s="8" t="str">
        <x:v>APP000022</x:v>
      </x:c>
      <x:c r="C69" s="8" t="n">
        <x:v>1</x:v>
      </x:c>
      <x:c r="D69" s="8" t="n">
        <x:v>1</x:v>
      </x:c>
      <x:c r="E69" s="8" t="n">
        <x:v>2</x:v>
      </x:c>
    </x:row>
    <x:row r="70" ht="23" customHeight="1">
      <x:c r="B70" s="8" t="str">
        <x:v>APP000022</x:v>
      </x:c>
      <x:c r="C70" s="8" t="n">
        <x:v>2</x:v>
      </x:c>
      <x:c r="D70" s="8" t="n">
        <x:v>1</x:v>
      </x:c>
      <x:c r="E70" s="8" t="n">
        <x:v>2</x:v>
      </x:c>
    </x:row>
    <x:row r="71" ht="23" customHeight="1">
      <x:c r="B71" s="8" t="str">
        <x:v>APP000022</x:v>
      </x:c>
      <x:c r="C71" s="8" t="n">
        <x:v>3</x:v>
      </x:c>
      <x:c r="D71" s="8" t="n">
        <x:v>1</x:v>
      </x:c>
      <x:c r="E71" s="8" t="n">
        <x:v>2</x:v>
      </x:c>
    </x:row>
    <x:row r="72" ht="23" customHeight="1">
      <x:c r="B72" s="8" t="str">
        <x:v>APP000023</x:v>
      </x:c>
      <x:c r="C72" s="8" t="n">
        <x:v>1</x:v>
      </x:c>
      <x:c r="D72" s="8" t="n">
        <x:v>1</x:v>
      </x:c>
      <x:c r="E72" s="8" t="n">
        <x:v>2</x:v>
      </x:c>
    </x:row>
    <x:row r="73" ht="23" customHeight="1">
      <x:c r="B73" s="8" t="str">
        <x:v>APP000023</x:v>
      </x:c>
      <x:c r="C73" s="8" t="n">
        <x:v>2</x:v>
      </x:c>
      <x:c r="D73" s="8" t="n">
        <x:v>1</x:v>
      </x:c>
      <x:c r="E73" s="8" t="n">
        <x:v>2</x:v>
      </x:c>
    </x:row>
    <x:row r="74" ht="23" customHeight="1">
      <x:c r="B74" s="8" t="str">
        <x:v>APP000023</x:v>
      </x:c>
      <x:c r="C74" s="8" t="n">
        <x:v>3</x:v>
      </x:c>
      <x:c r="D74" s="8" t="n">
        <x:v>1</x:v>
      </x:c>
      <x:c r="E74" s="8" t="n">
        <x:v>2</x:v>
      </x:c>
    </x:row>
    <x:row r="75" ht="23" customHeight="1">
      <x:c r="B75" s="8" t="str">
        <x:v>APP000024</x:v>
      </x:c>
      <x:c r="C75" s="8" t="n">
        <x:v>1</x:v>
      </x:c>
      <x:c r="D75" s="8" t="n">
        <x:v>1</x:v>
      </x:c>
      <x:c r="E75" s="8" t="n">
        <x:v>2</x:v>
      </x:c>
    </x:row>
    <x:row r="76" ht="23" customHeight="1">
      <x:c r="B76" s="8" t="str">
        <x:v>APP000024</x:v>
      </x:c>
      <x:c r="C76" s="8" t="n">
        <x:v>2</x:v>
      </x:c>
      <x:c r="D76" s="8" t="n">
        <x:v>1</x:v>
      </x:c>
      <x:c r="E76" s="8" t="n">
        <x:v>2</x:v>
      </x:c>
    </x:row>
    <x:row r="77" ht="23" customHeight="1">
      <x:c r="B77" s="8" t="str">
        <x:v>APP000024</x:v>
      </x:c>
      <x:c r="C77" s="8" t="n">
        <x:v>3</x:v>
      </x:c>
      <x:c r="D77" s="8" t="n">
        <x:v>1</x:v>
      </x:c>
      <x:c r="E77" s="8" t="n">
        <x:v>2</x:v>
      </x:c>
    </x:row>
    <x:row r="78" ht="23" customHeight="1">
      <x:c r="B78" s="8" t="str">
        <x:v>APP000025</x:v>
      </x:c>
      <x:c r="C78" s="8" t="n">
        <x:v>1</x:v>
      </x:c>
      <x:c r="D78" s="8" t="n">
        <x:v>1</x:v>
      </x:c>
      <x:c r="E78" s="8" t="n">
        <x:v>2</x:v>
      </x:c>
    </x:row>
    <x:row r="79" ht="23" customHeight="1">
      <x:c r="B79" s="8" t="str">
        <x:v>APP000025</x:v>
      </x:c>
      <x:c r="C79" s="8" t="n">
        <x:v>2</x:v>
      </x:c>
      <x:c r="D79" s="8" t="n">
        <x:v>1</x:v>
      </x:c>
      <x:c r="E79" s="8" t="n">
        <x:v>2</x:v>
      </x:c>
    </x:row>
    <x:row r="80" ht="23" customHeight="1">
      <x:c r="B80" s="8" t="str">
        <x:v>APP000025</x:v>
      </x:c>
      <x:c r="C80" s="8" t="n">
        <x:v>3</x:v>
      </x:c>
      <x:c r="D80" s="8" t="n">
        <x:v>1</x:v>
      </x:c>
      <x:c r="E80" s="8" t="n">
        <x:v>2</x:v>
      </x:c>
    </x:row>
    <x:row r="81" ht="23" customHeight="1">
      <x:c r="B81" s="8" t="str">
        <x:v>APP000026</x:v>
      </x:c>
      <x:c r="C81" s="8" t="n">
        <x:v>1</x:v>
      </x:c>
      <x:c r="D81" s="8" t="n">
        <x:v>1</x:v>
      </x:c>
      <x:c r="E81" s="8" t="n">
        <x:v>2</x:v>
      </x:c>
    </x:row>
    <x:row r="82" ht="23" customHeight="1">
      <x:c r="B82" s="8" t="str">
        <x:v>APP000026</x:v>
      </x:c>
      <x:c r="C82" s="8" t="n">
        <x:v>2</x:v>
      </x:c>
      <x:c r="D82" s="8" t="n">
        <x:v>1</x:v>
      </x:c>
      <x:c r="E82" s="8" t="n">
        <x:v>2</x:v>
      </x:c>
    </x:row>
    <x:row r="83" ht="23" customHeight="1">
      <x:c r="B83" s="8" t="str">
        <x:v>APP000026</x:v>
      </x:c>
      <x:c r="C83" s="8" t="n">
        <x:v>3</x:v>
      </x:c>
      <x:c r="D83" s="8" t="n">
        <x:v>1</x:v>
      </x:c>
      <x:c r="E83" s="8" t="n">
        <x:v>2</x:v>
      </x:c>
    </x:row>
    <x:row r="84" ht="23" customHeight="1">
      <x:c r="B84" s="8" t="str">
        <x:v>APP000027</x:v>
      </x:c>
      <x:c r="C84" s="8" t="n">
        <x:v>1</x:v>
      </x:c>
      <x:c r="D84" s="8" t="n">
        <x:v>1</x:v>
      </x:c>
      <x:c r="E84" s="8" t="n">
        <x:v>2</x:v>
      </x:c>
    </x:row>
    <x:row r="85" ht="23" customHeight="1">
      <x:c r="B85" s="8" t="str">
        <x:v>APP000027</x:v>
      </x:c>
      <x:c r="C85" s="8" t="n">
        <x:v>2</x:v>
      </x:c>
      <x:c r="D85" s="8" t="n">
        <x:v>0</x:v>
      </x:c>
      <x:c r="E85" s="8" t="n">
        <x:v>2</x:v>
      </x:c>
    </x:row>
    <x:row r="86" ht="23" customHeight="1">
      <x:c r="B86" s="8" t="str">
        <x:v>APP000027</x:v>
      </x:c>
      <x:c r="C86" s="8" t="n">
        <x:v>3</x:v>
      </x:c>
      <x:c r="D86" s="8" t="n">
        <x:v>1</x:v>
      </x:c>
      <x:c r="E86" s="8" t="n">
        <x:v>2</x:v>
      </x:c>
    </x:row>
    <x:row r="87" ht="23" customHeight="1">
      <x:c r="B87" s="8" t="str">
        <x:v>APP000028</x:v>
      </x:c>
      <x:c r="C87" s="8" t="n">
        <x:v>1</x:v>
      </x:c>
      <x:c r="D87" s="8" t="n">
        <x:v>1</x:v>
      </x:c>
      <x:c r="E87" s="8" t="n">
        <x:v>2</x:v>
      </x:c>
    </x:row>
    <x:row r="88" ht="23" customHeight="1">
      <x:c r="B88" s="8" t="str">
        <x:v>APP000028</x:v>
      </x:c>
      <x:c r="C88" s="8" t="n">
        <x:v>2</x:v>
      </x:c>
      <x:c r="D88" s="8" t="n">
        <x:v>1</x:v>
      </x:c>
      <x:c r="E88" s="8" t="n">
        <x:v>2</x:v>
      </x:c>
    </x:row>
    <x:row r="89" ht="23" customHeight="1">
      <x:c r="B89" s="8" t="str">
        <x:v>APP000028</x:v>
      </x:c>
      <x:c r="C89" s="8" t="n">
        <x:v>3</x:v>
      </x:c>
      <x:c r="D89" s="8" t="n">
        <x:v>0</x:v>
      </x:c>
      <x:c r="E89" s="8" t="n">
        <x:v>2</x:v>
      </x:c>
    </x:row>
    <x:row r="90" ht="23" customHeight="1">
      <x:c r="B90" s="8" t="str">
        <x:v>APP000029</x:v>
      </x:c>
      <x:c r="C90" s="8" t="n">
        <x:v>1</x:v>
      </x:c>
      <x:c r="D90" s="8" t="n">
        <x:v>1</x:v>
      </x:c>
      <x:c r="E90" s="8" t="n">
        <x:v>2</x:v>
      </x:c>
    </x:row>
    <x:row r="91" ht="23" customHeight="1">
      <x:c r="B91" s="8" t="str">
        <x:v>APP000029</x:v>
      </x:c>
      <x:c r="C91" s="8" t="n">
        <x:v>2</x:v>
      </x:c>
      <x:c r="D91" s="8" t="n">
        <x:v>1</x:v>
      </x:c>
      <x:c r="E91" s="8" t="n">
        <x:v>2</x:v>
      </x:c>
    </x:row>
    <x:row r="92" ht="23" customHeight="1">
      <x:c r="B92" s="8" t="str">
        <x:v>APP000029</x:v>
      </x:c>
      <x:c r="C92" s="8" t="n">
        <x:v>3</x:v>
      </x:c>
      <x:c r="D92" s="8" t="n">
        <x:v>1</x:v>
      </x:c>
      <x:c r="E92" s="8" t="n">
        <x:v>2</x:v>
      </x:c>
    </x:row>
    <x:row r="93" ht="23" customHeight="1">
      <x:c r="B93" s="8" t="str">
        <x:v>APP000030</x:v>
      </x:c>
      <x:c r="C93" s="8" t="n">
        <x:v>1</x:v>
      </x:c>
      <x:c r="D93" s="8" t="n">
        <x:v>1</x:v>
      </x:c>
      <x:c r="E93" s="8" t="n">
        <x:v>2</x:v>
      </x:c>
    </x:row>
    <x:row r="94" ht="23" customHeight="1">
      <x:c r="B94" s="8" t="str">
        <x:v>APP000030</x:v>
      </x:c>
      <x:c r="C94" s="8" t="n">
        <x:v>2</x:v>
      </x:c>
      <x:c r="D94" s="8" t="n">
        <x:v>1</x:v>
      </x:c>
      <x:c r="E94" s="8" t="n">
        <x:v>2</x:v>
      </x:c>
    </x:row>
    <x:row r="95" ht="23" customHeight="1">
      <x:c r="B95" s="8" t="str">
        <x:v>APP000030</x:v>
      </x:c>
      <x:c r="C95" s="8" t="n">
        <x:v>3</x:v>
      </x:c>
      <x:c r="D95" s="8" t="n">
        <x:v>1</x:v>
      </x:c>
      <x:c r="E95" s="8" t="n">
        <x:v>2</x:v>
      </x:c>
    </x:row>
    <x:row r="96" ht="23" customHeight="1">
      <x:c r="B96" s="8" t="str">
        <x:v>APP000031</x:v>
      </x:c>
      <x:c r="C96" s="8" t="n">
        <x:v>1</x:v>
      </x:c>
      <x:c r="D96" s="8" t="n">
        <x:v>1</x:v>
      </x:c>
      <x:c r="E96" s="8" t="n">
        <x:v>2</x:v>
      </x:c>
    </x:row>
    <x:row r="97" ht="23" customHeight="1">
      <x:c r="B97" s="8" t="str">
        <x:v>APP000031</x:v>
      </x:c>
      <x:c r="C97" s="8" t="n">
        <x:v>2</x:v>
      </x:c>
      <x:c r="D97" s="8" t="n">
        <x:v>1</x:v>
      </x:c>
      <x:c r="E97" s="8" t="n">
        <x:v>2</x:v>
      </x:c>
    </x:row>
    <x:row r="98" ht="23" customHeight="1">
      <x:c r="B98" s="8" t="str">
        <x:v>APP000031</x:v>
      </x:c>
      <x:c r="C98" s="8" t="n">
        <x:v>3</x:v>
      </x:c>
      <x:c r="D98" s="8" t="n">
        <x:v>1</x:v>
      </x:c>
      <x:c r="E98" s="8" t="n">
        <x:v>2</x:v>
      </x:c>
    </x:row>
    <x:row r="99" ht="23" customHeight="1">
      <x:c r="B99" s="8" t="str">
        <x:v>APP000032</x:v>
      </x:c>
      <x:c r="C99" s="8" t="n">
        <x:v>1</x:v>
      </x:c>
      <x:c r="D99" s="8" t="n">
        <x:v>1</x:v>
      </x:c>
      <x:c r="E99" s="8" t="n">
        <x:v>2</x:v>
      </x:c>
    </x:row>
    <x:row r="100" ht="23" customHeight="1">
      <x:c r="B100" s="8" t="str">
        <x:v>APP000032</x:v>
      </x:c>
      <x:c r="C100" s="8" t="n">
        <x:v>2</x:v>
      </x:c>
      <x:c r="D100" s="8" t="n">
        <x:v>1</x:v>
      </x:c>
      <x:c r="E100" s="8" t="n">
        <x:v>2</x:v>
      </x:c>
    </x:row>
    <x:row r="101" ht="23" customHeight="1">
      <x:c r="B101" s="8" t="str">
        <x:v>APP000032</x:v>
      </x:c>
      <x:c r="C101" s="8" t="n">
        <x:v>3</x:v>
      </x:c>
      <x:c r="D101" s="8" t="n">
        <x:v>1</x:v>
      </x:c>
      <x:c r="E101" s="8" t="n">
        <x:v>2</x:v>
      </x:c>
    </x:row>
    <x:row r="102" ht="23" customHeight="1">
      <x:c r="B102" s="8" t="str">
        <x:v>APP000033</x:v>
      </x:c>
      <x:c r="C102" s="8" t="n">
        <x:v>1</x:v>
      </x:c>
      <x:c r="D102" s="8" t="n">
        <x:v>1</x:v>
      </x:c>
      <x:c r="E102" s="8" t="n">
        <x:v>2</x:v>
      </x:c>
    </x:row>
    <x:row r="103" ht="23" customHeight="1">
      <x:c r="B103" s="8" t="str">
        <x:v>APP000033</x:v>
      </x:c>
      <x:c r="C103" s="8" t="n">
        <x:v>2</x:v>
      </x:c>
      <x:c r="D103" s="8" t="n">
        <x:v>1</x:v>
      </x:c>
      <x:c r="E103" s="8" t="n">
        <x:v>2</x:v>
      </x:c>
    </x:row>
    <x:row r="104" ht="23" customHeight="1">
      <x:c r="B104" s="8" t="str">
        <x:v>APP000033</x:v>
      </x:c>
      <x:c r="C104" s="8" t="n">
        <x:v>3</x:v>
      </x:c>
      <x:c r="D104" s="8" t="n">
        <x:v>1</x:v>
      </x:c>
      <x:c r="E104" s="8" t="n">
        <x:v>2</x:v>
      </x:c>
    </x:row>
    <x:row r="105" ht="23" customHeight="1">
      <x:c r="B105" s="8" t="str">
        <x:v>APP000034</x:v>
      </x:c>
      <x:c r="C105" s="8" t="n">
        <x:v>1</x:v>
      </x:c>
      <x:c r="D105" s="8" t="n">
        <x:v>1</x:v>
      </x:c>
      <x:c r="E105" s="8" t="n">
        <x:v>2</x:v>
      </x:c>
    </x:row>
    <x:row r="106" ht="23" customHeight="1">
      <x:c r="B106" s="8" t="str">
        <x:v>APP000034</x:v>
      </x:c>
      <x:c r="C106" s="8" t="n">
        <x:v>2</x:v>
      </x:c>
      <x:c r="D106" s="8" t="n">
        <x:v>1</x:v>
      </x:c>
      <x:c r="E106" s="8" t="n">
        <x:v>2</x:v>
      </x:c>
    </x:row>
    <x:row r="107" ht="23" customHeight="1">
      <x:c r="B107" s="8" t="str">
        <x:v>APP000034</x:v>
      </x:c>
      <x:c r="C107" s="8" t="n">
        <x:v>3</x:v>
      </x:c>
      <x:c r="D107" s="8" t="n">
        <x:v>1</x:v>
      </x:c>
      <x:c r="E107" s="8" t="n">
        <x:v>2</x:v>
      </x:c>
    </x:row>
    <x:row r="108" ht="23" customHeight="1">
      <x:c r="B108" s="8" t="str">
        <x:v>APP000035</x:v>
      </x:c>
      <x:c r="C108" s="8" t="n">
        <x:v>1</x:v>
      </x:c>
      <x:c r="D108" s="8" t="n">
        <x:v>1</x:v>
      </x:c>
      <x:c r="E108" s="8" t="n">
        <x:v>2</x:v>
      </x:c>
    </x:row>
    <x:row r="109" ht="23" customHeight="1">
      <x:c r="B109" s="8" t="str">
        <x:v>APP000035</x:v>
      </x:c>
      <x:c r="C109" s="8" t="n">
        <x:v>2</x:v>
      </x:c>
      <x:c r="D109" s="8" t="n">
        <x:v>1</x:v>
      </x:c>
      <x:c r="E109" s="8" t="n">
        <x:v>2</x:v>
      </x:c>
    </x:row>
    <x:row r="110" ht="23" customHeight="1">
      <x:c r="B110" s="8" t="str">
        <x:v>APP000035</x:v>
      </x:c>
      <x:c r="C110" s="8" t="n">
        <x:v>3</x:v>
      </x:c>
      <x:c r="D110" s="8" t="n">
        <x:v>1</x:v>
      </x:c>
      <x:c r="E110" s="8" t="n">
        <x:v>2</x:v>
      </x:c>
    </x:row>
    <x:row r="111" ht="23" customHeight="1">
      <x:c r="B111" s="8" t="str">
        <x:v>APP000036</x:v>
      </x:c>
      <x:c r="C111" s="8" t="n">
        <x:v>1</x:v>
      </x:c>
      <x:c r="D111" s="8" t="n">
        <x:v>1</x:v>
      </x:c>
      <x:c r="E111" s="8" t="n">
        <x:v>2</x:v>
      </x:c>
    </x:row>
    <x:row r="112" ht="23" customHeight="1">
      <x:c r="B112" s="8" t="str">
        <x:v>APP000036</x:v>
      </x:c>
      <x:c r="C112" s="8" t="n">
        <x:v>2</x:v>
      </x:c>
      <x:c r="D112" s="8" t="n">
        <x:v>1</x:v>
      </x:c>
      <x:c r="E112" s="8" t="n">
        <x:v>2</x:v>
      </x:c>
    </x:row>
    <x:row r="113" ht="23" customHeight="1">
      <x:c r="B113" s="8" t="str">
        <x:v>APP000036</x:v>
      </x:c>
      <x:c r="C113" s="8" t="n">
        <x:v>3</x:v>
      </x:c>
      <x:c r="D113" s="8" t="n">
        <x:v>1</x:v>
      </x:c>
      <x:c r="E113" s="8" t="n">
        <x:v>2</x:v>
      </x:c>
    </x:row>
    <x:row r="114" ht="23" customHeight="1">
      <x:c r="B114" s="8" t="str">
        <x:v>APP000037</x:v>
      </x:c>
      <x:c r="C114" s="8" t="n">
        <x:v>1</x:v>
      </x:c>
      <x:c r="D114" s="8" t="n">
        <x:v>1</x:v>
      </x:c>
      <x:c r="E114" s="8" t="n">
        <x:v>2</x:v>
      </x:c>
    </x:row>
    <x:row r="115" ht="23" customHeight="1">
      <x:c r="B115" s="8" t="str">
        <x:v>APP000037</x:v>
      </x:c>
      <x:c r="C115" s="8" t="n">
        <x:v>2</x:v>
      </x:c>
      <x:c r="D115" s="8" t="n">
        <x:v>1</x:v>
      </x:c>
      <x:c r="E115" s="8" t="n">
        <x:v>2</x:v>
      </x:c>
    </x:row>
    <x:row r="116" ht="23" customHeight="1">
      <x:c r="B116" s="8" t="str">
        <x:v>APP000037</x:v>
      </x:c>
      <x:c r="C116" s="8" t="n">
        <x:v>3</x:v>
      </x:c>
      <x:c r="D116" s="8" t="n">
        <x:v>0</x:v>
      </x:c>
      <x:c r="E116" s="8" t="n">
        <x:v>2</x:v>
      </x:c>
    </x:row>
    <x:row r="117" ht="23" customHeight="1">
      <x:c r="B117" s="8" t="str">
        <x:v>APP000038</x:v>
      </x:c>
      <x:c r="C117" s="8" t="n">
        <x:v>1</x:v>
      </x:c>
      <x:c r="D117" s="8" t="n">
        <x:v>1</x:v>
      </x:c>
      <x:c r="E117" s="8" t="n">
        <x:v>2</x:v>
      </x:c>
    </x:row>
    <x:row r="118" ht="23" customHeight="1">
      <x:c r="B118" s="8" t="str">
        <x:v>APP000038</x:v>
      </x:c>
      <x:c r="C118" s="8" t="n">
        <x:v>2</x:v>
      </x:c>
      <x:c r="D118" s="8" t="n">
        <x:v>1</x:v>
      </x:c>
      <x:c r="E118" s="8" t="n">
        <x:v>2</x:v>
      </x:c>
    </x:row>
    <x:row r="119" ht="23" customHeight="1">
      <x:c r="B119" s="8" t="str">
        <x:v>APP000038</x:v>
      </x:c>
      <x:c r="C119" s="8" t="n">
        <x:v>3</x:v>
      </x:c>
      <x:c r="D119" s="8" t="n">
        <x:v>1</x:v>
      </x:c>
      <x:c r="E119" s="8" t="n">
        <x:v>2</x:v>
      </x:c>
    </x:row>
    <x:row r="120" ht="23" customHeight="1">
      <x:c r="B120" s="8" t="str">
        <x:v>APP000039</x:v>
      </x:c>
      <x:c r="C120" s="8" t="n">
        <x:v>1</x:v>
      </x:c>
      <x:c r="D120" s="8" t="n">
        <x:v>1</x:v>
      </x:c>
      <x:c r="E120" s="8" t="n">
        <x:v>2</x:v>
      </x:c>
    </x:row>
    <x:row r="121" ht="23" customHeight="1">
      <x:c r="B121" s="8" t="str">
        <x:v>APP000039</x:v>
      </x:c>
      <x:c r="C121" s="8" t="n">
        <x:v>2</x:v>
      </x:c>
      <x:c r="D121" s="8" t="n">
        <x:v>1</x:v>
      </x:c>
      <x:c r="E121" s="8" t="n">
        <x:v>2</x:v>
      </x:c>
    </x:row>
    <x:row r="122" ht="23" customHeight="1">
      <x:c r="B122" s="8" t="str">
        <x:v>APP000039</x:v>
      </x:c>
      <x:c r="C122" s="8" t="n">
        <x:v>3</x:v>
      </x:c>
      <x:c r="D122" s="8" t="n">
        <x:v>1</x:v>
      </x:c>
      <x:c r="E122" s="8" t="n">
        <x:v>2</x:v>
      </x:c>
    </x:row>
    <x:row r="123" ht="23" customHeight="1">
      <x:c r="B123" s="8" t="str">
        <x:v>APP000040</x:v>
      </x:c>
      <x:c r="C123" s="8" t="n">
        <x:v>1</x:v>
      </x:c>
      <x:c r="D123" s="8" t="n">
        <x:v>1</x:v>
      </x:c>
      <x:c r="E123" s="8" t="n">
        <x:v>2</x:v>
      </x:c>
    </x:row>
    <x:row r="124" ht="23" customHeight="1">
      <x:c r="B124" s="8" t="str">
        <x:v>APP000040</x:v>
      </x:c>
      <x:c r="C124" s="8" t="n">
        <x:v>2</x:v>
      </x:c>
      <x:c r="D124" s="8" t="n">
        <x:v>0</x:v>
      </x:c>
      <x:c r="E124" s="8" t="n">
        <x:v>2</x:v>
      </x:c>
    </x:row>
    <x:row r="125" ht="23" customHeight="1">
      <x:c r="B125" s="8" t="str">
        <x:v>APP000040</x:v>
      </x:c>
      <x:c r="C125" s="8" t="n">
        <x:v>3</x:v>
      </x:c>
      <x:c r="D125" s="8" t="n">
        <x:v>1</x:v>
      </x:c>
      <x:c r="E125" s="8" t="n">
        <x:v>2</x:v>
      </x:c>
    </x:row>
    <x:row r="126" ht="23" customHeight="1">
      <x:c r="B126" s="8" t="str">
        <x:v>APP000041</x:v>
      </x:c>
      <x:c r="C126" s="8" t="n">
        <x:v>1</x:v>
      </x:c>
      <x:c r="D126" s="8" t="n">
        <x:v>1</x:v>
      </x:c>
      <x:c r="E126" s="8" t="n">
        <x:v>2</x:v>
      </x:c>
    </x:row>
    <x:row r="127" ht="23" customHeight="1">
      <x:c r="B127" s="8" t="str">
        <x:v>APP000041</x:v>
      </x:c>
      <x:c r="C127" s="8" t="n">
        <x:v>2</x:v>
      </x:c>
      <x:c r="D127" s="8" t="n">
        <x:v>1</x:v>
      </x:c>
      <x:c r="E127" s="8" t="n">
        <x:v>2</x:v>
      </x:c>
    </x:row>
    <x:row r="128" ht="23" customHeight="1">
      <x:c r="B128" s="8" t="str">
        <x:v>APP000041</x:v>
      </x:c>
      <x:c r="C128" s="8" t="n">
        <x:v>3</x:v>
      </x:c>
      <x:c r="D128" s="8" t="n">
        <x:v>1</x:v>
      </x:c>
      <x:c r="E128" s="8" t="n">
        <x:v>2</x:v>
      </x:c>
    </x:row>
    <x:row r="129" ht="23" customHeight="1">
      <x:c r="B129" s="8" t="str">
        <x:v>APP000042</x:v>
      </x:c>
      <x:c r="C129" s="8" t="n">
        <x:v>1</x:v>
      </x:c>
      <x:c r="D129" s="8" t="n">
        <x:v>1</x:v>
      </x:c>
      <x:c r="E129" s="8" t="n">
        <x:v>2</x:v>
      </x:c>
    </x:row>
    <x:row r="130" ht="23" customHeight="1">
      <x:c r="B130" s="8" t="str">
        <x:v>APP000042</x:v>
      </x:c>
      <x:c r="C130" s="8" t="n">
        <x:v>2</x:v>
      </x:c>
      <x:c r="D130" s="8" t="n">
        <x:v>1</x:v>
      </x:c>
      <x:c r="E130" s="8" t="n">
        <x:v>2</x:v>
      </x:c>
    </x:row>
    <x:row r="131" ht="23" customHeight="1">
      <x:c r="B131" s="8" t="str">
        <x:v>APP000042</x:v>
      </x:c>
      <x:c r="C131" s="8" t="n">
        <x:v>3</x:v>
      </x:c>
      <x:c r="D131" s="8" t="n">
        <x:v>1</x:v>
      </x:c>
      <x:c r="E131" s="8" t="n">
        <x:v>2</x:v>
      </x:c>
    </x:row>
    <x:row r="132" ht="23" customHeight="1">
      <x:c r="B132" s="8" t="str">
        <x:v>APP000043</x:v>
      </x:c>
      <x:c r="C132" s="8" t="n">
        <x:v>1</x:v>
      </x:c>
      <x:c r="D132" s="8" t="n">
        <x:v>1</x:v>
      </x:c>
      <x:c r="E132" s="8" t="n">
        <x:v>2</x:v>
      </x:c>
    </x:row>
    <x:row r="133" ht="23" customHeight="1">
      <x:c r="B133" s="8" t="str">
        <x:v>APP000043</x:v>
      </x:c>
      <x:c r="C133" s="8" t="n">
        <x:v>2</x:v>
      </x:c>
      <x:c r="D133" s="8" t="n">
        <x:v>1</x:v>
      </x:c>
      <x:c r="E133" s="8" t="n">
        <x:v>2</x:v>
      </x:c>
    </x:row>
    <x:row r="134" ht="23" customHeight="1">
      <x:c r="B134" s="8" t="str">
        <x:v>APP000043</x:v>
      </x:c>
      <x:c r="C134" s="8" t="n">
        <x:v>3</x:v>
      </x:c>
      <x:c r="D134" s="8" t="n">
        <x:v>1</x:v>
      </x:c>
      <x:c r="E134" s="8" t="n">
        <x:v>2</x:v>
      </x:c>
    </x:row>
    <x:row r="135" ht="23" customHeight="1">
      <x:c r="B135" s="8" t="str">
        <x:v>APP000044</x:v>
      </x:c>
      <x:c r="C135" s="8" t="n">
        <x:v>1</x:v>
      </x:c>
      <x:c r="D135" s="8" t="n">
        <x:v>1</x:v>
      </x:c>
      <x:c r="E135" s="8" t="n">
        <x:v>2</x:v>
      </x:c>
    </x:row>
    <x:row r="136" ht="23" customHeight="1">
      <x:c r="B136" s="8" t="str">
        <x:v>APP000044</x:v>
      </x:c>
      <x:c r="C136" s="8" t="n">
        <x:v>2</x:v>
      </x:c>
      <x:c r="D136" s="8" t="n">
        <x:v>1</x:v>
      </x:c>
      <x:c r="E136" s="8" t="n">
        <x:v>2</x:v>
      </x:c>
    </x:row>
    <x:row r="137" ht="23" customHeight="1">
      <x:c r="B137" s="8" t="str">
        <x:v>APP000044</x:v>
      </x:c>
      <x:c r="C137" s="8" t="n">
        <x:v>3</x:v>
      </x:c>
      <x:c r="D137" s="8" t="n">
        <x:v>1</x:v>
      </x:c>
      <x:c r="E137" s="8" t="n">
        <x:v>2</x:v>
      </x:c>
    </x:row>
    <x:row r="138" ht="23" customHeight="1">
      <x:c r="B138" s="8" t="str">
        <x:v>APP000045</x:v>
      </x:c>
      <x:c r="C138" s="8" t="n">
        <x:v>1</x:v>
      </x:c>
      <x:c r="D138" s="8" t="n">
        <x:v>1</x:v>
      </x:c>
      <x:c r="E138" s="8" t="n">
        <x:v>2</x:v>
      </x:c>
    </x:row>
    <x:row r="139" ht="23" customHeight="1">
      <x:c r="B139" s="8" t="str">
        <x:v>APP000045</x:v>
      </x:c>
      <x:c r="C139" s="8" t="n">
        <x:v>2</x:v>
      </x:c>
      <x:c r="D139" s="8" t="n">
        <x:v>1</x:v>
      </x:c>
      <x:c r="E139" s="8" t="n">
        <x:v>2</x:v>
      </x:c>
    </x:row>
    <x:row r="140" ht="23" customHeight="1">
      <x:c r="B140" s="8" t="str">
        <x:v>APP000045</x:v>
      </x:c>
      <x:c r="C140" s="8" t="n">
        <x:v>3</x:v>
      </x:c>
      <x:c r="D140" s="8" t="n">
        <x:v>1</x:v>
      </x:c>
      <x:c r="E140" s="8" t="n">
        <x:v>2</x:v>
      </x:c>
    </x:row>
    <x:row r="141" ht="23" customHeight="1">
      <x:c r="B141" s="8" t="str">
        <x:v>APP000046</x:v>
      </x:c>
      <x:c r="C141" s="8" t="n">
        <x:v>1</x:v>
      </x:c>
      <x:c r="D141" s="8" t="n">
        <x:v>1</x:v>
      </x:c>
      <x:c r="E141" s="8" t="n">
        <x:v>2</x:v>
      </x:c>
    </x:row>
    <x:row r="142" ht="23" customHeight="1">
      <x:c r="B142" s="8" t="str">
        <x:v>APP000046</x:v>
      </x:c>
      <x:c r="C142" s="8" t="n">
        <x:v>2</x:v>
      </x:c>
      <x:c r="D142" s="8" t="n">
        <x:v>1</x:v>
      </x:c>
      <x:c r="E142" s="8" t="n">
        <x:v>2</x:v>
      </x:c>
    </x:row>
    <x:row r="143" ht="23" customHeight="1">
      <x:c r="B143" s="8" t="str">
        <x:v>APP000046</x:v>
      </x:c>
      <x:c r="C143" s="8" t="n">
        <x:v>3</x:v>
      </x:c>
      <x:c r="D143" s="8" t="n">
        <x:v>0</x:v>
      </x:c>
      <x:c r="E143" s="8" t="n">
        <x:v>2</x:v>
      </x:c>
    </x:row>
    <x:row r="144" ht="23" customHeight="1">
      <x:c r="B144" s="8" t="str">
        <x:v>APP000047</x:v>
      </x:c>
      <x:c r="C144" s="8" t="n">
        <x:v>1</x:v>
      </x:c>
      <x:c r="D144" s="8" t="n">
        <x:v>1</x:v>
      </x:c>
      <x:c r="E144" s="8" t="n">
        <x:v>2</x:v>
      </x:c>
    </x:row>
    <x:row r="145" ht="23" customHeight="1">
      <x:c r="B145" s="8" t="str">
        <x:v>APP000047</x:v>
      </x:c>
      <x:c r="C145" s="8" t="n">
        <x:v>2</x:v>
      </x:c>
      <x:c r="D145" s="8" t="n">
        <x:v>1</x:v>
      </x:c>
      <x:c r="E145" s="8" t="n">
        <x:v>2</x:v>
      </x:c>
    </x:row>
    <x:row r="146" ht="23" customHeight="1">
      <x:c r="B146" s="8" t="str">
        <x:v>APP000047</x:v>
      </x:c>
      <x:c r="C146" s="8" t="n">
        <x:v>3</x:v>
      </x:c>
      <x:c r="D146" s="8" t="n">
        <x:v>1</x:v>
      </x:c>
      <x:c r="E146" s="8" t="n">
        <x:v>2</x:v>
      </x:c>
    </x:row>
    <x:row r="147" ht="23" customHeight="1">
      <x:c r="B147" s="8" t="str">
        <x:v>APP000048</x:v>
      </x:c>
      <x:c r="C147" s="8" t="n">
        <x:v>1</x:v>
      </x:c>
      <x:c r="D147" s="8" t="n">
        <x:v>1</x:v>
      </x:c>
      <x:c r="E147" s="8" t="n">
        <x:v>2</x:v>
      </x:c>
    </x:row>
    <x:row r="148" ht="23" customHeight="1">
      <x:c r="B148" s="8" t="str">
        <x:v>APP000048</x:v>
      </x:c>
      <x:c r="C148" s="8" t="n">
        <x:v>2</x:v>
      </x:c>
      <x:c r="D148" s="8" t="n">
        <x:v>1</x:v>
      </x:c>
      <x:c r="E148" s="8" t="n">
        <x:v>2</x:v>
      </x:c>
    </x:row>
    <x:row r="149" ht="23" customHeight="1">
      <x:c r="B149" s="8" t="str">
        <x:v>APP000048</x:v>
      </x:c>
      <x:c r="C149" s="8" t="n">
        <x:v>3</x:v>
      </x:c>
      <x:c r="D149" s="8" t="n">
        <x:v>1</x:v>
      </x:c>
      <x:c r="E149" s="8" t="n">
        <x:v>2</x:v>
      </x:c>
    </x:row>
    <x:row r="150" ht="23" customHeight="1">
      <x:c r="B150" s="8" t="str">
        <x:v>APP000049</x:v>
      </x:c>
      <x:c r="C150" s="8" t="n">
        <x:v>1</x:v>
      </x:c>
      <x:c r="D150" s="8" t="n">
        <x:v>1</x:v>
      </x:c>
      <x:c r="E150" s="8" t="n">
        <x:v>2</x:v>
      </x:c>
    </x:row>
    <x:row r="151" ht="23" customHeight="1">
      <x:c r="B151" s="8" t="str">
        <x:v>APP000049</x:v>
      </x:c>
      <x:c r="C151" s="8" t="n">
        <x:v>2</x:v>
      </x:c>
      <x:c r="D151" s="8" t="n">
        <x:v>1</x:v>
      </x:c>
      <x:c r="E151" s="8" t="n">
        <x:v>2</x:v>
      </x:c>
    </x:row>
    <x:row r="152" ht="23" customHeight="1">
      <x:c r="B152" s="8" t="str">
        <x:v>APP000049</x:v>
      </x:c>
      <x:c r="C152" s="8" t="n">
        <x:v>3</x:v>
      </x:c>
      <x:c r="D152" s="8" t="n">
        <x:v>1</x:v>
      </x:c>
      <x:c r="E152" s="8" t="n">
        <x:v>2</x:v>
      </x:c>
    </x:row>
    <x:row r="153" ht="23" customHeight="1">
      <x:c r="B153" s="8" t="str">
        <x:v>APP000050</x:v>
      </x:c>
      <x:c r="C153" s="8" t="n">
        <x:v>1</x:v>
      </x:c>
      <x:c r="D153" s="8" t="n">
        <x:v>1</x:v>
      </x:c>
      <x:c r="E153" s="8" t="n">
        <x:v>2</x:v>
      </x:c>
    </x:row>
    <x:row r="154" ht="23" customHeight="1">
      <x:c r="B154" s="8" t="str">
        <x:v>APP000050</x:v>
      </x:c>
      <x:c r="C154" s="8" t="n">
        <x:v>2</x:v>
      </x:c>
      <x:c r="D154" s="8" t="n">
        <x:v>1</x:v>
      </x:c>
      <x:c r="E154" s="8" t="n">
        <x:v>2</x:v>
      </x:c>
    </x:row>
    <x:row r="155" ht="23" customHeight="1">
      <x:c r="B155" s="8" t="str">
        <x:v>APP000050</x:v>
      </x:c>
      <x:c r="C155" s="8" t="n">
        <x:v>3</x:v>
      </x:c>
      <x:c r="D155" s="8" t="n">
        <x:v>1</x:v>
      </x:c>
      <x:c r="E155" s="8" t="n">
        <x:v>2</x:v>
      </x:c>
    </x:row>
    <x:row r="156" ht="23" customHeight="1">
      <x:c r="B156" s="8" t="str">
        <x:v>APP000051</x:v>
      </x:c>
      <x:c r="C156" s="8" t="n">
        <x:v>1</x:v>
      </x:c>
      <x:c r="D156" s="8" t="n">
        <x:v>1</x:v>
      </x:c>
      <x:c r="E156" s="8" t="n">
        <x:v>2</x:v>
      </x:c>
    </x:row>
    <x:row r="157" ht="23" customHeight="1">
      <x:c r="B157" s="8" t="str">
        <x:v>APP000051</x:v>
      </x:c>
      <x:c r="C157" s="8" t="n">
        <x:v>2</x:v>
      </x:c>
      <x:c r="D157" s="8" t="n">
        <x:v>1</x:v>
      </x:c>
      <x:c r="E157" s="8" t="n">
        <x:v>2</x:v>
      </x:c>
    </x:row>
    <x:row r="158" ht="23" customHeight="1">
      <x:c r="B158" s="8" t="str">
        <x:v>APP000051</x:v>
      </x:c>
      <x:c r="C158" s="8" t="n">
        <x:v>3</x:v>
      </x:c>
      <x:c r="D158" s="8" t="n">
        <x:v>1</x:v>
      </x:c>
      <x:c r="E158" s="8" t="n">
        <x:v>2</x:v>
      </x:c>
    </x:row>
    <x:row r="159" ht="23" customHeight="1">
      <x:c r="B159" s="8" t="str">
        <x:v>APP000052</x:v>
      </x:c>
      <x:c r="C159" s="8" t="n">
        <x:v>1</x:v>
      </x:c>
      <x:c r="D159" s="8" t="n">
        <x:v>1</x:v>
      </x:c>
      <x:c r="E159" s="8" t="n">
        <x:v>2</x:v>
      </x:c>
    </x:row>
    <x:row r="160" ht="23" customHeight="1">
      <x:c r="B160" s="8" t="str">
        <x:v>APP000052</x:v>
      </x:c>
      <x:c r="C160" s="8" t="n">
        <x:v>2</x:v>
      </x:c>
      <x:c r="D160" s="8" t="n">
        <x:v>1</x:v>
      </x:c>
      <x:c r="E160" s="8" t="n">
        <x:v>2</x:v>
      </x:c>
    </x:row>
    <x:row r="161" ht="23" customHeight="1">
      <x:c r="B161" s="8" t="str">
        <x:v>APP000052</x:v>
      </x:c>
      <x:c r="C161" s="8" t="n">
        <x:v>3</x:v>
      </x:c>
      <x:c r="D161" s="8" t="n">
        <x:v>1</x:v>
      </x:c>
      <x:c r="E161" s="8" t="n">
        <x:v>2</x:v>
      </x:c>
    </x:row>
    <x:row r="162" ht="23" customHeight="1">
      <x:c r="B162" s="8" t="str">
        <x:v>APP000053</x:v>
      </x:c>
      <x:c r="C162" s="8" t="n">
        <x:v>1</x:v>
      </x:c>
      <x:c r="D162" s="8" t="n">
        <x:v>1</x:v>
      </x:c>
      <x:c r="E162" s="8" t="n">
        <x:v>2</x:v>
      </x:c>
    </x:row>
    <x:row r="163" ht="23" customHeight="1">
      <x:c r="B163" s="8" t="str">
        <x:v>APP000053</x:v>
      </x:c>
      <x:c r="C163" s="8" t="n">
        <x:v>2</x:v>
      </x:c>
      <x:c r="D163" s="8" t="n">
        <x:v>0</x:v>
      </x:c>
      <x:c r="E163" s="8" t="n">
        <x:v>2</x:v>
      </x:c>
    </x:row>
    <x:row r="164" ht="23" customHeight="1">
      <x:c r="B164" s="8" t="str">
        <x:v>APP000053</x:v>
      </x:c>
      <x:c r="C164" s="8" t="n">
        <x:v>3</x:v>
      </x:c>
      <x:c r="D164" s="8" t="n">
        <x:v>1</x:v>
      </x:c>
      <x:c r="E164" s="8" t="n">
        <x:v>2</x:v>
      </x:c>
    </x:row>
    <x:row r="165" ht="23" customHeight="1">
      <x:c r="B165" s="8" t="str">
        <x:v>APP000054</x:v>
      </x:c>
      <x:c r="C165" s="8" t="n">
        <x:v>1</x:v>
      </x:c>
      <x:c r="D165" s="8" t="n">
        <x:v>1</x:v>
      </x:c>
      <x:c r="E165" s="8" t="n">
        <x:v>2</x:v>
      </x:c>
    </x:row>
    <x:row r="166" ht="23" customHeight="1">
      <x:c r="B166" s="8" t="str">
        <x:v>APP000054</x:v>
      </x:c>
      <x:c r="C166" s="8" t="n">
        <x:v>2</x:v>
      </x:c>
      <x:c r="D166" s="8" t="n">
        <x:v>1</x:v>
      </x:c>
      <x:c r="E166" s="8" t="n">
        <x:v>2</x:v>
      </x:c>
    </x:row>
    <x:row r="167" ht="23" customHeight="1">
      <x:c r="B167" s="8" t="str">
        <x:v>APP000054</x:v>
      </x:c>
      <x:c r="C167" s="8" t="n">
        <x:v>3</x:v>
      </x:c>
      <x:c r="D167" s="8" t="n">
        <x:v>1</x:v>
      </x:c>
      <x:c r="E167" s="8" t="n">
        <x:v>2</x:v>
      </x:c>
    </x:row>
    <x:row r="168" ht="23" customHeight="1">
      <x:c r="B168" s="8" t="str">
        <x:v>APP000055</x:v>
      </x:c>
      <x:c r="C168" s="8" t="n">
        <x:v>1</x:v>
      </x:c>
      <x:c r="D168" s="8" t="n">
        <x:v>1</x:v>
      </x:c>
      <x:c r="E168" s="8" t="n">
        <x:v>2</x:v>
      </x:c>
    </x:row>
    <x:row r="169" ht="23" customHeight="1">
      <x:c r="B169" s="8" t="str">
        <x:v>APP000055</x:v>
      </x:c>
      <x:c r="C169" s="8" t="n">
        <x:v>2</x:v>
      </x:c>
      <x:c r="D169" s="8" t="n">
        <x:v>1</x:v>
      </x:c>
      <x:c r="E169" s="8" t="n">
        <x:v>2</x:v>
      </x:c>
    </x:row>
    <x:row r="170" ht="23" customHeight="1">
      <x:c r="B170" s="8" t="str">
        <x:v>APP000055</x:v>
      </x:c>
      <x:c r="C170" s="8" t="n">
        <x:v>3</x:v>
      </x:c>
      <x:c r="D170" s="8" t="n">
        <x:v>0</x:v>
      </x:c>
      <x:c r="E170" s="8" t="n">
        <x:v>2</x:v>
      </x:c>
    </x:row>
    <x:row r="171" ht="23" customHeight="1">
      <x:c r="B171" s="8" t="str">
        <x:v>APP000056</x:v>
      </x:c>
      <x:c r="C171" s="8" t="n">
        <x:v>1</x:v>
      </x:c>
      <x:c r="D171" s="8" t="n">
        <x:v>1</x:v>
      </x:c>
      <x:c r="E171" s="8" t="n">
        <x:v>2</x:v>
      </x:c>
    </x:row>
    <x:row r="172" ht="23" customHeight="1">
      <x:c r="B172" s="8" t="str">
        <x:v>APP000056</x:v>
      </x:c>
      <x:c r="C172" s="8" t="n">
        <x:v>2</x:v>
      </x:c>
      <x:c r="D172" s="8" t="n">
        <x:v>1</x:v>
      </x:c>
      <x:c r="E172" s="8" t="n">
        <x:v>2</x:v>
      </x:c>
    </x:row>
    <x:row r="173" ht="23" customHeight="1">
      <x:c r="B173" s="8" t="str">
        <x:v>APP000056</x:v>
      </x:c>
      <x:c r="C173" s="8" t="n">
        <x:v>3</x:v>
      </x:c>
      <x:c r="D173" s="8" t="n">
        <x:v>1</x:v>
      </x:c>
      <x:c r="E173" s="8" t="n">
        <x:v>2</x:v>
      </x:c>
    </x:row>
    <x:row r="174" ht="23" customHeight="1">
      <x:c r="B174" s="8" t="str">
        <x:v>APP000057</x:v>
      </x:c>
      <x:c r="C174" s="8" t="n">
        <x:v>1</x:v>
      </x:c>
      <x:c r="D174" s="8" t="n">
        <x:v>1</x:v>
      </x:c>
      <x:c r="E174" s="8" t="n">
        <x:v>2</x:v>
      </x:c>
    </x:row>
    <x:row r="175" ht="23" customHeight="1">
      <x:c r="B175" s="8" t="str">
        <x:v>APP000057</x:v>
      </x:c>
      <x:c r="C175" s="8" t="n">
        <x:v>2</x:v>
      </x:c>
      <x:c r="D175" s="8" t="n">
        <x:v>1</x:v>
      </x:c>
      <x:c r="E175" s="8" t="n">
        <x:v>2</x:v>
      </x:c>
    </x:row>
    <x:row r="176" ht="23" customHeight="1">
      <x:c r="B176" s="8" t="str">
        <x:v>APP000057</x:v>
      </x:c>
      <x:c r="C176" s="8" t="n">
        <x:v>3</x:v>
      </x:c>
      <x:c r="D176" s="8" t="n">
        <x:v>1</x:v>
      </x:c>
      <x:c r="E176" s="8" t="n">
        <x:v>2</x:v>
      </x:c>
    </x:row>
    <x:row r="177" ht="23" customHeight="1">
      <x:c r="B177" s="8" t="str">
        <x:v>APP000058</x:v>
      </x:c>
      <x:c r="C177" s="8" t="n">
        <x:v>1</x:v>
      </x:c>
      <x:c r="D177" s="8" t="n">
        <x:v>1</x:v>
      </x:c>
      <x:c r="E177" s="8" t="n">
        <x:v>2</x:v>
      </x:c>
    </x:row>
    <x:row r="178" ht="23" customHeight="1">
      <x:c r="B178" s="8" t="str">
        <x:v>APP000058</x:v>
      </x:c>
      <x:c r="C178" s="8" t="n">
        <x:v>2</x:v>
      </x:c>
      <x:c r="D178" s="8" t="n">
        <x:v>1</x:v>
      </x:c>
      <x:c r="E178" s="8" t="n">
        <x:v>2</x:v>
      </x:c>
    </x:row>
    <x:row r="179" ht="23" customHeight="1">
      <x:c r="B179" s="8" t="str">
        <x:v>APP000058</x:v>
      </x:c>
      <x:c r="C179" s="8" t="n">
        <x:v>3</x:v>
      </x:c>
      <x:c r="D179" s="8" t="n">
        <x:v>1</x:v>
      </x:c>
      <x:c r="E179" s="8" t="n">
        <x:v>2</x:v>
      </x:c>
    </x:row>
    <x:row r="180" ht="23" customHeight="1">
      <x:c r="B180" s="8" t="str">
        <x:v>APP000059</x:v>
      </x:c>
      <x:c r="C180" s="8" t="n">
        <x:v>1</x:v>
      </x:c>
      <x:c r="D180" s="8" t="n">
        <x:v>1</x:v>
      </x:c>
      <x:c r="E180" s="8" t="n">
        <x:v>2</x:v>
      </x:c>
    </x:row>
    <x:row r="181" ht="23" customHeight="1">
      <x:c r="B181" s="8" t="str">
        <x:v>APP000059</x:v>
      </x:c>
      <x:c r="C181" s="8" t="n">
        <x:v>2</x:v>
      </x:c>
      <x:c r="D181" s="8" t="n">
        <x:v>1</x:v>
      </x:c>
      <x:c r="E181" s="8" t="n">
        <x:v>2</x:v>
      </x:c>
    </x:row>
    <x:row r="182" ht="23" customHeight="1">
      <x:c r="B182" s="8" t="str">
        <x:v>APP000059</x:v>
      </x:c>
      <x:c r="C182" s="8" t="n">
        <x:v>3</x:v>
      </x:c>
      <x:c r="D182" s="8" t="n">
        <x:v>1</x:v>
      </x:c>
      <x:c r="E182" s="8" t="n">
        <x:v>2</x:v>
      </x:c>
    </x:row>
    <x:row r="183" ht="23" customHeight="1">
      <x:c r="B183" s="8" t="str">
        <x:v>APP000060</x:v>
      </x:c>
      <x:c r="C183" s="8" t="n">
        <x:v>1</x:v>
      </x:c>
      <x:c r="D183" s="8" t="n">
        <x:v>1</x:v>
      </x:c>
      <x:c r="E183" s="8" t="n">
        <x:v>2</x:v>
      </x:c>
    </x:row>
    <x:row r="184" ht="23" customHeight="1">
      <x:c r="B184" s="8" t="str">
        <x:v>APP000060</x:v>
      </x:c>
      <x:c r="C184" s="8" t="n">
        <x:v>2</x:v>
      </x:c>
      <x:c r="D184" s="8" t="n">
        <x:v>1</x:v>
      </x:c>
      <x:c r="E184" s="8" t="n">
        <x:v>2</x:v>
      </x:c>
    </x:row>
    <x:row r="185" ht="23" customHeight="1">
      <x:c r="B185" s="8" t="str">
        <x:v>APP000060</x:v>
      </x:c>
      <x:c r="C185" s="8" t="n">
        <x:v>3</x:v>
      </x:c>
      <x:c r="D185" s="8" t="n">
        <x:v>1</x:v>
      </x:c>
      <x:c r="E185" s="8" t="n">
        <x:v>2</x:v>
      </x:c>
    </x:row>
    <x:row r="186" ht="23" customHeight="1">
      <x:c r="B186" s="8" t="str">
        <x:v>APP000061</x:v>
      </x:c>
      <x:c r="C186" s="8" t="n">
        <x:v>1</x:v>
      </x:c>
      <x:c r="D186" s="8" t="n">
        <x:v>1</x:v>
      </x:c>
      <x:c r="E186" s="8" t="n">
        <x:v>2</x:v>
      </x:c>
    </x:row>
    <x:row r="187" ht="23" customHeight="1">
      <x:c r="B187" s="8" t="str">
        <x:v>APP000061</x:v>
      </x:c>
      <x:c r="C187" s="8" t="n">
        <x:v>2</x:v>
      </x:c>
      <x:c r="D187" s="8" t="n">
        <x:v>1</x:v>
      </x:c>
      <x:c r="E187" s="8" t="n">
        <x:v>2</x:v>
      </x:c>
    </x:row>
    <x:row r="188" ht="23" customHeight="1">
      <x:c r="B188" s="8" t="str">
        <x:v>APP000061</x:v>
      </x:c>
      <x:c r="C188" s="8" t="n">
        <x:v>3</x:v>
      </x:c>
      <x:c r="D188" s="8" t="n">
        <x:v>1</x:v>
      </x:c>
      <x:c r="E188" s="8" t="n">
        <x:v>2</x:v>
      </x:c>
    </x:row>
    <x:row r="189" ht="23" customHeight="1">
      <x:c r="B189" s="8" t="str">
        <x:v>APP000062</x:v>
      </x:c>
      <x:c r="C189" s="8" t="n">
        <x:v>1</x:v>
      </x:c>
      <x:c r="D189" s="8" t="n">
        <x:v>1</x:v>
      </x:c>
      <x:c r="E189" s="8" t="n">
        <x:v>2</x:v>
      </x:c>
    </x:row>
    <x:row r="190" ht="23" customHeight="1">
      <x:c r="B190" s="8" t="str">
        <x:v>APP000062</x:v>
      </x:c>
      <x:c r="C190" s="8" t="n">
        <x:v>2</x:v>
      </x:c>
      <x:c r="D190" s="8" t="n">
        <x:v>1</x:v>
      </x:c>
      <x:c r="E190" s="8" t="n">
        <x:v>2</x:v>
      </x:c>
    </x:row>
    <x:row r="191" ht="23" customHeight="1">
      <x:c r="B191" s="8" t="str">
        <x:v>APP000062</x:v>
      </x:c>
      <x:c r="C191" s="8" t="n">
        <x:v>3</x:v>
      </x:c>
      <x:c r="D191" s="8" t="n">
        <x:v>1</x:v>
      </x:c>
      <x:c r="E191" s="8" t="n">
        <x:v>2</x:v>
      </x:c>
    </x:row>
    <x:row r="192" ht="23" customHeight="1">
      <x:c r="B192" s="8" t="str">
        <x:v>APP000063</x:v>
      </x:c>
      <x:c r="C192" s="8" t="n">
        <x:v>1</x:v>
      </x:c>
      <x:c r="D192" s="8" t="n">
        <x:v>1</x:v>
      </x:c>
      <x:c r="E192" s="8" t="n">
        <x:v>2</x:v>
      </x:c>
    </x:row>
    <x:row r="193" ht="23" customHeight="1">
      <x:c r="B193" s="8" t="str">
        <x:v>APP000063</x:v>
      </x:c>
      <x:c r="C193" s="8" t="n">
        <x:v>2</x:v>
      </x:c>
      <x:c r="D193" s="8" t="n">
        <x:v>1</x:v>
      </x:c>
      <x:c r="E193" s="8" t="n">
        <x:v>2</x:v>
      </x:c>
    </x:row>
    <x:row r="194" ht="23" customHeight="1">
      <x:c r="B194" s="8" t="str">
        <x:v>APP000063</x:v>
      </x:c>
      <x:c r="C194" s="8" t="n">
        <x:v>3</x:v>
      </x:c>
      <x:c r="D194" s="8" t="n">
        <x:v>1</x:v>
      </x:c>
      <x:c r="E194" s="8" t="n">
        <x:v>2</x:v>
      </x:c>
    </x:row>
    <x:row r="195" ht="23" customHeight="1">
      <x:c r="B195" s="8" t="str">
        <x:v>APP000064</x:v>
      </x:c>
      <x:c r="C195" s="8" t="n">
        <x:v>1</x:v>
      </x:c>
      <x:c r="D195" s="8" t="n">
        <x:v>1</x:v>
      </x:c>
      <x:c r="E195" s="8" t="n">
        <x:v>2</x:v>
      </x:c>
    </x:row>
    <x:row r="196" ht="23" customHeight="1">
      <x:c r="B196" s="8" t="str">
        <x:v>APP000064</x:v>
      </x:c>
      <x:c r="C196" s="8" t="n">
        <x:v>2</x:v>
      </x:c>
      <x:c r="D196" s="8" t="n">
        <x:v>1</x:v>
      </x:c>
      <x:c r="E196" s="8" t="n">
        <x:v>2</x:v>
      </x:c>
    </x:row>
    <x:row r="197" ht="23" customHeight="1">
      <x:c r="B197" s="8" t="str">
        <x:v>APP000064</x:v>
      </x:c>
      <x:c r="C197" s="8" t="n">
        <x:v>3</x:v>
      </x:c>
      <x:c r="D197" s="8" t="n">
        <x:v>0</x:v>
      </x:c>
      <x:c r="E197" s="8" t="n">
        <x:v>2</x:v>
      </x:c>
    </x:row>
    <x:row r="198" ht="23" customHeight="1">
      <x:c r="B198" s="8" t="str">
        <x:v>APP000065</x:v>
      </x:c>
      <x:c r="C198" s="8" t="n">
        <x:v>1</x:v>
      </x:c>
      <x:c r="D198" s="8" t="n">
        <x:v>1</x:v>
      </x:c>
      <x:c r="E198" s="8" t="n">
        <x:v>2</x:v>
      </x:c>
    </x:row>
    <x:row r="199" ht="23" customHeight="1">
      <x:c r="B199" s="8" t="str">
        <x:v>APP000065</x:v>
      </x:c>
      <x:c r="C199" s="8" t="n">
        <x:v>2</x:v>
      </x:c>
      <x:c r="D199" s="8" t="n">
        <x:v>1</x:v>
      </x:c>
      <x:c r="E199" s="8" t="n">
        <x:v>2</x:v>
      </x:c>
    </x:row>
    <x:row r="200" ht="23" customHeight="1">
      <x:c r="B200" s="8" t="str">
        <x:v>APP000065</x:v>
      </x:c>
      <x:c r="C200" s="8" t="n">
        <x:v>3</x:v>
      </x:c>
      <x:c r="D200" s="8" t="n">
        <x:v>1</x:v>
      </x:c>
      <x:c r="E200" s="8" t="n">
        <x:v>2</x:v>
      </x:c>
    </x:row>
    <x:row r="201" ht="23" customHeight="1">
      <x:c r="B201" s="8" t="str">
        <x:v>APP000066</x:v>
      </x:c>
      <x:c r="C201" s="8" t="n">
        <x:v>1</x:v>
      </x:c>
      <x:c r="D201" s="8" t="n">
        <x:v>1</x:v>
      </x:c>
      <x:c r="E201" s="8" t="n">
        <x:v>2</x:v>
      </x:c>
    </x:row>
    <x:row r="202" ht="23" customHeight="1">
      <x:c r="B202" s="8" t="str">
        <x:v>APP000066</x:v>
      </x:c>
      <x:c r="C202" s="8" t="n">
        <x:v>2</x:v>
      </x:c>
      <x:c r="D202" s="8" t="n">
        <x:v>0</x:v>
      </x:c>
      <x:c r="E202" s="8" t="n">
        <x:v>2</x:v>
      </x:c>
    </x:row>
    <x:row r="203" ht="23" customHeight="1">
      <x:c r="B203" s="8" t="str">
        <x:v>APP000066</x:v>
      </x:c>
      <x:c r="C203" s="8" t="n">
        <x:v>3</x:v>
      </x:c>
      <x:c r="D203" s="8" t="n">
        <x:v>1</x:v>
      </x:c>
      <x:c r="E203" s="8" t="n">
        <x:v>2</x:v>
      </x:c>
    </x:row>
    <x:row r="204" ht="23" customHeight="1">
      <x:c r="B204" s="8" t="str">
        <x:v>APP000067</x:v>
      </x:c>
      <x:c r="C204" s="8" t="n">
        <x:v>1</x:v>
      </x:c>
      <x:c r="D204" s="8" t="n">
        <x:v>1</x:v>
      </x:c>
      <x:c r="E204" s="8" t="n">
        <x:v>2</x:v>
      </x:c>
    </x:row>
    <x:row r="205" ht="23" customHeight="1">
      <x:c r="B205" s="8" t="str">
        <x:v>APP000067</x:v>
      </x:c>
      <x:c r="C205" s="8" t="n">
        <x:v>2</x:v>
      </x:c>
      <x:c r="D205" s="8" t="n">
        <x:v>1</x:v>
      </x:c>
      <x:c r="E205" s="8" t="n">
        <x:v>2</x:v>
      </x:c>
    </x:row>
    <x:row r="206" ht="23" customHeight="1">
      <x:c r="B206" s="8" t="str">
        <x:v>APP000067</x:v>
      </x:c>
      <x:c r="C206" s="8" t="n">
        <x:v>3</x:v>
      </x:c>
      <x:c r="D206" s="8" t="n">
        <x:v>1</x:v>
      </x:c>
      <x:c r="E206" s="8" t="n">
        <x:v>2</x:v>
      </x:c>
    </x:row>
    <x:row r="207" ht="23" customHeight="1">
      <x:c r="B207" s="8" t="str">
        <x:v>APP000068</x:v>
      </x:c>
      <x:c r="C207" s="8" t="n">
        <x:v>1</x:v>
      </x:c>
      <x:c r="D207" s="8" t="n">
        <x:v>1</x:v>
      </x:c>
      <x:c r="E207" s="8" t="n">
        <x:v>2</x:v>
      </x:c>
    </x:row>
    <x:row r="208" ht="23" customHeight="1">
      <x:c r="B208" s="8" t="str">
        <x:v>APP000068</x:v>
      </x:c>
      <x:c r="C208" s="8" t="n">
        <x:v>2</x:v>
      </x:c>
      <x:c r="D208" s="8" t="n">
        <x:v>1</x:v>
      </x:c>
      <x:c r="E208" s="8" t="n">
        <x:v>2</x:v>
      </x:c>
    </x:row>
    <x:row r="209" ht="23" customHeight="1">
      <x:c r="B209" s="8" t="str">
        <x:v>APP000068</x:v>
      </x:c>
      <x:c r="C209" s="8" t="n">
        <x:v>3</x:v>
      </x:c>
      <x:c r="D209" s="8" t="n">
        <x:v>1</x:v>
      </x:c>
      <x:c r="E209" s="8" t="n">
        <x:v>2</x:v>
      </x:c>
    </x:row>
    <x:row r="210" ht="23" customHeight="1">
      <x:c r="B210" s="8" t="str">
        <x:v>APP000069</x:v>
      </x:c>
      <x:c r="C210" s="8" t="n">
        <x:v>1</x:v>
      </x:c>
      <x:c r="D210" s="8" t="n">
        <x:v>1</x:v>
      </x:c>
      <x:c r="E210" s="8" t="n">
        <x:v>2</x:v>
      </x:c>
    </x:row>
    <x:row r="211" ht="23" customHeight="1">
      <x:c r="B211" s="8" t="str">
        <x:v>APP000069</x:v>
      </x:c>
      <x:c r="C211" s="8" t="n">
        <x:v>2</x:v>
      </x:c>
      <x:c r="D211" s="8" t="n">
        <x:v>1</x:v>
      </x:c>
      <x:c r="E211" s="8" t="n">
        <x:v>2</x:v>
      </x:c>
    </x:row>
    <x:row r="212" ht="23" customHeight="1">
      <x:c r="B212" s="8" t="str">
        <x:v>APP000069</x:v>
      </x:c>
      <x:c r="C212" s="8" t="n">
        <x:v>3</x:v>
      </x:c>
      <x:c r="D212" s="8" t="n">
        <x:v>1</x:v>
      </x:c>
      <x:c r="E212" s="8" t="n">
        <x:v>2</x:v>
      </x:c>
    </x:row>
    <x:row r="213" ht="23" customHeight="1">
      <x:c r="B213" s="8" t="str">
        <x:v>APP000070</x:v>
      </x:c>
      <x:c r="C213" s="8" t="n">
        <x:v>1</x:v>
      </x:c>
      <x:c r="D213" s="8" t="n">
        <x:v>1</x:v>
      </x:c>
      <x:c r="E213" s="8" t="n">
        <x:v>2</x:v>
      </x:c>
    </x:row>
    <x:row r="214" ht="23" customHeight="1">
      <x:c r="B214" s="8" t="str">
        <x:v>APP000070</x:v>
      </x:c>
      <x:c r="C214" s="8" t="n">
        <x:v>2</x:v>
      </x:c>
      <x:c r="D214" s="8" t="n">
        <x:v>1</x:v>
      </x:c>
      <x:c r="E214" s="8" t="n">
        <x:v>2</x:v>
      </x:c>
    </x:row>
    <x:row r="215" ht="23" customHeight="1">
      <x:c r="B215" s="8" t="str">
        <x:v>APP000070</x:v>
      </x:c>
      <x:c r="C215" s="8" t="n">
        <x:v>3</x:v>
      </x:c>
      <x:c r="D215" s="8" t="n">
        <x:v>1</x:v>
      </x:c>
      <x:c r="E215" s="8" t="n">
        <x:v>2</x:v>
      </x:c>
    </x:row>
    <x:row r="216" ht="23" customHeight="1">
      <x:c r="B216" s="8" t="str">
        <x:v>APP000071</x:v>
      </x:c>
      <x:c r="C216" s="8" t="n">
        <x:v>1</x:v>
      </x:c>
      <x:c r="D216" s="8" t="n">
        <x:v>1</x:v>
      </x:c>
      <x:c r="E216" s="8" t="n">
        <x:v>2</x:v>
      </x:c>
    </x:row>
    <x:row r="217" ht="23" customHeight="1">
      <x:c r="B217" s="8" t="str">
        <x:v>APP000071</x:v>
      </x:c>
      <x:c r="C217" s="8" t="n">
        <x:v>2</x:v>
      </x:c>
      <x:c r="D217" s="8" t="n">
        <x:v>1</x:v>
      </x:c>
      <x:c r="E217" s="8" t="n">
        <x:v>2</x:v>
      </x:c>
    </x:row>
    <x:row r="218" ht="23" customHeight="1">
      <x:c r="B218" s="8" t="str">
        <x:v>APP000071</x:v>
      </x:c>
      <x:c r="C218" s="8" t="n">
        <x:v>3</x:v>
      </x:c>
      <x:c r="D218" s="8" t="n">
        <x:v>1</x:v>
      </x:c>
      <x:c r="E218" s="8" t="n">
        <x:v>2</x:v>
      </x:c>
    </x:row>
    <x:row r="219" ht="23" customHeight="1">
      <x:c r="B219" s="8" t="str">
        <x:v>APP000072</x:v>
      </x:c>
      <x:c r="C219" s="8" t="n">
        <x:v>1</x:v>
      </x:c>
      <x:c r="D219" s="8" t="n">
        <x:v>1</x:v>
      </x:c>
      <x:c r="E219" s="8" t="n">
        <x:v>2</x:v>
      </x:c>
    </x:row>
    <x:row r="220" ht="23" customHeight="1">
      <x:c r="B220" s="8" t="str">
        <x:v>APP000072</x:v>
      </x:c>
      <x:c r="C220" s="8" t="n">
        <x:v>2</x:v>
      </x:c>
      <x:c r="D220" s="8" t="n">
        <x:v>1</x:v>
      </x:c>
      <x:c r="E220" s="8" t="n">
        <x:v>2</x:v>
      </x:c>
    </x:row>
    <x:row r="221" ht="23" customHeight="1">
      <x:c r="B221" s="8" t="str">
        <x:v>APP000072</x:v>
      </x:c>
      <x:c r="C221" s="8" t="n">
        <x:v>3</x:v>
      </x:c>
      <x:c r="D221" s="8" t="n">
        <x:v>1</x:v>
      </x:c>
      <x:c r="E221" s="8" t="n">
        <x:v>2</x:v>
      </x:c>
    </x:row>
    <x:row r="222" ht="23" customHeight="1">
      <x:c r="B222" s="8" t="str">
        <x:v>APP000073</x:v>
      </x:c>
      <x:c r="C222" s="8" t="n">
        <x:v>1</x:v>
      </x:c>
      <x:c r="D222" s="8" t="n">
        <x:v>1</x:v>
      </x:c>
      <x:c r="E222" s="8" t="n">
        <x:v>2</x:v>
      </x:c>
    </x:row>
    <x:row r="223" ht="23" customHeight="1">
      <x:c r="B223" s="8" t="str">
        <x:v>APP000073</x:v>
      </x:c>
      <x:c r="C223" s="8" t="n">
        <x:v>2</x:v>
      </x:c>
      <x:c r="D223" s="8" t="n">
        <x:v>1</x:v>
      </x:c>
      <x:c r="E223" s="8" t="n">
        <x:v>2</x:v>
      </x:c>
    </x:row>
    <x:row r="224" ht="23" customHeight="1">
      <x:c r="B224" s="8" t="str">
        <x:v>APP000073</x:v>
      </x:c>
      <x:c r="C224" s="8" t="n">
        <x:v>3</x:v>
      </x:c>
      <x:c r="D224" s="8" t="n">
        <x:v>0</x:v>
      </x:c>
      <x:c r="E224" s="8" t="n">
        <x:v>2</x:v>
      </x:c>
    </x:row>
    <x:row r="225" ht="23" customHeight="1">
      <x:c r="B225" s="8" t="str">
        <x:v>APP000074</x:v>
      </x:c>
      <x:c r="C225" s="8" t="n">
        <x:v>1</x:v>
      </x:c>
      <x:c r="D225" s="8" t="n">
        <x:v>1</x:v>
      </x:c>
      <x:c r="E225" s="8" t="n">
        <x:v>2</x:v>
      </x:c>
    </x:row>
    <x:row r="226" ht="23" customHeight="1">
      <x:c r="B226" s="8" t="str">
        <x:v>APP000074</x:v>
      </x:c>
      <x:c r="C226" s="8" t="n">
        <x:v>2</x:v>
      </x:c>
      <x:c r="D226" s="8" t="n">
        <x:v>1</x:v>
      </x:c>
      <x:c r="E226" s="8" t="n">
        <x:v>2</x:v>
      </x:c>
    </x:row>
    <x:row r="227" ht="23" customHeight="1">
      <x:c r="B227" s="8" t="str">
        <x:v>APP000074</x:v>
      </x:c>
      <x:c r="C227" s="8" t="n">
        <x:v>3</x:v>
      </x:c>
      <x:c r="D227" s="8" t="n">
        <x:v>1</x:v>
      </x:c>
      <x:c r="E227" s="8" t="n">
        <x:v>2</x:v>
      </x:c>
    </x:row>
    <x:row r="228" ht="23" customHeight="1">
      <x:c r="B228" s="8" t="str">
        <x:v>APP000075</x:v>
      </x:c>
      <x:c r="C228" s="8" t="n">
        <x:v>1</x:v>
      </x:c>
      <x:c r="D228" s="8" t="n">
        <x:v>1</x:v>
      </x:c>
      <x:c r="E228" s="8" t="n">
        <x:v>2</x:v>
      </x:c>
    </x:row>
    <x:row r="229" ht="23" customHeight="1">
      <x:c r="B229" s="8" t="str">
        <x:v>APP000075</x:v>
      </x:c>
      <x:c r="C229" s="8" t="n">
        <x:v>2</x:v>
      </x:c>
      <x:c r="D229" s="8" t="n">
        <x:v>1</x:v>
      </x:c>
      <x:c r="E229" s="8" t="n">
        <x:v>2</x:v>
      </x:c>
    </x:row>
    <x:row r="230" ht="23" customHeight="1">
      <x:c r="B230" s="8" t="str">
        <x:v>APP000075</x:v>
      </x:c>
      <x:c r="C230" s="8" t="n">
        <x:v>3</x:v>
      </x:c>
      <x:c r="D230" s="8" t="n">
        <x:v>1</x:v>
      </x:c>
      <x:c r="E230" s="8" t="n">
        <x:v>2</x:v>
      </x:c>
    </x:row>
    <x:row r="231" ht="23" customHeight="1">
      <x:c r="B231" s="8" t="str">
        <x:v>APP000076</x:v>
      </x:c>
      <x:c r="C231" s="8" t="n">
        <x:v>1</x:v>
      </x:c>
      <x:c r="D231" s="8" t="n">
        <x:v>1</x:v>
      </x:c>
      <x:c r="E231" s="8" t="n">
        <x:v>2</x:v>
      </x:c>
    </x:row>
    <x:row r="232" ht="23" customHeight="1">
      <x:c r="B232" s="8" t="str">
        <x:v>APP000076</x:v>
      </x:c>
      <x:c r="C232" s="8" t="n">
        <x:v>2</x:v>
      </x:c>
      <x:c r="D232" s="8" t="n">
        <x:v>1</x:v>
      </x:c>
      <x:c r="E232" s="8" t="n">
        <x:v>2</x:v>
      </x:c>
    </x:row>
    <x:row r="233" ht="23" customHeight="1">
      <x:c r="B233" s="8" t="str">
        <x:v>APP000076</x:v>
      </x:c>
      <x:c r="C233" s="8" t="n">
        <x:v>3</x:v>
      </x:c>
      <x:c r="D233" s="8" t="n">
        <x:v>1</x:v>
      </x:c>
      <x:c r="E233" s="8" t="n">
        <x:v>2</x:v>
      </x:c>
    </x:row>
    <x:row r="234" ht="23" customHeight="1">
      <x:c r="B234" s="8" t="str">
        <x:v>APP000077</x:v>
      </x:c>
      <x:c r="C234" s="8" t="n">
        <x:v>1</x:v>
      </x:c>
      <x:c r="D234" s="8" t="n">
        <x:v>1</x:v>
      </x:c>
      <x:c r="E234" s="8" t="n">
        <x:v>2</x:v>
      </x:c>
    </x:row>
    <x:row r="235" ht="23" customHeight="1">
      <x:c r="B235" s="8" t="str">
        <x:v>APP000077</x:v>
      </x:c>
      <x:c r="C235" s="8" t="n">
        <x:v>2</x:v>
      </x:c>
      <x:c r="D235" s="8" t="n">
        <x:v>1</x:v>
      </x:c>
      <x:c r="E235" s="8" t="n">
        <x:v>2</x:v>
      </x:c>
    </x:row>
    <x:row r="236" ht="23" customHeight="1">
      <x:c r="B236" s="8" t="str">
        <x:v>APP000077</x:v>
      </x:c>
      <x:c r="C236" s="8" t="n">
        <x:v>3</x:v>
      </x:c>
      <x:c r="D236" s="8" t="n">
        <x:v>1</x:v>
      </x:c>
      <x:c r="E236" s="8" t="n">
        <x:v>2</x:v>
      </x:c>
    </x:row>
    <x:row r="237" ht="23" customHeight="1">
      <x:c r="B237" s="8" t="str">
        <x:v>APP000078</x:v>
      </x:c>
      <x:c r="C237" s="8" t="n">
        <x:v>1</x:v>
      </x:c>
      <x:c r="D237" s="8" t="n">
        <x:v>1</x:v>
      </x:c>
      <x:c r="E237" s="8" t="n">
        <x:v>2</x:v>
      </x:c>
    </x:row>
    <x:row r="238" ht="23" customHeight="1">
      <x:c r="B238" s="8" t="str">
        <x:v>APP000078</x:v>
      </x:c>
      <x:c r="C238" s="8" t="n">
        <x:v>2</x:v>
      </x:c>
      <x:c r="D238" s="8" t="n">
        <x:v>1</x:v>
      </x:c>
      <x:c r="E238" s="8" t="n">
        <x:v>2</x:v>
      </x:c>
    </x:row>
    <x:row r="239" ht="23" customHeight="1">
      <x:c r="B239" s="8" t="str">
        <x:v>APP000078</x:v>
      </x:c>
      <x:c r="C239" s="8" t="n">
        <x:v>3</x:v>
      </x:c>
      <x:c r="D239" s="8" t="n">
        <x:v>1</x:v>
      </x:c>
      <x:c r="E239" s="8" t="n">
        <x:v>2</x:v>
      </x:c>
    </x:row>
    <x:row r="240" ht="23" customHeight="1">
      <x:c r="B240" s="8" t="str">
        <x:v>APP000079</x:v>
      </x:c>
      <x:c r="C240" s="8" t="n">
        <x:v>1</x:v>
      </x:c>
      <x:c r="D240" s="8" t="n">
        <x:v>1</x:v>
      </x:c>
      <x:c r="E240" s="8" t="n">
        <x:v>2</x:v>
      </x:c>
    </x:row>
    <x:row r="241" ht="23" customHeight="1">
      <x:c r="B241" s="8" t="str">
        <x:v>APP000079</x:v>
      </x:c>
      <x:c r="C241" s="8" t="n">
        <x:v>2</x:v>
      </x:c>
      <x:c r="D241" s="8" t="n">
        <x:v>0</x:v>
      </x:c>
      <x:c r="E241" s="8" t="n">
        <x:v>2</x:v>
      </x:c>
    </x:row>
    <x:row r="242" ht="23" customHeight="1">
      <x:c r="B242" s="8" t="str">
        <x:v>APP000079</x:v>
      </x:c>
      <x:c r="C242" s="8" t="n">
        <x:v>3</x:v>
      </x:c>
      <x:c r="D242" s="8" t="n">
        <x:v>1</x:v>
      </x:c>
      <x:c r="E242" s="8" t="n">
        <x:v>2</x:v>
      </x:c>
    </x:row>
    <x:row r="243" ht="23" customHeight="1">
      <x:c r="B243" s="8" t="str">
        <x:v>APP000080</x:v>
      </x:c>
      <x:c r="C243" s="8" t="n">
        <x:v>1</x:v>
      </x:c>
      <x:c r="D243" s="8" t="n">
        <x:v>1</x:v>
      </x:c>
      <x:c r="E243" s="8" t="n">
        <x:v>2</x:v>
      </x:c>
    </x:row>
    <x:row r="244" ht="23" customHeight="1">
      <x:c r="B244" s="8" t="str">
        <x:v>APP000080</x:v>
      </x:c>
      <x:c r="C244" s="8" t="n">
        <x:v>2</x:v>
      </x:c>
      <x:c r="D244" s="8" t="n">
        <x:v>1</x:v>
      </x:c>
      <x:c r="E244" s="8" t="n">
        <x:v>2</x:v>
      </x:c>
    </x:row>
    <x:row r="245" ht="23" customHeight="1">
      <x:c r="B245" s="8" t="str">
        <x:v>APP000080</x:v>
      </x:c>
      <x:c r="C245" s="8" t="n">
        <x:v>3</x:v>
      </x:c>
      <x:c r="D245" s="8" t="n">
        <x:v>1</x:v>
      </x:c>
      <x:c r="E245" s="8" t="n">
        <x:v>2</x:v>
      </x:c>
    </x:row>
    <x:row r="246" ht="23" customHeight="1">
      <x:c r="B246" s="8" t="str">
        <x:v>APP000081</x:v>
      </x:c>
      <x:c r="C246" s="8" t="n">
        <x:v>1</x:v>
      </x:c>
      <x:c r="D246" s="8" t="n">
        <x:v>1</x:v>
      </x:c>
      <x:c r="E246" s="8" t="n">
        <x:v>2</x:v>
      </x:c>
    </x:row>
    <x:row r="247" ht="23" customHeight="1">
      <x:c r="B247" s="8" t="str">
        <x:v>APP000081</x:v>
      </x:c>
      <x:c r="C247" s="8" t="n">
        <x:v>2</x:v>
      </x:c>
      <x:c r="D247" s="8" t="n">
        <x:v>1</x:v>
      </x:c>
      <x:c r="E247" s="8" t="n">
        <x:v>2</x:v>
      </x:c>
    </x:row>
    <x:row r="248" ht="23" customHeight="1">
      <x:c r="B248" s="8" t="str">
        <x:v>APP000081</x:v>
      </x:c>
      <x:c r="C248" s="8" t="n">
        <x:v>3</x:v>
      </x:c>
      <x:c r="D248" s="8" t="n">
        <x:v>1</x:v>
      </x:c>
      <x:c r="E248" s="8" t="n">
        <x:v>2</x:v>
      </x:c>
    </x:row>
    <x:row r="249" ht="23" customHeight="1">
      <x:c r="B249" s="8" t="str">
        <x:v>APP000082</x:v>
      </x:c>
      <x:c r="C249" s="8" t="n">
        <x:v>1</x:v>
      </x:c>
      <x:c r="D249" s="8" t="n">
        <x:v>1</x:v>
      </x:c>
      <x:c r="E249" s="8" t="n">
        <x:v>2</x:v>
      </x:c>
    </x:row>
    <x:row r="250" ht="23" customHeight="1">
      <x:c r="B250" s="8" t="str">
        <x:v>APP000082</x:v>
      </x:c>
      <x:c r="C250" s="8" t="n">
        <x:v>2</x:v>
      </x:c>
      <x:c r="D250" s="8" t="n">
        <x:v>1</x:v>
      </x:c>
      <x:c r="E250" s="8" t="n">
        <x:v>2</x:v>
      </x:c>
    </x:row>
    <x:row r="251" ht="23" customHeight="1">
      <x:c r="B251" s="8" t="str">
        <x:v>APP000082</x:v>
      </x:c>
      <x:c r="C251" s="8" t="n">
        <x:v>3</x:v>
      </x:c>
      <x:c r="D251" s="8" t="n">
        <x:v>0</x:v>
      </x:c>
      <x:c r="E251" s="8" t="n">
        <x:v>2</x:v>
      </x:c>
    </x:row>
    <x:row r="252" ht="23" customHeight="1">
      <x:c r="B252" s="8" t="str">
        <x:v>APP000083</x:v>
      </x:c>
      <x:c r="C252" s="8" t="n">
        <x:v>1</x:v>
      </x:c>
      <x:c r="D252" s="8" t="n">
        <x:v>1</x:v>
      </x:c>
      <x:c r="E252" s="8" t="n">
        <x:v>2</x:v>
      </x:c>
    </x:row>
    <x:row r="253" ht="23" customHeight="1">
      <x:c r="B253" s="8" t="str">
        <x:v>APP000083</x:v>
      </x:c>
      <x:c r="C253" s="8" t="n">
        <x:v>2</x:v>
      </x:c>
      <x:c r="D253" s="8" t="n">
        <x:v>1</x:v>
      </x:c>
      <x:c r="E253" s="8" t="n">
        <x:v>2</x:v>
      </x:c>
    </x:row>
    <x:row r="254" ht="23" customHeight="1">
      <x:c r="B254" s="8" t="str">
        <x:v>APP000083</x:v>
      </x:c>
      <x:c r="C254" s="8" t="n">
        <x:v>3</x:v>
      </x:c>
      <x:c r="D254" s="8" t="n">
        <x:v>1</x:v>
      </x:c>
      <x:c r="E254" s="8" t="n">
        <x:v>2</x:v>
      </x:c>
    </x:row>
    <x:row r="255" ht="23" customHeight="1">
      <x:c r="B255" s="8" t="str">
        <x:v>APP000084</x:v>
      </x:c>
      <x:c r="C255" s="8" t="n">
        <x:v>1</x:v>
      </x:c>
      <x:c r="D255" s="8" t="n">
        <x:v>1</x:v>
      </x:c>
      <x:c r="E255" s="8" t="n">
        <x:v>2</x:v>
      </x:c>
    </x:row>
    <x:row r="256" ht="23" customHeight="1">
      <x:c r="B256" s="8" t="str">
        <x:v>APP000084</x:v>
      </x:c>
      <x:c r="C256" s="8" t="n">
        <x:v>2</x:v>
      </x:c>
      <x:c r="D256" s="8" t="n">
        <x:v>1</x:v>
      </x:c>
      <x:c r="E256" s="8" t="n">
        <x:v>2</x:v>
      </x:c>
    </x:row>
    <x:row r="257" ht="23" customHeight="1">
      <x:c r="B257" s="8" t="str">
        <x:v>APP000084</x:v>
      </x:c>
      <x:c r="C257" s="8" t="n">
        <x:v>3</x:v>
      </x:c>
      <x:c r="D257" s="8" t="n">
        <x:v>1</x:v>
      </x:c>
      <x:c r="E257" s="8" t="n">
        <x:v>2</x:v>
      </x:c>
    </x:row>
    <x:row r="258" ht="23" customHeight="1">
      <x:c r="B258" s="8" t="str">
        <x:v>APP000085</x:v>
      </x:c>
      <x:c r="C258" s="8" t="n">
        <x:v>1</x:v>
      </x:c>
      <x:c r="D258" s="8" t="n">
        <x:v>1</x:v>
      </x:c>
      <x:c r="E258" s="8" t="n">
        <x:v>2</x:v>
      </x:c>
    </x:row>
    <x:row r="259" ht="23" customHeight="1">
      <x:c r="B259" s="8" t="str">
        <x:v>APP000085</x:v>
      </x:c>
      <x:c r="C259" s="8" t="n">
        <x:v>2</x:v>
      </x:c>
      <x:c r="D259" s="8" t="n">
        <x:v>1</x:v>
      </x:c>
      <x:c r="E259" s="8" t="n">
        <x:v>2</x:v>
      </x:c>
    </x:row>
    <x:row r="260" ht="23" customHeight="1">
      <x:c r="B260" s="8" t="str">
        <x:v>APP000085</x:v>
      </x:c>
      <x:c r="C260" s="8" t="n">
        <x:v>3</x:v>
      </x:c>
      <x:c r="D260" s="8" t="n">
        <x:v>1</x:v>
      </x:c>
      <x:c r="E260" s="8" t="n">
        <x:v>2</x:v>
      </x:c>
    </x:row>
    <x:row r="261" ht="23" customHeight="1">
      <x:c r="B261" s="8" t="str">
        <x:v>APP000086</x:v>
      </x:c>
      <x:c r="C261" s="8" t="n">
        <x:v>1</x:v>
      </x:c>
      <x:c r="D261" s="8" t="n">
        <x:v>1</x:v>
      </x:c>
      <x:c r="E261" s="8" t="n">
        <x:v>2</x:v>
      </x:c>
    </x:row>
    <x:row r="262" ht="23" customHeight="1">
      <x:c r="B262" s="8" t="str">
        <x:v>APP000086</x:v>
      </x:c>
      <x:c r="C262" s="8" t="n">
        <x:v>2</x:v>
      </x:c>
      <x:c r="D262" s="8" t="n">
        <x:v>1</x:v>
      </x:c>
      <x:c r="E262" s="8" t="n">
        <x:v>2</x:v>
      </x:c>
    </x:row>
    <x:row r="263" ht="23" customHeight="1">
      <x:c r="B263" s="8" t="str">
        <x:v>APP000086</x:v>
      </x:c>
      <x:c r="C263" s="8" t="n">
        <x:v>3</x:v>
      </x:c>
      <x:c r="D263" s="8" t="n">
        <x:v>1</x:v>
      </x:c>
      <x:c r="E263" s="8" t="n">
        <x:v>2</x:v>
      </x:c>
    </x:row>
    <x:row r="264" ht="23" customHeight="1">
      <x:c r="B264" s="8" t="str">
        <x:v>APP000087</x:v>
      </x:c>
      <x:c r="C264" s="8" t="n">
        <x:v>1</x:v>
      </x:c>
      <x:c r="D264" s="8" t="n">
        <x:v>1</x:v>
      </x:c>
      <x:c r="E264" s="8" t="n">
        <x:v>2</x:v>
      </x:c>
    </x:row>
    <x:row r="265" ht="23" customHeight="1">
      <x:c r="B265" s="8" t="str">
        <x:v>APP000087</x:v>
      </x:c>
      <x:c r="C265" s="8" t="n">
        <x:v>2</x:v>
      </x:c>
      <x:c r="D265" s="8" t="n">
        <x:v>1</x:v>
      </x:c>
      <x:c r="E265" s="8" t="n">
        <x:v>2</x:v>
      </x:c>
    </x:row>
    <x:row r="266" ht="23" customHeight="1">
      <x:c r="B266" s="8" t="str">
        <x:v>APP000087</x:v>
      </x:c>
      <x:c r="C266" s="8" t="n">
        <x:v>3</x:v>
      </x:c>
      <x:c r="D266" s="8" t="n">
        <x:v>1</x:v>
      </x:c>
      <x:c r="E266" s="8" t="n">
        <x:v>2</x:v>
      </x:c>
    </x:row>
    <x:row r="267" ht="23" customHeight="1">
      <x:c r="B267" s="8" t="str">
        <x:v>APP000088</x:v>
      </x:c>
      <x:c r="C267" s="8" t="n">
        <x:v>1</x:v>
      </x:c>
      <x:c r="D267" s="8" t="n">
        <x:v>1</x:v>
      </x:c>
      <x:c r="E267" s="8" t="n">
        <x:v>2</x:v>
      </x:c>
    </x:row>
    <x:row r="268" ht="23" customHeight="1">
      <x:c r="B268" s="8" t="str">
        <x:v>APP000088</x:v>
      </x:c>
      <x:c r="C268" s="8" t="n">
        <x:v>2</x:v>
      </x:c>
      <x:c r="D268" s="8" t="n">
        <x:v>1</x:v>
      </x:c>
      <x:c r="E268" s="8" t="n">
        <x:v>2</x:v>
      </x:c>
    </x:row>
    <x:row r="269" ht="23" customHeight="1">
      <x:c r="B269" s="8" t="str">
        <x:v>APP000088</x:v>
      </x:c>
      <x:c r="C269" s="8" t="n">
        <x:v>3</x:v>
      </x:c>
      <x:c r="D269" s="8" t="n">
        <x:v>1</x:v>
      </x:c>
      <x:c r="E269" s="8" t="n">
        <x:v>2</x:v>
      </x:c>
    </x:row>
    <x:row r="270" ht="23" customHeight="1">
      <x:c r="B270" s="8" t="str">
        <x:v>APP000089</x:v>
      </x:c>
      <x:c r="C270" s="8" t="n">
        <x:v>1</x:v>
      </x:c>
      <x:c r="D270" s="8" t="n">
        <x:v>1</x:v>
      </x:c>
      <x:c r="E270" s="8" t="n">
        <x:v>2</x:v>
      </x:c>
    </x:row>
    <x:row r="271" ht="23" customHeight="1">
      <x:c r="B271" s="8" t="str">
        <x:v>APP000089</x:v>
      </x:c>
      <x:c r="C271" s="8" t="n">
        <x:v>2</x:v>
      </x:c>
      <x:c r="D271" s="8" t="n">
        <x:v>1</x:v>
      </x:c>
      <x:c r="E271" s="8" t="n">
        <x:v>2</x:v>
      </x:c>
    </x:row>
    <x:row r="272" ht="23" customHeight="1">
      <x:c r="B272" s="8" t="str">
        <x:v>APP000089</x:v>
      </x:c>
      <x:c r="C272" s="8" t="n">
        <x:v>3</x:v>
      </x:c>
      <x:c r="D272" s="8" t="n">
        <x:v>1</x:v>
      </x:c>
      <x:c r="E272" s="8" t="n">
        <x:v>2</x:v>
      </x:c>
    </x:row>
    <x:row r="273" ht="23" customHeight="1">
      <x:c r="B273" s="8" t="str">
        <x:v>APP000090</x:v>
      </x:c>
      <x:c r="C273" s="8" t="n">
        <x:v>1</x:v>
      </x:c>
      <x:c r="D273" s="8" t="n">
        <x:v>1</x:v>
      </x:c>
      <x:c r="E273" s="8" t="n">
        <x:v>2</x:v>
      </x:c>
    </x:row>
    <x:row r="274" ht="23" customHeight="1">
      <x:c r="B274" s="8" t="str">
        <x:v>APP000090</x:v>
      </x:c>
      <x:c r="C274" s="8" t="n">
        <x:v>2</x:v>
      </x:c>
      <x:c r="D274" s="8" t="n">
        <x:v>1</x:v>
      </x:c>
      <x:c r="E274" s="8" t="n">
        <x:v>2</x:v>
      </x:c>
    </x:row>
    <x:row r="275" ht="23" customHeight="1">
      <x:c r="B275" s="8" t="str">
        <x:v>APP000090</x:v>
      </x:c>
      <x:c r="C275" s="8" t="n">
        <x:v>3</x:v>
      </x:c>
      <x:c r="D275" s="8" t="n">
        <x:v>1</x:v>
      </x:c>
      <x:c r="E275" s="8" t="n">
        <x:v>2</x:v>
      </x:c>
    </x:row>
    <x:row r="276" ht="23" customHeight="1">
      <x:c r="B276" s="8" t="str">
        <x:v>APP000091</x:v>
      </x:c>
      <x:c r="C276" s="8" t="n">
        <x:v>1</x:v>
      </x:c>
      <x:c r="D276" s="8" t="n">
        <x:v>1</x:v>
      </x:c>
      <x:c r="E276" s="8" t="n">
        <x:v>2</x:v>
      </x:c>
    </x:row>
    <x:row r="277" ht="23" customHeight="1">
      <x:c r="B277" s="8" t="str">
        <x:v>APP000091</x:v>
      </x:c>
      <x:c r="C277" s="8" t="n">
        <x:v>2</x:v>
      </x:c>
      <x:c r="D277" s="8" t="n">
        <x:v>1</x:v>
      </x:c>
      <x:c r="E277" s="8" t="n">
        <x:v>2</x:v>
      </x:c>
    </x:row>
    <x:row r="278" ht="23" customHeight="1">
      <x:c r="B278" s="8" t="str">
        <x:v>APP000091</x:v>
      </x:c>
      <x:c r="C278" s="8" t="n">
        <x:v>3</x:v>
      </x:c>
      <x:c r="D278" s="8" t="n">
        <x:v>0</x:v>
      </x:c>
      <x:c r="E278" s="8" t="n">
        <x:v>2</x:v>
      </x:c>
    </x:row>
    <x:row r="279" ht="23" customHeight="1">
      <x:c r="B279" s="8" t="str">
        <x:v>APP000092</x:v>
      </x:c>
      <x:c r="C279" s="8" t="n">
        <x:v>1</x:v>
      </x:c>
      <x:c r="D279" s="8" t="n">
        <x:v>1</x:v>
      </x:c>
      <x:c r="E279" s="8" t="n">
        <x:v>2</x:v>
      </x:c>
    </x:row>
    <x:row r="280" ht="23" customHeight="1">
      <x:c r="B280" s="8" t="str">
        <x:v>APP000092</x:v>
      </x:c>
      <x:c r="C280" s="8" t="n">
        <x:v>2</x:v>
      </x:c>
      <x:c r="D280" s="8" t="n">
        <x:v>0</x:v>
      </x:c>
      <x:c r="E280" s="8" t="n">
        <x:v>2</x:v>
      </x:c>
    </x:row>
    <x:row r="281" ht="23" customHeight="1">
      <x:c r="B281" s="8" t="str">
        <x:v>APP000092</x:v>
      </x:c>
      <x:c r="C281" s="8" t="n">
        <x:v>3</x:v>
      </x:c>
      <x:c r="D281" s="8" t="n">
        <x:v>1</x:v>
      </x:c>
      <x:c r="E281" s="8" t="n">
        <x:v>2</x:v>
      </x:c>
    </x:row>
    <x:row r="282" ht="23" customHeight="1">
      <x:c r="B282" s="8" t="str">
        <x:v>APP000093</x:v>
      </x:c>
      <x:c r="C282" s="8" t="n">
        <x:v>1</x:v>
      </x:c>
      <x:c r="D282" s="8" t="n">
        <x:v>1</x:v>
      </x:c>
      <x:c r="E282" s="8" t="n">
        <x:v>2</x:v>
      </x:c>
    </x:row>
    <x:row r="283" ht="23" customHeight="1">
      <x:c r="B283" s="8" t="str">
        <x:v>APP000093</x:v>
      </x:c>
      <x:c r="C283" s="8" t="n">
        <x:v>2</x:v>
      </x:c>
      <x:c r="D283" s="8" t="n">
        <x:v>1</x:v>
      </x:c>
      <x:c r="E283" s="8" t="n">
        <x:v>2</x:v>
      </x:c>
    </x:row>
    <x:row r="284" ht="23" customHeight="1">
      <x:c r="B284" s="8" t="str">
        <x:v>APP000093</x:v>
      </x:c>
      <x:c r="C284" s="8" t="n">
        <x:v>3</x:v>
      </x:c>
      <x:c r="D284" s="8" t="n">
        <x:v>1</x:v>
      </x:c>
      <x:c r="E284" s="8" t="n">
        <x:v>2</x:v>
      </x:c>
    </x:row>
    <x:row r="285" ht="23" customHeight="1">
      <x:c r="B285" s="8" t="str">
        <x:v>APP000094</x:v>
      </x:c>
      <x:c r="C285" s="8" t="n">
        <x:v>1</x:v>
      </x:c>
      <x:c r="D285" s="8" t="n">
        <x:v>1</x:v>
      </x:c>
      <x:c r="E285" s="8" t="n">
        <x:v>2</x:v>
      </x:c>
    </x:row>
    <x:row r="286" ht="23" customHeight="1">
      <x:c r="B286" s="8" t="str">
        <x:v>APP000094</x:v>
      </x:c>
      <x:c r="C286" s="8" t="n">
        <x:v>2</x:v>
      </x:c>
      <x:c r="D286" s="8" t="n">
        <x:v>1</x:v>
      </x:c>
      <x:c r="E286" s="8" t="n">
        <x:v>2</x:v>
      </x:c>
    </x:row>
    <x:row r="287" ht="23" customHeight="1">
      <x:c r="B287" s="8" t="str">
        <x:v>APP000094</x:v>
      </x:c>
      <x:c r="C287" s="8" t="n">
        <x:v>3</x:v>
      </x:c>
      <x:c r="D287" s="8" t="n">
        <x:v>1</x:v>
      </x:c>
      <x:c r="E287" s="8" t="n">
        <x:v>2</x:v>
      </x:c>
    </x:row>
    <x:row r="288" ht="23" customHeight="1">
      <x:c r="B288" s="8" t="str">
        <x:v>APP000095</x:v>
      </x:c>
      <x:c r="C288" s="8" t="n">
        <x:v>1</x:v>
      </x:c>
      <x:c r="D288" s="8" t="n">
        <x:v>1</x:v>
      </x:c>
      <x:c r="E288" s="8" t="n">
        <x:v>2</x:v>
      </x:c>
    </x:row>
    <x:row r="289" ht="23" customHeight="1">
      <x:c r="B289" s="8" t="str">
        <x:v>APP000095</x:v>
      </x:c>
      <x:c r="C289" s="8" t="n">
        <x:v>2</x:v>
      </x:c>
      <x:c r="D289" s="8" t="n">
        <x:v>1</x:v>
      </x:c>
      <x:c r="E289" s="8" t="n">
        <x:v>2</x:v>
      </x:c>
    </x:row>
    <x:row r="290" ht="23" customHeight="1">
      <x:c r="B290" s="8" t="str">
        <x:v>APP000095</x:v>
      </x:c>
      <x:c r="C290" s="8" t="n">
        <x:v>3</x:v>
      </x:c>
      <x:c r="D290" s="8" t="n">
        <x:v>1</x:v>
      </x:c>
      <x:c r="E290" s="8" t="n">
        <x:v>2</x:v>
      </x:c>
    </x:row>
    <x:row r="291" ht="23" customHeight="1">
      <x:c r="B291" s="8" t="str">
        <x:v>APP000096</x:v>
      </x:c>
      <x:c r="C291" s="8" t="n">
        <x:v>1</x:v>
      </x:c>
      <x:c r="D291" s="8" t="n">
        <x:v>1</x:v>
      </x:c>
      <x:c r="E291" s="8" t="n">
        <x:v>2</x:v>
      </x:c>
    </x:row>
    <x:row r="292" ht="23" customHeight="1">
      <x:c r="B292" s="8" t="str">
        <x:v>APP000096</x:v>
      </x:c>
      <x:c r="C292" s="8" t="n">
        <x:v>2</x:v>
      </x:c>
      <x:c r="D292" s="8" t="n">
        <x:v>1</x:v>
      </x:c>
      <x:c r="E292" s="8" t="n">
        <x:v>2</x:v>
      </x:c>
    </x:row>
    <x:row r="293" ht="23" customHeight="1">
      <x:c r="B293" s="8" t="str">
        <x:v>APP000096</x:v>
      </x:c>
      <x:c r="C293" s="8" t="n">
        <x:v>3</x:v>
      </x:c>
      <x:c r="D293" s="8" t="n">
        <x:v>1</x:v>
      </x:c>
      <x:c r="E293" s="8" t="n">
        <x:v>2</x:v>
      </x:c>
    </x:row>
    <x:row r="294" ht="23" customHeight="1">
      <x:c r="B294" s="8" t="str">
        <x:v>APP000097</x:v>
      </x:c>
      <x:c r="C294" s="8" t="n">
        <x:v>1</x:v>
      </x:c>
      <x:c r="D294" s="8" t="n">
        <x:v>1</x:v>
      </x:c>
      <x:c r="E294" s="8" t="n">
        <x:v>2</x:v>
      </x:c>
    </x:row>
    <x:row r="295" ht="23" customHeight="1">
      <x:c r="B295" s="8" t="str">
        <x:v>APP000097</x:v>
      </x:c>
      <x:c r="C295" s="8" t="n">
        <x:v>2</x:v>
      </x:c>
      <x:c r="D295" s="8" t="n">
        <x:v>1</x:v>
      </x:c>
      <x:c r="E295" s="8" t="n">
        <x:v>2</x:v>
      </x:c>
    </x:row>
    <x:row r="296" ht="23" customHeight="1">
      <x:c r="B296" s="8" t="str">
        <x:v>APP000097</x:v>
      </x:c>
      <x:c r="C296" s="8" t="n">
        <x:v>3</x:v>
      </x:c>
      <x:c r="D296" s="8" t="n">
        <x:v>1</x:v>
      </x:c>
      <x:c r="E296" s="8" t="n">
        <x:v>2</x:v>
      </x:c>
    </x:row>
    <x:row r="297" ht="23" customHeight="1">
      <x:c r="B297" s="8" t="str">
        <x:v>APP000098</x:v>
      </x:c>
      <x:c r="C297" s="8" t="n">
        <x:v>1</x:v>
      </x:c>
      <x:c r="D297" s="8" t="n">
        <x:v>1</x:v>
      </x:c>
      <x:c r="E297" s="8" t="n">
        <x:v>2</x:v>
      </x:c>
    </x:row>
    <x:row r="298" ht="23" customHeight="1">
      <x:c r="B298" s="8" t="str">
        <x:v>APP000098</x:v>
      </x:c>
      <x:c r="C298" s="8" t="n">
        <x:v>2</x:v>
      </x:c>
      <x:c r="D298" s="8" t="n">
        <x:v>1</x:v>
      </x:c>
      <x:c r="E298" s="8" t="n">
        <x:v>2</x:v>
      </x:c>
    </x:row>
    <x:row r="299" ht="23" customHeight="1">
      <x:c r="B299" s="8" t="str">
        <x:v>APP000098</x:v>
      </x:c>
      <x:c r="C299" s="8" t="n">
        <x:v>3</x:v>
      </x:c>
      <x:c r="D299" s="8" t="n">
        <x:v>1</x:v>
      </x:c>
      <x:c r="E299" s="8" t="n">
        <x:v>2</x:v>
      </x:c>
    </x:row>
    <x:row r="300" ht="23" customHeight="1">
      <x:c r="B300" s="8" t="str">
        <x:v>APP000099</x:v>
      </x:c>
      <x:c r="C300" s="8" t="n">
        <x:v>1</x:v>
      </x:c>
      <x:c r="D300" s="8" t="n">
        <x:v>1</x:v>
      </x:c>
      <x:c r="E300" s="8" t="n">
        <x:v>2</x:v>
      </x:c>
    </x:row>
    <x:row r="301" ht="23" customHeight="1">
      <x:c r="B301" s="8" t="str">
        <x:v>APP000099</x:v>
      </x:c>
      <x:c r="C301" s="8" t="n">
        <x:v>2</x:v>
      </x:c>
      <x:c r="D301" s="8" t="n">
        <x:v>1</x:v>
      </x:c>
      <x:c r="E301" s="8" t="n">
        <x:v>2</x:v>
      </x:c>
    </x:row>
    <x:row r="302" ht="23" customHeight="1">
      <x:c r="B302" s="8" t="str">
        <x:v>APP000099</x:v>
      </x:c>
      <x:c r="C302" s="8" t="n">
        <x:v>3</x:v>
      </x:c>
      <x:c r="D302" s="8" t="n">
        <x:v>1</x:v>
      </x:c>
      <x:c r="E302" s="8" t="n">
        <x:v>2</x:v>
      </x:c>
    </x:row>
    <x:row r="303" ht="23" customHeight="1">
      <x:c r="B303" s="8" t="str">
        <x:v>APP000100</x:v>
      </x:c>
      <x:c r="C303" s="8" t="n">
        <x:v>1</x:v>
      </x:c>
      <x:c r="D303" s="8" t="n">
        <x:v>1</x:v>
      </x:c>
      <x:c r="E303" s="8" t="n">
        <x:v>2</x:v>
      </x:c>
    </x:row>
    <x:row r="304" ht="23" customHeight="1">
      <x:c r="B304" s="8" t="str">
        <x:v>APP000100</x:v>
      </x:c>
      <x:c r="C304" s="8" t="n">
        <x:v>2</x:v>
      </x:c>
      <x:c r="D304" s="8" t="n">
        <x:v>1</x:v>
      </x:c>
      <x:c r="E304" s="8" t="n">
        <x:v>2</x:v>
      </x:c>
    </x:row>
    <x:row r="305" ht="23" customHeight="1">
      <x:c r="B305" s="8" t="str">
        <x:v>APP000100</x:v>
      </x:c>
      <x:c r="C305" s="8" t="n">
        <x:v>3</x:v>
      </x:c>
      <x:c r="D305" s="8" t="n">
        <x:v>0</x:v>
      </x:c>
      <x:c r="E305" s="8" t="n">
        <x:v>2</x:v>
      </x:c>
    </x:row>
    <x:row r="306" ht="23" customHeight="1">
      <x:c r="B306" s="8" t="str">
        <x:v>APP000101</x:v>
      </x:c>
      <x:c r="C306" s="8" t="n">
        <x:v>1</x:v>
      </x:c>
      <x:c r="D306" s="8" t="n">
        <x:v>1</x:v>
      </x:c>
      <x:c r="E306" s="8" t="n">
        <x:v>2</x:v>
      </x:c>
    </x:row>
    <x:row r="307" ht="23" customHeight="1">
      <x:c r="B307" s="8" t="str">
        <x:v>APP000101</x:v>
      </x:c>
      <x:c r="C307" s="8" t="n">
        <x:v>2</x:v>
      </x:c>
      <x:c r="D307" s="8" t="n">
        <x:v>1</x:v>
      </x:c>
      <x:c r="E307" s="8" t="n">
        <x:v>2</x:v>
      </x:c>
    </x:row>
    <x:row r="308" ht="23" customHeight="1">
      <x:c r="B308" s="8" t="str">
        <x:v>APP000101</x:v>
      </x:c>
      <x:c r="C308" s="8" t="n">
        <x:v>3</x:v>
      </x:c>
      <x:c r="D308" s="8" t="n">
        <x:v>1</x:v>
      </x:c>
      <x:c r="E308" s="8" t="n">
        <x:v>2</x:v>
      </x:c>
    </x:row>
    <x:row r="309" ht="23" customHeight="1">
      <x:c r="B309" s="8" t="str">
        <x:v>APP000102</x:v>
      </x:c>
      <x:c r="C309" s="8" t="n">
        <x:v>1</x:v>
      </x:c>
      <x:c r="D309" s="8" t="n">
        <x:v>1</x:v>
      </x:c>
      <x:c r="E309" s="8" t="n">
        <x:v>2</x:v>
      </x:c>
    </x:row>
    <x:row r="310" ht="23" customHeight="1">
      <x:c r="B310" s="8" t="str">
        <x:v>APP000102</x:v>
      </x:c>
      <x:c r="C310" s="8" t="n">
        <x:v>2</x:v>
      </x:c>
      <x:c r="D310" s="8" t="n">
        <x:v>1</x:v>
      </x:c>
      <x:c r="E310" s="8" t="n">
        <x:v>2</x:v>
      </x:c>
    </x:row>
    <x:row r="311" ht="23" customHeight="1">
      <x:c r="B311" s="8" t="str">
        <x:v>APP000102</x:v>
      </x:c>
      <x:c r="C311" s="8" t="n">
        <x:v>3</x:v>
      </x:c>
      <x:c r="D311" s="8" t="n">
        <x:v>1</x:v>
      </x:c>
      <x:c r="E311" s="8" t="n">
        <x:v>2</x:v>
      </x:c>
    </x:row>
    <x:row r="312" ht="23" customHeight="1">
      <x:c r="B312" s="8" t="str">
        <x:v>APP000103</x:v>
      </x:c>
      <x:c r="C312" s="8" t="n">
        <x:v>1</x:v>
      </x:c>
      <x:c r="D312" s="8" t="n">
        <x:v>1</x:v>
      </x:c>
      <x:c r="E312" s="8" t="n">
        <x:v>2</x:v>
      </x:c>
    </x:row>
    <x:row r="313" ht="23" customHeight="1">
      <x:c r="B313" s="8" t="str">
        <x:v>APP000103</x:v>
      </x:c>
      <x:c r="C313" s="8" t="n">
        <x:v>2</x:v>
      </x:c>
      <x:c r="D313" s="8" t="n">
        <x:v>1</x:v>
      </x:c>
      <x:c r="E313" s="8" t="n">
        <x:v>2</x:v>
      </x:c>
    </x:row>
    <x:row r="314" ht="23" customHeight="1">
      <x:c r="B314" s="8" t="str">
        <x:v>APP000103</x:v>
      </x:c>
      <x:c r="C314" s="8" t="n">
        <x:v>3</x:v>
      </x:c>
      <x:c r="D314" s="8" t="n">
        <x:v>1</x:v>
      </x:c>
      <x:c r="E314" s="8" t="n">
        <x:v>2</x:v>
      </x:c>
    </x:row>
    <x:row r="315" ht="23" customHeight="1">
      <x:c r="B315" s="8" t="str">
        <x:v>APP000104</x:v>
      </x:c>
      <x:c r="C315" s="8" t="n">
        <x:v>1</x:v>
      </x:c>
      <x:c r="D315" s="8" t="n">
        <x:v>1</x:v>
      </x:c>
      <x:c r="E315" s="8" t="n">
        <x:v>2</x:v>
      </x:c>
    </x:row>
    <x:row r="316" ht="23" customHeight="1">
      <x:c r="B316" s="8" t="str">
        <x:v>APP000104</x:v>
      </x:c>
      <x:c r="C316" s="8" t="n">
        <x:v>2</x:v>
      </x:c>
      <x:c r="D316" s="8" t="n">
        <x:v>1</x:v>
      </x:c>
      <x:c r="E316" s="8" t="n">
        <x:v>2</x:v>
      </x:c>
    </x:row>
    <x:row r="317" ht="23" customHeight="1">
      <x:c r="B317" s="8" t="str">
        <x:v>APP000104</x:v>
      </x:c>
      <x:c r="C317" s="8" t="n">
        <x:v>3</x:v>
      </x:c>
      <x:c r="D317" s="8" t="n">
        <x:v>1</x:v>
      </x:c>
      <x:c r="E317" s="8" t="n">
        <x:v>2</x:v>
      </x:c>
    </x:row>
    <x:row r="318" ht="23" customHeight="1">
      <x:c r="B318" s="8" t="str">
        <x:v>APP000105</x:v>
      </x:c>
      <x:c r="C318" s="8" t="n">
        <x:v>1</x:v>
      </x:c>
      <x:c r="D318" s="8" t="n">
        <x:v>1</x:v>
      </x:c>
      <x:c r="E318" s="8" t="n">
        <x:v>2</x:v>
      </x:c>
    </x:row>
    <x:row r="319" ht="23" customHeight="1">
      <x:c r="B319" s="8" t="str">
        <x:v>APP000105</x:v>
      </x:c>
      <x:c r="C319" s="8" t="n">
        <x:v>2</x:v>
      </x:c>
      <x:c r="D319" s="8" t="n">
        <x:v>0</x:v>
      </x:c>
      <x:c r="E319" s="8" t="n">
        <x:v>2</x:v>
      </x:c>
    </x:row>
    <x:row r="320" ht="23" customHeight="1">
      <x:c r="B320" s="8" t="str">
        <x:v>APP000105</x:v>
      </x:c>
      <x:c r="C320" s="8" t="n">
        <x:v>3</x:v>
      </x:c>
      <x:c r="D320" s="8" t="n">
        <x:v>1</x:v>
      </x:c>
      <x:c r="E320" s="8" t="n">
        <x:v>2</x:v>
      </x:c>
    </x:row>
    <x:row r="321" ht="23" customHeight="1">
      <x:c r="B321" s="8" t="str">
        <x:v>APP000106</x:v>
      </x:c>
      <x:c r="C321" s="8" t="n">
        <x:v>1</x:v>
      </x:c>
      <x:c r="D321" s="8" t="n">
        <x:v>1</x:v>
      </x:c>
      <x:c r="E321" s="8" t="n">
        <x:v>2</x:v>
      </x:c>
    </x:row>
    <x:row r="322" ht="23" customHeight="1">
      <x:c r="B322" s="8" t="str">
        <x:v>APP000106</x:v>
      </x:c>
      <x:c r="C322" s="8" t="n">
        <x:v>2</x:v>
      </x:c>
      <x:c r="D322" s="8" t="n">
        <x:v>1</x:v>
      </x:c>
      <x:c r="E322" s="8" t="n">
        <x:v>2</x:v>
      </x:c>
    </x:row>
    <x:row r="323" ht="23" customHeight="1">
      <x:c r="B323" s="8" t="str">
        <x:v>APP000106</x:v>
      </x:c>
      <x:c r="C323" s="8" t="n">
        <x:v>3</x:v>
      </x:c>
      <x:c r="D323" s="8" t="n">
        <x:v>1</x:v>
      </x:c>
      <x:c r="E323" s="8" t="n">
        <x:v>2</x:v>
      </x:c>
    </x:row>
    <x:row r="324" ht="23" customHeight="1">
      <x:c r="B324" s="8" t="str">
        <x:v>APP000107</x:v>
      </x:c>
      <x:c r="C324" s="8" t="n">
        <x:v>1</x:v>
      </x:c>
      <x:c r="D324" s="8" t="n">
        <x:v>1</x:v>
      </x:c>
      <x:c r="E324" s="8" t="n">
        <x:v>2</x:v>
      </x:c>
    </x:row>
    <x:row r="325" ht="23" customHeight="1">
      <x:c r="B325" s="8" t="str">
        <x:v>APP000107</x:v>
      </x:c>
      <x:c r="C325" s="8" t="n">
        <x:v>2</x:v>
      </x:c>
      <x:c r="D325" s="8" t="n">
        <x:v>1</x:v>
      </x:c>
      <x:c r="E325" s="8" t="n">
        <x:v>2</x:v>
      </x:c>
    </x:row>
    <x:row r="326" ht="23" customHeight="1">
      <x:c r="B326" s="8" t="str">
        <x:v>APP000107</x:v>
      </x:c>
      <x:c r="C326" s="8" t="n">
        <x:v>3</x:v>
      </x:c>
      <x:c r="D326" s="8" t="n">
        <x:v>1</x:v>
      </x:c>
      <x:c r="E326" s="8" t="n">
        <x:v>2</x:v>
      </x:c>
    </x:row>
    <x:row r="327" ht="23" customHeight="1">
      <x:c r="B327" s="8" t="str">
        <x:v>APP000108</x:v>
      </x:c>
      <x:c r="C327" s="8" t="n">
        <x:v>1</x:v>
      </x:c>
      <x:c r="D327" s="8" t="n">
        <x:v>1</x:v>
      </x:c>
      <x:c r="E327" s="8" t="n">
        <x:v>2</x:v>
      </x:c>
    </x:row>
    <x:row r="328" ht="23" customHeight="1">
      <x:c r="B328" s="8" t="str">
        <x:v>APP000108</x:v>
      </x:c>
      <x:c r="C328" s="8" t="n">
        <x:v>2</x:v>
      </x:c>
      <x:c r="D328" s="8" t="n">
        <x:v>1</x:v>
      </x:c>
      <x:c r="E328" s="8" t="n">
        <x:v>2</x:v>
      </x:c>
    </x:row>
    <x:row r="329" ht="23" customHeight="1">
      <x:c r="B329" s="8" t="str">
        <x:v>APP000108</x:v>
      </x:c>
      <x:c r="C329" s="8" t="n">
        <x:v>3</x:v>
      </x:c>
      <x:c r="D329" s="8" t="n">
        <x:v>1</x:v>
      </x:c>
      <x:c r="E329" s="8" t="n">
        <x:v>2</x:v>
      </x:c>
    </x:row>
    <x:row r="330" ht="23" customHeight="1">
      <x:c r="B330" s="8" t="str">
        <x:v>APP000109</x:v>
      </x:c>
      <x:c r="C330" s="8" t="n">
        <x:v>1</x:v>
      </x:c>
      <x:c r="D330" s="8" t="n">
        <x:v>1</x:v>
      </x:c>
      <x:c r="E330" s="8" t="n">
        <x:v>2</x:v>
      </x:c>
    </x:row>
    <x:row r="331" ht="23" customHeight="1">
      <x:c r="B331" s="8" t="str">
        <x:v>APP000109</x:v>
      </x:c>
      <x:c r="C331" s="8" t="n">
        <x:v>2</x:v>
      </x:c>
      <x:c r="D331" s="8" t="n">
        <x:v>1</x:v>
      </x:c>
      <x:c r="E331" s="8" t="n">
        <x:v>2</x:v>
      </x:c>
    </x:row>
    <x:row r="332" ht="23" customHeight="1">
      <x:c r="B332" s="8" t="str">
        <x:v>APP000109</x:v>
      </x:c>
      <x:c r="C332" s="8" t="n">
        <x:v>3</x:v>
      </x:c>
      <x:c r="D332" s="8" t="n">
        <x:v>0</x:v>
      </x:c>
      <x:c r="E332" s="8" t="n">
        <x:v>2</x:v>
      </x:c>
    </x:row>
    <x:row r="333" ht="23" customHeight="1">
      <x:c r="B333" s="8" t="str">
        <x:v>APP000110</x:v>
      </x:c>
      <x:c r="C333" s="8" t="n">
        <x:v>1</x:v>
      </x:c>
      <x:c r="D333" s="8" t="n">
        <x:v>1</x:v>
      </x:c>
      <x:c r="E333" s="8" t="n">
        <x:v>2</x:v>
      </x:c>
    </x:row>
    <x:row r="334" ht="23" customHeight="1">
      <x:c r="B334" s="8" t="str">
        <x:v>APP000110</x:v>
      </x:c>
      <x:c r="C334" s="8" t="n">
        <x:v>2</x:v>
      </x:c>
      <x:c r="D334" s="8" t="n">
        <x:v>1</x:v>
      </x:c>
      <x:c r="E334" s="8" t="n">
        <x:v>2</x:v>
      </x:c>
    </x:row>
    <x:row r="335" ht="23" customHeight="1">
      <x:c r="B335" s="8" t="str">
        <x:v>APP000110</x:v>
      </x:c>
      <x:c r="C335" s="8" t="n">
        <x:v>3</x:v>
      </x:c>
      <x:c r="D335" s="8" t="n">
        <x:v>1</x:v>
      </x:c>
      <x:c r="E335" s="8" t="n">
        <x:v>2</x:v>
      </x:c>
    </x:row>
    <x:row r="336" ht="23" customHeight="1">
      <x:c r="B336" s="8" t="str">
        <x:v>APP000111</x:v>
      </x:c>
      <x:c r="C336" s="8" t="n">
        <x:v>1</x:v>
      </x:c>
      <x:c r="D336" s="8" t="n">
        <x:v>1</x:v>
      </x:c>
      <x:c r="E336" s="8" t="n">
        <x:v>2</x:v>
      </x:c>
    </x:row>
    <x:row r="337" ht="23" customHeight="1">
      <x:c r="B337" s="8" t="str">
        <x:v>APP000111</x:v>
      </x:c>
      <x:c r="C337" s="8" t="n">
        <x:v>2</x:v>
      </x:c>
      <x:c r="D337" s="8" t="n">
        <x:v>1</x:v>
      </x:c>
      <x:c r="E337" s="8" t="n">
        <x:v>2</x:v>
      </x:c>
    </x:row>
    <x:row r="338" ht="23" customHeight="1">
      <x:c r="B338" s="8" t="str">
        <x:v>APP000111</x:v>
      </x:c>
      <x:c r="C338" s="8" t="n">
        <x:v>3</x:v>
      </x:c>
      <x:c r="D338" s="8" t="n">
        <x:v>1</x:v>
      </x:c>
      <x:c r="E338" s="8" t="n">
        <x:v>2</x:v>
      </x:c>
    </x:row>
    <x:row r="339" ht="23" customHeight="1">
      <x:c r="B339" s="8" t="str">
        <x:v>APP000112</x:v>
      </x:c>
      <x:c r="C339" s="8" t="n">
        <x:v>1</x:v>
      </x:c>
      <x:c r="D339" s="8" t="n">
        <x:v>1</x:v>
      </x:c>
      <x:c r="E339" s="8" t="n">
        <x:v>2</x:v>
      </x:c>
    </x:row>
    <x:row r="340" ht="23" customHeight="1">
      <x:c r="B340" s="8" t="str">
        <x:v>APP000112</x:v>
      </x:c>
      <x:c r="C340" s="8" t="n">
        <x:v>2</x:v>
      </x:c>
      <x:c r="D340" s="8" t="n">
        <x:v>1</x:v>
      </x:c>
      <x:c r="E340" s="8" t="n">
        <x:v>2</x:v>
      </x:c>
    </x:row>
    <x:row r="341" ht="23" customHeight="1">
      <x:c r="B341" s="8" t="str">
        <x:v>APP000112</x:v>
      </x:c>
      <x:c r="C341" s="8" t="n">
        <x:v>3</x:v>
      </x:c>
      <x:c r="D341" s="8" t="n">
        <x:v>1</x:v>
      </x:c>
      <x:c r="E341" s="8" t="n">
        <x:v>2</x:v>
      </x:c>
    </x:row>
    <x:row r="342" ht="23" customHeight="1">
      <x:c r="B342" s="8" t="str">
        <x:v>APP000113</x:v>
      </x:c>
      <x:c r="C342" s="8" t="n">
        <x:v>1</x:v>
      </x:c>
      <x:c r="D342" s="8" t="n">
        <x:v>1</x:v>
      </x:c>
      <x:c r="E342" s="8" t="n">
        <x:v>2</x:v>
      </x:c>
    </x:row>
    <x:row r="343" ht="23" customHeight="1">
      <x:c r="B343" s="8" t="str">
        <x:v>APP000113</x:v>
      </x:c>
      <x:c r="C343" s="8" t="n">
        <x:v>2</x:v>
      </x:c>
      <x:c r="D343" s="8" t="n">
        <x:v>1</x:v>
      </x:c>
      <x:c r="E343" s="8" t="n">
        <x:v>2</x:v>
      </x:c>
    </x:row>
    <x:row r="344" ht="23" customHeight="1">
      <x:c r="B344" s="8" t="str">
        <x:v>APP000113</x:v>
      </x:c>
      <x:c r="C344" s="8" t="n">
        <x:v>3</x:v>
      </x:c>
      <x:c r="D344" s="8" t="n">
        <x:v>1</x:v>
      </x:c>
      <x:c r="E344" s="8" t="n">
        <x:v>2</x:v>
      </x:c>
    </x:row>
    <x:row r="345" ht="23" customHeight="1">
      <x:c r="B345" s="8" t="str">
        <x:v>APP000114</x:v>
      </x:c>
      <x:c r="C345" s="8" t="n">
        <x:v>1</x:v>
      </x:c>
      <x:c r="D345" s="8" t="n">
        <x:v>1</x:v>
      </x:c>
      <x:c r="E345" s="8" t="n">
        <x:v>2</x:v>
      </x:c>
    </x:row>
    <x:row r="346" ht="23" customHeight="1">
      <x:c r="B346" s="8" t="str">
        <x:v>APP000114</x:v>
      </x:c>
      <x:c r="C346" s="8" t="n">
        <x:v>2</x:v>
      </x:c>
      <x:c r="D346" s="8" t="n">
        <x:v>1</x:v>
      </x:c>
      <x:c r="E346" s="8" t="n">
        <x:v>2</x:v>
      </x:c>
    </x:row>
    <x:row r="347" ht="23" customHeight="1">
      <x:c r="B347" s="8" t="str">
        <x:v>APP000114</x:v>
      </x:c>
      <x:c r="C347" s="8" t="n">
        <x:v>3</x:v>
      </x:c>
      <x:c r="D347" s="8" t="n">
        <x:v>1</x:v>
      </x:c>
      <x:c r="E347" s="8" t="n">
        <x:v>2</x:v>
      </x:c>
    </x:row>
    <x:row r="348" ht="23" customHeight="1">
      <x:c r="B348" s="8" t="str">
        <x:v>APP000115</x:v>
      </x:c>
      <x:c r="C348" s="8" t="n">
        <x:v>1</x:v>
      </x:c>
      <x:c r="D348" s="8" t="n">
        <x:v>1</x:v>
      </x:c>
      <x:c r="E348" s="8" t="n">
        <x:v>2</x:v>
      </x:c>
    </x:row>
    <x:row r="349" ht="23" customHeight="1">
      <x:c r="B349" s="8" t="str">
        <x:v>APP000115</x:v>
      </x:c>
      <x:c r="C349" s="8" t="n">
        <x:v>2</x:v>
      </x:c>
      <x:c r="D349" s="8" t="n">
        <x:v>1</x:v>
      </x:c>
      <x:c r="E349" s="8" t="n">
        <x:v>2</x:v>
      </x:c>
    </x:row>
    <x:row r="350" ht="23" customHeight="1">
      <x:c r="B350" s="8" t="str">
        <x:v>APP000115</x:v>
      </x:c>
      <x:c r="C350" s="8" t="n">
        <x:v>3</x:v>
      </x:c>
      <x:c r="D350" s="8" t="n">
        <x:v>1</x:v>
      </x:c>
      <x:c r="E350" s="8" t="n">
        <x:v>2</x:v>
      </x:c>
    </x:row>
    <x:row r="351" ht="23" customHeight="1">
      <x:c r="B351" s="8" t="str">
        <x:v>APP000116</x:v>
      </x:c>
      <x:c r="C351" s="8" t="n">
        <x:v>1</x:v>
      </x:c>
      <x:c r="D351" s="8" t="n">
        <x:v>1</x:v>
      </x:c>
      <x:c r="E351" s="8" t="n">
        <x:v>2</x:v>
      </x:c>
    </x:row>
    <x:row r="352" ht="23" customHeight="1">
      <x:c r="B352" s="8" t="str">
        <x:v>APP000116</x:v>
      </x:c>
      <x:c r="C352" s="8" t="n">
        <x:v>2</x:v>
      </x:c>
      <x:c r="D352" s="8" t="n">
        <x:v>1</x:v>
      </x:c>
      <x:c r="E352" s="8" t="n">
        <x:v>2</x:v>
      </x:c>
    </x:row>
    <x:row r="353" ht="23" customHeight="1">
      <x:c r="B353" s="8" t="str">
        <x:v>APP000116</x:v>
      </x:c>
      <x:c r="C353" s="8" t="n">
        <x:v>3</x:v>
      </x:c>
      <x:c r="D353" s="8" t="n">
        <x:v>1</x:v>
      </x:c>
      <x:c r="E353" s="8" t="n">
        <x:v>2</x:v>
      </x:c>
    </x:row>
    <x:row r="354" ht="23" customHeight="1">
      <x:c r="B354" s="8" t="str">
        <x:v>APP000117</x:v>
      </x:c>
      <x:c r="C354" s="8" t="n">
        <x:v>1</x:v>
      </x:c>
      <x:c r="D354" s="8" t="n">
        <x:v>1</x:v>
      </x:c>
      <x:c r="E354" s="8" t="n">
        <x:v>2</x:v>
      </x:c>
    </x:row>
    <x:row r="355" ht="23" customHeight="1">
      <x:c r="B355" s="8" t="str">
        <x:v>APP000117</x:v>
      </x:c>
      <x:c r="C355" s="8" t="n">
        <x:v>2</x:v>
      </x:c>
      <x:c r="D355" s="8" t="n">
        <x:v>1</x:v>
      </x:c>
      <x:c r="E355" s="8" t="n">
        <x:v>2</x:v>
      </x:c>
    </x:row>
    <x:row r="356" ht="23" customHeight="1">
      <x:c r="B356" s="8" t="str">
        <x:v>APP000117</x:v>
      </x:c>
      <x:c r="C356" s="8" t="n">
        <x:v>3</x:v>
      </x:c>
      <x:c r="D356" s="8" t="n">
        <x:v>1</x:v>
      </x:c>
      <x:c r="E356" s="8" t="n">
        <x:v>2</x:v>
      </x:c>
    </x:row>
    <x:row r="357" ht="23" customHeight="1">
      <x:c r="B357" s="8" t="str">
        <x:v>APP000118</x:v>
      </x:c>
      <x:c r="C357" s="8" t="n">
        <x:v>1</x:v>
      </x:c>
      <x:c r="D357" s="8" t="n">
        <x:v>1</x:v>
      </x:c>
      <x:c r="E357" s="8" t="n">
        <x:v>2</x:v>
      </x:c>
    </x:row>
    <x:row r="358" ht="23" customHeight="1">
      <x:c r="B358" s="8" t="str">
        <x:v>APP000118</x:v>
      </x:c>
      <x:c r="C358" s="8" t="n">
        <x:v>2</x:v>
      </x:c>
      <x:c r="D358" s="8" t="n">
        <x:v>0</x:v>
      </x:c>
      <x:c r="E358" s="8" t="n">
        <x:v>2</x:v>
      </x:c>
    </x:row>
    <x:row r="359" ht="23" customHeight="1">
      <x:c r="B359" s="8" t="str">
        <x:v>APP000118</x:v>
      </x:c>
      <x:c r="C359" s="8" t="n">
        <x:v>3</x:v>
      </x:c>
      <x:c r="D359" s="8" t="n">
        <x:v>0</x:v>
      </x:c>
      <x:c r="E359" s="8" t="n">
        <x:v>2</x:v>
      </x:c>
    </x:row>
    <x:row r="360" ht="23" customHeight="1">
      <x:c r="B360" s="8" t="str">
        <x:v>APP000119</x:v>
      </x:c>
      <x:c r="C360" s="8" t="n">
        <x:v>1</x:v>
      </x:c>
      <x:c r="D360" s="8" t="n">
        <x:v>1</x:v>
      </x:c>
      <x:c r="E360" s="8" t="n">
        <x:v>2</x:v>
      </x:c>
    </x:row>
    <x:row r="361" ht="23" customHeight="1">
      <x:c r="B361" s="8" t="str">
        <x:v>APP000119</x:v>
      </x:c>
      <x:c r="C361" s="8" t="n">
        <x:v>2</x:v>
      </x:c>
      <x:c r="D361" s="8" t="n">
        <x:v>1</x:v>
      </x:c>
      <x:c r="E361" s="8" t="n">
        <x:v>2</x:v>
      </x:c>
    </x:row>
    <x:row r="362" ht="23" customHeight="1">
      <x:c r="B362" s="8" t="str">
        <x:v>APP000119</x:v>
      </x:c>
      <x:c r="C362" s="8" t="n">
        <x:v>3</x:v>
      </x:c>
      <x:c r="D362" s="8" t="n">
        <x:v>1</x:v>
      </x:c>
      <x:c r="E362" s="8" t="n">
        <x:v>2</x:v>
      </x:c>
    </x:row>
    <x:row r="363" ht="23" customHeight="1">
      <x:c r="B363" s="8" t="str">
        <x:v>APP000120</x:v>
      </x:c>
      <x:c r="C363" s="8" t="n">
        <x:v>1</x:v>
      </x:c>
      <x:c r="D363" s="8" t="n">
        <x:v>1</x:v>
      </x:c>
      <x:c r="E363" s="8" t="n">
        <x:v>2</x:v>
      </x:c>
    </x:row>
    <x:row r="364" ht="23" customHeight="1">
      <x:c r="B364" s="8" t="str">
        <x:v>APP000120</x:v>
      </x:c>
      <x:c r="C364" s="8" t="n">
        <x:v>2</x:v>
      </x:c>
      <x:c r="D364" s="8" t="n">
        <x:v>1</x:v>
      </x:c>
      <x:c r="E364" s="8" t="n">
        <x:v>2</x:v>
      </x:c>
    </x:row>
    <x:row r="365" ht="23" customHeight="1">
      <x:c r="B365" s="8" t="str">
        <x:v>APP000120</x:v>
      </x:c>
      <x:c r="C365" s="8" t="n">
        <x:v>3</x:v>
      </x:c>
      <x:c r="D365" s="8" t="n">
        <x:v>1</x:v>
      </x:c>
      <x:c r="E365" s="8" t="n">
        <x:v>2</x:v>
      </x:c>
    </x:row>
    <x:row r="366" ht="23" customHeight="1">
      <x:c r="B366" s="8" t="str">
        <x:v>APP000121</x:v>
      </x:c>
      <x:c r="C366" s="8" t="n">
        <x:v>1</x:v>
      </x:c>
      <x:c r="D366" s="8" t="n">
        <x:v>1</x:v>
      </x:c>
      <x:c r="E366" s="8" t="n">
        <x:v>2</x:v>
      </x:c>
    </x:row>
    <x:row r="367" ht="23" customHeight="1">
      <x:c r="B367" s="8" t="str">
        <x:v>APP000121</x:v>
      </x:c>
      <x:c r="C367" s="8" t="n">
        <x:v>2</x:v>
      </x:c>
      <x:c r="D367" s="8" t="n">
        <x:v>1</x:v>
      </x:c>
      <x:c r="E367" s="8" t="n">
        <x:v>2</x:v>
      </x:c>
    </x:row>
    <x:row r="368" ht="23" customHeight="1">
      <x:c r="B368" s="8" t="str">
        <x:v>APP000121</x:v>
      </x:c>
      <x:c r="C368" s="8" t="n">
        <x:v>3</x:v>
      </x:c>
      <x:c r="D368" s="8" t="n">
        <x:v>1</x:v>
      </x:c>
      <x:c r="E368" s="8" t="n">
        <x:v>2</x:v>
      </x:c>
    </x:row>
    <x:row r="369" ht="23" customHeight="1">
      <x:c r="B369" s="8" t="str">
        <x:v>APP000122</x:v>
      </x:c>
      <x:c r="C369" s="8" t="n">
        <x:v>1</x:v>
      </x:c>
      <x:c r="D369" s="8" t="n">
        <x:v>1</x:v>
      </x:c>
      <x:c r="E369" s="8" t="n">
        <x:v>2</x:v>
      </x:c>
    </x:row>
    <x:row r="370" ht="23" customHeight="1">
      <x:c r="B370" s="8" t="str">
        <x:v>APP000122</x:v>
      </x:c>
      <x:c r="C370" s="8" t="n">
        <x:v>2</x:v>
      </x:c>
      <x:c r="D370" s="8" t="n">
        <x:v>1</x:v>
      </x:c>
      <x:c r="E370" s="8" t="n">
        <x:v>2</x:v>
      </x:c>
    </x:row>
    <x:row r="371" ht="23" customHeight="1">
      <x:c r="B371" s="8" t="str">
        <x:v>APP000122</x:v>
      </x:c>
      <x:c r="C371" s="8" t="n">
        <x:v>3</x:v>
      </x:c>
      <x:c r="D371" s="8" t="n">
        <x:v>1</x:v>
      </x:c>
      <x:c r="E371" s="8" t="n">
        <x:v>2</x:v>
      </x:c>
    </x:row>
    <x:row r="372" ht="23" customHeight="1">
      <x:c r="B372" s="8" t="str">
        <x:v>APP000123</x:v>
      </x:c>
      <x:c r="C372" s="8" t="n">
        <x:v>1</x:v>
      </x:c>
      <x:c r="D372" s="8" t="n">
        <x:v>1</x:v>
      </x:c>
      <x:c r="E372" s="8" t="n">
        <x:v>2</x:v>
      </x:c>
    </x:row>
    <x:row r="373" ht="23" customHeight="1">
      <x:c r="B373" s="8" t="str">
        <x:v>APP000123</x:v>
      </x:c>
      <x:c r="C373" s="8" t="n">
        <x:v>2</x:v>
      </x:c>
      <x:c r="D373" s="8" t="n">
        <x:v>1</x:v>
      </x:c>
      <x:c r="E373" s="8" t="n">
        <x:v>2</x:v>
      </x:c>
    </x:row>
    <x:row r="374" ht="23" customHeight="1">
      <x:c r="B374" s="8" t="str">
        <x:v>APP000123</x:v>
      </x:c>
      <x:c r="C374" s="8" t="n">
        <x:v>3</x:v>
      </x:c>
      <x:c r="D374" s="8" t="n">
        <x:v>1</x:v>
      </x:c>
      <x:c r="E374" s="8" t="n">
        <x:v>2</x:v>
      </x:c>
    </x:row>
    <x:row r="375" ht="23" customHeight="1">
      <x:c r="B375" s="8" t="str">
        <x:v>APP000124</x:v>
      </x:c>
      <x:c r="C375" s="8" t="n">
        <x:v>1</x:v>
      </x:c>
      <x:c r="D375" s="8" t="n">
        <x:v>1</x:v>
      </x:c>
      <x:c r="E375" s="8" t="n">
        <x:v>2</x:v>
      </x:c>
    </x:row>
    <x:row r="376" ht="23" customHeight="1">
      <x:c r="B376" s="8" t="str">
        <x:v>APP000124</x:v>
      </x:c>
      <x:c r="C376" s="8" t="n">
        <x:v>2</x:v>
      </x:c>
      <x:c r="D376" s="8" t="n">
        <x:v>1</x:v>
      </x:c>
      <x:c r="E376" s="8" t="n">
        <x:v>2</x:v>
      </x:c>
    </x:row>
    <x:row r="377" ht="23" customHeight="1">
      <x:c r="B377" s="8" t="str">
        <x:v>APP000124</x:v>
      </x:c>
      <x:c r="C377" s="8" t="n">
        <x:v>3</x:v>
      </x:c>
      <x:c r="D377" s="8" t="n">
        <x:v>1</x:v>
      </x:c>
      <x:c r="E377" s="8" t="n">
        <x:v>2</x:v>
      </x:c>
    </x:row>
    <x:row r="378" ht="23" customHeight="1">
      <x:c r="B378" s="8" t="str">
        <x:v>APP000125</x:v>
      </x:c>
      <x:c r="C378" s="8" t="n">
        <x:v>1</x:v>
      </x:c>
      <x:c r="D378" s="8" t="n">
        <x:v>1</x:v>
      </x:c>
      <x:c r="E378" s="8" t="n">
        <x:v>2</x:v>
      </x:c>
    </x:row>
    <x:row r="379" ht="23" customHeight="1">
      <x:c r="B379" s="8" t="str">
        <x:v>APP000125</x:v>
      </x:c>
      <x:c r="C379" s="8" t="n">
        <x:v>2</x:v>
      </x:c>
      <x:c r="D379" s="8" t="n">
        <x:v>1</x:v>
      </x:c>
      <x:c r="E379" s="8" t="n">
        <x:v>2</x:v>
      </x:c>
    </x:row>
    <x:row r="380" ht="23" customHeight="1">
      <x:c r="B380" s="8" t="str">
        <x:v>APP000125</x:v>
      </x:c>
      <x:c r="C380" s="8" t="n">
        <x:v>3</x:v>
      </x:c>
      <x:c r="D380" s="8" t="n">
        <x:v>1</x:v>
      </x:c>
      <x:c r="E380" s="8" t="n">
        <x:v>2</x:v>
      </x:c>
    </x:row>
    <x:row r="381" ht="23" customHeight="1">
      <x:c r="B381" s="8" t="str">
        <x:v>APP000126</x:v>
      </x:c>
      <x:c r="C381" s="8" t="n">
        <x:v>1</x:v>
      </x:c>
      <x:c r="D381" s="8" t="n">
        <x:v>1</x:v>
      </x:c>
      <x:c r="E381" s="8" t="n">
        <x:v>2</x:v>
      </x:c>
    </x:row>
    <x:row r="382" ht="23" customHeight="1">
      <x:c r="B382" s="8" t="str">
        <x:v>APP000126</x:v>
      </x:c>
      <x:c r="C382" s="8" t="n">
        <x:v>2</x:v>
      </x:c>
      <x:c r="D382" s="8" t="n">
        <x:v>1</x:v>
      </x:c>
      <x:c r="E382" s="8" t="n">
        <x:v>2</x:v>
      </x:c>
    </x:row>
    <x:row r="383" ht="23" customHeight="1">
      <x:c r="B383" s="8" t="str">
        <x:v>APP000126</x:v>
      </x:c>
      <x:c r="C383" s="8" t="n">
        <x:v>3</x:v>
      </x:c>
      <x:c r="D383" s="8" t="n">
        <x:v>1</x:v>
      </x:c>
      <x:c r="E383" s="8" t="n">
        <x:v>2</x:v>
      </x:c>
    </x:row>
    <x:row r="384" ht="23" customHeight="1">
      <x:c r="B384" s="8" t="str">
        <x:v>APP000127</x:v>
      </x:c>
      <x:c r="C384" s="8" t="n">
        <x:v>1</x:v>
      </x:c>
      <x:c r="D384" s="8" t="n">
        <x:v>1</x:v>
      </x:c>
      <x:c r="E384" s="8" t="n">
        <x:v>2</x:v>
      </x:c>
    </x:row>
    <x:row r="385" ht="23" customHeight="1">
      <x:c r="B385" s="8" t="str">
        <x:v>APP000127</x:v>
      </x:c>
      <x:c r="C385" s="8" t="n">
        <x:v>2</x:v>
      </x:c>
      <x:c r="D385" s="8" t="n">
        <x:v>1</x:v>
      </x:c>
      <x:c r="E385" s="8" t="n">
        <x:v>2</x:v>
      </x:c>
    </x:row>
    <x:row r="386" ht="23" customHeight="1">
      <x:c r="B386" s="8" t="str">
        <x:v>APP000127</x:v>
      </x:c>
      <x:c r="C386" s="8" t="n">
        <x:v>3</x:v>
      </x:c>
      <x:c r="D386" s="8" t="n">
        <x:v>0</x:v>
      </x:c>
      <x:c r="E386" s="8" t="n">
        <x:v>2</x:v>
      </x:c>
    </x:row>
    <x:row r="387" ht="23" customHeight="1">
      <x:c r="B387" s="8" t="str">
        <x:v>APP000128</x:v>
      </x:c>
      <x:c r="C387" s="8" t="n">
        <x:v>1</x:v>
      </x:c>
      <x:c r="D387" s="8" t="n">
        <x:v>1</x:v>
      </x:c>
      <x:c r="E387" s="8" t="n">
        <x:v>2</x:v>
      </x:c>
    </x:row>
    <x:row r="388" ht="23" customHeight="1">
      <x:c r="B388" s="8" t="str">
        <x:v>APP000128</x:v>
      </x:c>
      <x:c r="C388" s="8" t="n">
        <x:v>2</x:v>
      </x:c>
      <x:c r="D388" s="8" t="n">
        <x:v>1</x:v>
      </x:c>
      <x:c r="E388" s="8" t="n">
        <x:v>2</x:v>
      </x:c>
    </x:row>
    <x:row r="389" ht="23" customHeight="1">
      <x:c r="B389" s="8" t="str">
        <x:v>APP000128</x:v>
      </x:c>
      <x:c r="C389" s="8" t="n">
        <x:v>3</x:v>
      </x:c>
      <x:c r="D389" s="8" t="n">
        <x:v>1</x:v>
      </x:c>
      <x:c r="E389" s="8" t="n">
        <x:v>2</x:v>
      </x:c>
    </x:row>
    <x:row r="390" ht="23" customHeight="1">
      <x:c r="B390" s="8" t="str">
        <x:v>APP000129</x:v>
      </x:c>
      <x:c r="C390" s="8" t="n">
        <x:v>1</x:v>
      </x:c>
      <x:c r="D390" s="8" t="n">
        <x:v>1</x:v>
      </x:c>
      <x:c r="E390" s="8" t="n">
        <x:v>2</x:v>
      </x:c>
    </x:row>
    <x:row r="391" ht="23" customHeight="1">
      <x:c r="B391" s="8" t="str">
        <x:v>APP000129</x:v>
      </x:c>
      <x:c r="C391" s="8" t="n">
        <x:v>2</x:v>
      </x:c>
      <x:c r="D391" s="8" t="n">
        <x:v>1</x:v>
      </x:c>
      <x:c r="E391" s="8" t="n">
        <x:v>2</x:v>
      </x:c>
    </x:row>
    <x:row r="392" ht="23" customHeight="1">
      <x:c r="B392" s="8" t="str">
        <x:v>APP000129</x:v>
      </x:c>
      <x:c r="C392" s="8" t="n">
        <x:v>3</x:v>
      </x:c>
      <x:c r="D392" s="8" t="n">
        <x:v>1</x:v>
      </x:c>
      <x:c r="E392" s="8" t="n">
        <x:v>2</x:v>
      </x:c>
    </x:row>
    <x:row r="393" ht="23" customHeight="1">
      <x:c r="B393" s="8" t="str">
        <x:v>APP000130</x:v>
      </x:c>
      <x:c r="C393" s="8" t="n">
        <x:v>1</x:v>
      </x:c>
      <x:c r="D393" s="8" t="n">
        <x:v>1</x:v>
      </x:c>
      <x:c r="E393" s="8" t="n">
        <x:v>2</x:v>
      </x:c>
    </x:row>
    <x:row r="394" ht="23" customHeight="1">
      <x:c r="B394" s="8" t="str">
        <x:v>APP000130</x:v>
      </x:c>
      <x:c r="C394" s="8" t="n">
        <x:v>2</x:v>
      </x:c>
      <x:c r="D394" s="8" t="n">
        <x:v>1</x:v>
      </x:c>
      <x:c r="E394" s="8" t="n">
        <x:v>2</x:v>
      </x:c>
    </x:row>
    <x:row r="395" ht="23" customHeight="1">
      <x:c r="B395" s="8" t="str">
        <x:v>APP000130</x:v>
      </x:c>
      <x:c r="C395" s="8" t="n">
        <x:v>3</x:v>
      </x:c>
      <x:c r="D395" s="8" t="n">
        <x:v>1</x:v>
      </x:c>
      <x:c r="E395" s="8" t="n">
        <x:v>2</x:v>
      </x:c>
    </x:row>
    <x:row r="396" ht="23" customHeight="1">
      <x:c r="B396" s="8" t="str">
        <x:v>APP000131</x:v>
      </x:c>
      <x:c r="C396" s="8" t="n">
        <x:v>1</x:v>
      </x:c>
      <x:c r="D396" s="8" t="n">
        <x:v>1</x:v>
      </x:c>
      <x:c r="E396" s="8" t="n">
        <x:v>2</x:v>
      </x:c>
    </x:row>
    <x:row r="397" ht="23" customHeight="1">
      <x:c r="B397" s="8" t="str">
        <x:v>APP000131</x:v>
      </x:c>
      <x:c r="C397" s="8" t="n">
        <x:v>2</x:v>
      </x:c>
      <x:c r="D397" s="8" t="n">
        <x:v>0</x:v>
      </x:c>
      <x:c r="E397" s="8" t="n">
        <x:v>2</x:v>
      </x:c>
    </x:row>
    <x:row r="398" ht="23" customHeight="1">
      <x:c r="B398" s="8" t="str">
        <x:v>APP000131</x:v>
      </x:c>
      <x:c r="C398" s="8" t="n">
        <x:v>3</x:v>
      </x:c>
      <x:c r="D398" s="8" t="n">
        <x:v>1</x:v>
      </x:c>
      <x:c r="E398" s="8" t="n">
        <x:v>2</x:v>
      </x:c>
    </x:row>
    <x:row r="399" ht="23" customHeight="1">
      <x:c r="B399" s="8" t="str">
        <x:v>APP000132</x:v>
      </x:c>
      <x:c r="C399" s="8" t="n">
        <x:v>1</x:v>
      </x:c>
      <x:c r="D399" s="8" t="n">
        <x:v>1</x:v>
      </x:c>
      <x:c r="E399" s="8" t="n">
        <x:v>2</x:v>
      </x:c>
    </x:row>
    <x:row r="400" ht="23" customHeight="1">
      <x:c r="B400" s="8" t="str">
        <x:v>APP000132</x:v>
      </x:c>
      <x:c r="C400" s="8" t="n">
        <x:v>2</x:v>
      </x:c>
      <x:c r="D400" s="8" t="n">
        <x:v>1</x:v>
      </x:c>
      <x:c r="E400" s="8" t="n">
        <x:v>2</x:v>
      </x:c>
    </x:row>
    <x:row r="401" ht="23" customHeight="1">
      <x:c r="B401" s="8" t="str">
        <x:v>APP000132</x:v>
      </x:c>
      <x:c r="C401" s="8" t="n">
        <x:v>3</x:v>
      </x:c>
      <x:c r="D401" s="8" t="n">
        <x:v>1</x:v>
      </x:c>
      <x:c r="E401" s="8" t="n">
        <x:v>2</x:v>
      </x:c>
    </x:row>
    <x:row r="402" ht="23" customHeight="1">
      <x:c r="B402" s="8" t="str">
        <x:v>APP000133</x:v>
      </x:c>
      <x:c r="C402" s="8" t="n">
        <x:v>1</x:v>
      </x:c>
      <x:c r="D402" s="8" t="n">
        <x:v>1</x:v>
      </x:c>
      <x:c r="E402" s="8" t="n">
        <x:v>2</x:v>
      </x:c>
    </x:row>
    <x:row r="403" ht="23" customHeight="1">
      <x:c r="B403" s="8" t="str">
        <x:v>APP000133</x:v>
      </x:c>
      <x:c r="C403" s="8" t="n">
        <x:v>2</x:v>
      </x:c>
      <x:c r="D403" s="8" t="n">
        <x:v>1</x:v>
      </x:c>
      <x:c r="E403" s="8" t="n">
        <x:v>2</x:v>
      </x:c>
    </x:row>
    <x:row r="404" ht="23" customHeight="1">
      <x:c r="B404" s="8" t="str">
        <x:v>APP000133</x:v>
      </x:c>
      <x:c r="C404" s="8" t="n">
        <x:v>3</x:v>
      </x:c>
      <x:c r="D404" s="8" t="n">
        <x:v>1</x:v>
      </x:c>
      <x:c r="E404" s="8" t="n">
        <x:v>2</x:v>
      </x:c>
    </x:row>
    <x:row r="405" ht="23" customHeight="1">
      <x:c r="B405" s="8" t="str">
        <x:v>APP000134</x:v>
      </x:c>
      <x:c r="C405" s="8" t="n">
        <x:v>1</x:v>
      </x:c>
      <x:c r="D405" s="8" t="n">
        <x:v>1</x:v>
      </x:c>
      <x:c r="E405" s="8" t="n">
        <x:v>2</x:v>
      </x:c>
    </x:row>
    <x:row r="406" ht="23" customHeight="1">
      <x:c r="B406" s="8" t="str">
        <x:v>APP000134</x:v>
      </x:c>
      <x:c r="C406" s="8" t="n">
        <x:v>2</x:v>
      </x:c>
      <x:c r="D406" s="8" t="n">
        <x:v>1</x:v>
      </x:c>
      <x:c r="E406" s="8" t="n">
        <x:v>2</x:v>
      </x:c>
    </x:row>
    <x:row r="407" ht="23" customHeight="1">
      <x:c r="B407" s="8" t="str">
        <x:v>APP000134</x:v>
      </x:c>
      <x:c r="C407" s="8" t="n">
        <x:v>3</x:v>
      </x:c>
      <x:c r="D407" s="8" t="n">
        <x:v>1</x:v>
      </x:c>
      <x:c r="E407" s="8" t="n">
        <x:v>2</x:v>
      </x:c>
    </x:row>
    <x:row r="408" ht="23" customHeight="1">
      <x:c r="B408" s="8" t="str">
        <x:v>APP000135</x:v>
      </x:c>
      <x:c r="C408" s="8" t="n">
        <x:v>1</x:v>
      </x:c>
      <x:c r="D408" s="8" t="n">
        <x:v>1</x:v>
      </x:c>
      <x:c r="E408" s="8" t="n">
        <x:v>2</x:v>
      </x:c>
    </x:row>
    <x:row r="409" ht="23" customHeight="1">
      <x:c r="B409" s="8" t="str">
        <x:v>APP000135</x:v>
      </x:c>
      <x:c r="C409" s="8" t="n">
        <x:v>2</x:v>
      </x:c>
      <x:c r="D409" s="8" t="n">
        <x:v>1</x:v>
      </x:c>
      <x:c r="E409" s="8" t="n">
        <x:v>2</x:v>
      </x:c>
    </x:row>
    <x:row r="410" ht="23" customHeight="1">
      <x:c r="B410" s="8" t="str">
        <x:v>APP000135</x:v>
      </x:c>
      <x:c r="C410" s="8" t="n">
        <x:v>3</x:v>
      </x:c>
      <x:c r="D410" s="8" t="n">
        <x:v>1</x:v>
      </x:c>
      <x:c r="E410" s="8" t="n">
        <x:v>2</x:v>
      </x:c>
    </x:row>
    <x:row r="411" ht="23" customHeight="1">
      <x:c r="B411" s="8" t="str">
        <x:v>APP000136</x:v>
      </x:c>
      <x:c r="C411" s="8" t="n">
        <x:v>1</x:v>
      </x:c>
      <x:c r="D411" s="8" t="n">
        <x:v>1</x:v>
      </x:c>
      <x:c r="E411" s="8" t="n">
        <x:v>2</x:v>
      </x:c>
    </x:row>
    <x:row r="412" ht="23" customHeight="1">
      <x:c r="B412" s="8" t="str">
        <x:v>APP000136</x:v>
      </x:c>
      <x:c r="C412" s="8" t="n">
        <x:v>2</x:v>
      </x:c>
      <x:c r="D412" s="8" t="n">
        <x:v>1</x:v>
      </x:c>
      <x:c r="E412" s="8" t="n">
        <x:v>2</x:v>
      </x:c>
    </x:row>
    <x:row r="413" ht="23" customHeight="1">
      <x:c r="B413" s="8" t="str">
        <x:v>APP000136</x:v>
      </x:c>
      <x:c r="C413" s="8" t="n">
        <x:v>3</x:v>
      </x:c>
      <x:c r="D413" s="8" t="n">
        <x:v>0</x:v>
      </x:c>
      <x:c r="E413" s="8" t="n">
        <x:v>2</x:v>
      </x:c>
    </x:row>
    <x:row r="414" ht="23" customHeight="1">
      <x:c r="B414" s="8" t="str">
        <x:v>APP000137</x:v>
      </x:c>
      <x:c r="C414" s="8" t="n">
        <x:v>1</x:v>
      </x:c>
      <x:c r="D414" s="8" t="n">
        <x:v>1</x:v>
      </x:c>
      <x:c r="E414" s="8" t="n">
        <x:v>2</x:v>
      </x:c>
    </x:row>
    <x:row r="415" ht="23" customHeight="1">
      <x:c r="B415" s="8" t="str">
        <x:v>APP000137</x:v>
      </x:c>
      <x:c r="C415" s="8" t="n">
        <x:v>2</x:v>
      </x:c>
      <x:c r="D415" s="8" t="n">
        <x:v>1</x:v>
      </x:c>
      <x:c r="E415" s="8" t="n">
        <x:v>2</x:v>
      </x:c>
    </x:row>
    <x:row r="416" ht="23" customHeight="1">
      <x:c r="B416" s="8" t="str">
        <x:v>APP000137</x:v>
      </x:c>
      <x:c r="C416" s="8" t="n">
        <x:v>3</x:v>
      </x:c>
      <x:c r="D416" s="8" t="n">
        <x:v>1</x:v>
      </x:c>
      <x:c r="E416" s="8" t="n">
        <x:v>2</x:v>
      </x:c>
    </x:row>
    <x:row r="417" ht="23" customHeight="1">
      <x:c r="B417" s="8" t="str">
        <x:v>APP000138</x:v>
      </x:c>
      <x:c r="C417" s="8" t="n">
        <x:v>1</x:v>
      </x:c>
      <x:c r="D417" s="8" t="n">
        <x:v>1</x:v>
      </x:c>
      <x:c r="E417" s="8" t="n">
        <x:v>2</x:v>
      </x:c>
    </x:row>
    <x:row r="418" ht="23" customHeight="1">
      <x:c r="B418" s="8" t="str">
        <x:v>APP000138</x:v>
      </x:c>
      <x:c r="C418" s="8" t="n">
        <x:v>2</x:v>
      </x:c>
      <x:c r="D418" s="8" t="n">
        <x:v>1</x:v>
      </x:c>
      <x:c r="E418" s="8" t="n">
        <x:v>2</x:v>
      </x:c>
    </x:row>
    <x:row r="419" ht="23" customHeight="1">
      <x:c r="B419" s="8" t="str">
        <x:v>APP000138</x:v>
      </x:c>
      <x:c r="C419" s="8" t="n">
        <x:v>3</x:v>
      </x:c>
      <x:c r="D419" s="8" t="n">
        <x:v>1</x:v>
      </x:c>
      <x:c r="E419" s="8" t="n">
        <x:v>2</x:v>
      </x:c>
    </x:row>
    <x:row r="420" ht="23" customHeight="1">
      <x:c r="B420" s="8" t="str">
        <x:v>APP000139</x:v>
      </x:c>
      <x:c r="C420" s="8" t="n">
        <x:v>1</x:v>
      </x:c>
      <x:c r="D420" s="8" t="n">
        <x:v>1</x:v>
      </x:c>
      <x:c r="E420" s="8" t="n">
        <x:v>2</x:v>
      </x:c>
    </x:row>
    <x:row r="421" ht="23" customHeight="1">
      <x:c r="B421" s="8" t="str">
        <x:v>APP000139</x:v>
      </x:c>
      <x:c r="C421" s="8" t="n">
        <x:v>2</x:v>
      </x:c>
      <x:c r="D421" s="8" t="n">
        <x:v>1</x:v>
      </x:c>
      <x:c r="E421" s="8" t="n">
        <x:v>2</x:v>
      </x:c>
    </x:row>
    <x:row r="422" ht="23" customHeight="1">
      <x:c r="B422" s="8" t="str">
        <x:v>APP000139</x:v>
      </x:c>
      <x:c r="C422" s="8" t="n">
        <x:v>3</x:v>
      </x:c>
      <x:c r="D422" s="8" t="n">
        <x:v>1</x:v>
      </x:c>
      <x:c r="E422" s="8" t="n">
        <x:v>2</x:v>
      </x:c>
    </x:row>
    <x:row r="423" ht="23" customHeight="1">
      <x:c r="B423" s="8" t="str">
        <x:v>APP000140</x:v>
      </x:c>
      <x:c r="C423" s="8" t="n">
        <x:v>1</x:v>
      </x:c>
      <x:c r="D423" s="8" t="n">
        <x:v>1</x:v>
      </x:c>
      <x:c r="E423" s="8" t="n">
        <x:v>2</x:v>
      </x:c>
    </x:row>
    <x:row r="424" ht="23" customHeight="1">
      <x:c r="B424" s="8" t="str">
        <x:v>APP000140</x:v>
      </x:c>
      <x:c r="C424" s="8" t="n">
        <x:v>2</x:v>
      </x:c>
      <x:c r="D424" s="8" t="n">
        <x:v>1</x:v>
      </x:c>
      <x:c r="E424" s="8" t="n">
        <x:v>2</x:v>
      </x:c>
    </x:row>
    <x:row r="425" ht="23" customHeight="1">
      <x:c r="B425" s="8" t="str">
        <x:v>APP000140</x:v>
      </x:c>
      <x:c r="C425" s="8" t="n">
        <x:v>3</x:v>
      </x:c>
      <x:c r="D425" s="8" t="n">
        <x:v>1</x:v>
      </x:c>
      <x:c r="E425" s="8" t="n">
        <x:v>2</x:v>
      </x:c>
    </x:row>
    <x:row r="426" ht="23" customHeight="1">
      <x:c r="B426" s="8" t="str">
        <x:v>APP000141</x:v>
      </x:c>
      <x:c r="C426" s="8" t="n">
        <x:v>1</x:v>
      </x:c>
      <x:c r="D426" s="8" t="n">
        <x:v>1</x:v>
      </x:c>
      <x:c r="E426" s="8" t="n">
        <x:v>2</x:v>
      </x:c>
    </x:row>
    <x:row r="427" ht="23" customHeight="1">
      <x:c r="B427" s="8" t="str">
        <x:v>APP000141</x:v>
      </x:c>
      <x:c r="C427" s="8" t="n">
        <x:v>2</x:v>
      </x:c>
      <x:c r="D427" s="8" t="n">
        <x:v>1</x:v>
      </x:c>
      <x:c r="E427" s="8" t="n">
        <x:v>2</x:v>
      </x:c>
    </x:row>
    <x:row r="428" ht="23" customHeight="1">
      <x:c r="B428" s="8" t="str">
        <x:v>APP000141</x:v>
      </x:c>
      <x:c r="C428" s="8" t="n">
        <x:v>3</x:v>
      </x:c>
      <x:c r="D428" s="8" t="n">
        <x:v>1</x:v>
      </x:c>
      <x:c r="E428" s="8" t="n">
        <x:v>2</x:v>
      </x:c>
    </x:row>
    <x:row r="429" ht="23" customHeight="1">
      <x:c r="B429" s="8" t="str">
        <x:v>APP000142</x:v>
      </x:c>
      <x:c r="C429" s="8" t="n">
        <x:v>1</x:v>
      </x:c>
      <x:c r="D429" s="8" t="n">
        <x:v>1</x:v>
      </x:c>
      <x:c r="E429" s="8" t="n">
        <x:v>2</x:v>
      </x:c>
    </x:row>
    <x:row r="430" ht="23" customHeight="1">
      <x:c r="B430" s="8" t="str">
        <x:v>APP000142</x:v>
      </x:c>
      <x:c r="C430" s="8" t="n">
        <x:v>2</x:v>
      </x:c>
      <x:c r="D430" s="8" t="n">
        <x:v>1</x:v>
      </x:c>
      <x:c r="E430" s="8" t="n">
        <x:v>2</x:v>
      </x:c>
    </x:row>
    <x:row r="431" ht="23" customHeight="1">
      <x:c r="B431" s="8" t="str">
        <x:v>APP000142</x:v>
      </x:c>
      <x:c r="C431" s="8" t="n">
        <x:v>3</x:v>
      </x:c>
      <x:c r="D431" s="8" t="n">
        <x:v>1</x:v>
      </x:c>
      <x:c r="E431" s="8" t="n">
        <x:v>2</x:v>
      </x:c>
    </x:row>
    <x:row r="432" ht="23" customHeight="1">
      <x:c r="B432" s="8" t="str">
        <x:v>APP000143</x:v>
      </x:c>
      <x:c r="C432" s="8" t="n">
        <x:v>1</x:v>
      </x:c>
      <x:c r="D432" s="8" t="n">
        <x:v>1</x:v>
      </x:c>
      <x:c r="E432" s="8" t="n">
        <x:v>2</x:v>
      </x:c>
    </x:row>
    <x:row r="433" ht="23" customHeight="1">
      <x:c r="B433" s="8" t="str">
        <x:v>APP000143</x:v>
      </x:c>
      <x:c r="C433" s="8" t="n">
        <x:v>2</x:v>
      </x:c>
      <x:c r="D433" s="8" t="n">
        <x:v>1</x:v>
      </x:c>
      <x:c r="E433" s="8" t="n">
        <x:v>2</x:v>
      </x:c>
    </x:row>
    <x:row r="434" ht="23" customHeight="1">
      <x:c r="B434" s="8" t="str">
        <x:v>APP000143</x:v>
      </x:c>
      <x:c r="C434" s="8" t="n">
        <x:v>3</x:v>
      </x:c>
      <x:c r="D434" s="8" t="n">
        <x:v>1</x:v>
      </x:c>
      <x:c r="E434" s="8" t="n">
        <x:v>2</x:v>
      </x:c>
    </x:row>
    <x:row r="435" ht="23" customHeight="1">
      <x:c r="B435" s="8" t="str">
        <x:v>APP000144</x:v>
      </x:c>
      <x:c r="C435" s="8" t="n">
        <x:v>1</x:v>
      </x:c>
      <x:c r="D435" s="8" t="n">
        <x:v>1</x:v>
      </x:c>
      <x:c r="E435" s="8" t="n">
        <x:v>2</x:v>
      </x:c>
    </x:row>
    <x:row r="436" ht="23" customHeight="1">
      <x:c r="B436" s="8" t="str">
        <x:v>APP000144</x:v>
      </x:c>
      <x:c r="C436" s="8" t="n">
        <x:v>2</x:v>
      </x:c>
      <x:c r="D436" s="8" t="n">
        <x:v>0</x:v>
      </x:c>
      <x:c r="E436" s="8" t="n">
        <x:v>2</x:v>
      </x:c>
    </x:row>
    <x:row r="437" ht="23" customHeight="1">
      <x:c r="B437" s="8" t="str">
        <x:v>APP000144</x:v>
      </x:c>
      <x:c r="C437" s="8" t="n">
        <x:v>3</x:v>
      </x:c>
      <x:c r="D437" s="8" t="n">
        <x:v>1</x:v>
      </x:c>
      <x:c r="E437" s="8" t="n">
        <x:v>2</x:v>
      </x:c>
    </x:row>
    <x:row r="438" ht="23" customHeight="1">
      <x:c r="B438" s="8" t="str">
        <x:v>APP000145</x:v>
      </x:c>
      <x:c r="C438" s="8" t="n">
        <x:v>1</x:v>
      </x:c>
      <x:c r="D438" s="8" t="n">
        <x:v>1</x:v>
      </x:c>
      <x:c r="E438" s="8" t="n">
        <x:v>2</x:v>
      </x:c>
    </x:row>
    <x:row r="439" ht="23" customHeight="1">
      <x:c r="B439" s="8" t="str">
        <x:v>APP000145</x:v>
      </x:c>
      <x:c r="C439" s="8" t="n">
        <x:v>2</x:v>
      </x:c>
      <x:c r="D439" s="8" t="n">
        <x:v>1</x:v>
      </x:c>
      <x:c r="E439" s="8" t="n">
        <x:v>2</x:v>
      </x:c>
    </x:row>
    <x:row r="440" ht="23" customHeight="1">
      <x:c r="B440" s="8" t="str">
        <x:v>APP000145</x:v>
      </x:c>
      <x:c r="C440" s="8" t="n">
        <x:v>3</x:v>
      </x:c>
      <x:c r="D440" s="8" t="n">
        <x:v>0</x:v>
      </x:c>
      <x:c r="E440" s="8" t="n">
        <x:v>2</x:v>
      </x:c>
    </x:row>
    <x:row r="441" ht="23" customHeight="1">
      <x:c r="B441" s="8" t="str">
        <x:v>APP000146</x:v>
      </x:c>
      <x:c r="C441" s="8" t="n">
        <x:v>1</x:v>
      </x:c>
      <x:c r="D441" s="8" t="n">
        <x:v>1</x:v>
      </x:c>
      <x:c r="E441" s="8" t="n">
        <x:v>2</x:v>
      </x:c>
    </x:row>
    <x:row r="442" ht="23" customHeight="1">
      <x:c r="B442" s="8" t="str">
        <x:v>APP000146</x:v>
      </x:c>
      <x:c r="C442" s="8" t="n">
        <x:v>2</x:v>
      </x:c>
      <x:c r="D442" s="8" t="n">
        <x:v>1</x:v>
      </x:c>
      <x:c r="E442" s="8" t="n">
        <x:v>2</x:v>
      </x:c>
    </x:row>
    <x:row r="443" ht="23" customHeight="1">
      <x:c r="B443" s="8" t="str">
        <x:v>APP000146</x:v>
      </x:c>
      <x:c r="C443" s="8" t="n">
        <x:v>3</x:v>
      </x:c>
      <x:c r="D443" s="8" t="n">
        <x:v>1</x:v>
      </x:c>
      <x:c r="E443" s="8" t="n">
        <x:v>2</x:v>
      </x:c>
    </x:row>
    <x:row r="444" ht="23" customHeight="1">
      <x:c r="B444" s="8" t="str">
        <x:v>APP000147</x:v>
      </x:c>
      <x:c r="C444" s="8" t="n">
        <x:v>1</x:v>
      </x:c>
      <x:c r="D444" s="8" t="n">
        <x:v>1</x:v>
      </x:c>
      <x:c r="E444" s="8" t="n">
        <x:v>2</x:v>
      </x:c>
    </x:row>
    <x:row r="445" ht="23" customHeight="1">
      <x:c r="B445" s="8" t="str">
        <x:v>APP000147</x:v>
      </x:c>
      <x:c r="C445" s="8" t="n">
        <x:v>2</x:v>
      </x:c>
      <x:c r="D445" s="8" t="n">
        <x:v>1</x:v>
      </x:c>
      <x:c r="E445" s="8" t="n">
        <x:v>2</x:v>
      </x:c>
    </x:row>
    <x:row r="446" ht="23" customHeight="1">
      <x:c r="B446" s="8" t="str">
        <x:v>APP000147</x:v>
      </x:c>
      <x:c r="C446" s="8" t="n">
        <x:v>3</x:v>
      </x:c>
      <x:c r="D446" s="8" t="n">
        <x:v>1</x:v>
      </x:c>
      <x:c r="E446" s="8" t="n">
        <x:v>2</x:v>
      </x:c>
    </x:row>
    <x:row r="447" ht="23" customHeight="1">
      <x:c r="B447" s="8" t="str">
        <x:v>APP000148</x:v>
      </x:c>
      <x:c r="C447" s="8" t="n">
        <x:v>1</x:v>
      </x:c>
      <x:c r="D447" s="8" t="n">
        <x:v>1</x:v>
      </x:c>
      <x:c r="E447" s="8" t="n">
        <x:v>2</x:v>
      </x:c>
    </x:row>
    <x:row r="448" ht="23" customHeight="1">
      <x:c r="B448" s="8" t="str">
        <x:v>APP000148</x:v>
      </x:c>
      <x:c r="C448" s="8" t="n">
        <x:v>2</x:v>
      </x:c>
      <x:c r="D448" s="8" t="n">
        <x:v>1</x:v>
      </x:c>
      <x:c r="E448" s="8" t="n">
        <x:v>2</x:v>
      </x:c>
    </x:row>
    <x:row r="449" ht="23" customHeight="1">
      <x:c r="B449" s="8" t="str">
        <x:v>APP000148</x:v>
      </x:c>
      <x:c r="C449" s="8" t="n">
        <x:v>3</x:v>
      </x:c>
      <x:c r="D449" s="8" t="n">
        <x:v>1</x:v>
      </x:c>
      <x:c r="E449" s="8" t="n">
        <x:v>2</x:v>
      </x:c>
    </x:row>
    <x:row r="450" ht="23" customHeight="1">
      <x:c r="B450" s="8" t="str">
        <x:v>APP000149</x:v>
      </x:c>
      <x:c r="C450" s="8" t="n">
        <x:v>1</x:v>
      </x:c>
      <x:c r="D450" s="8" t="n">
        <x:v>1</x:v>
      </x:c>
      <x:c r="E450" s="8" t="n">
        <x:v>2</x:v>
      </x:c>
    </x:row>
    <x:row r="451" ht="23" customHeight="1">
      <x:c r="B451" s="8" t="str">
        <x:v>APP000149</x:v>
      </x:c>
      <x:c r="C451" s="8" t="n">
        <x:v>2</x:v>
      </x:c>
      <x:c r="D451" s="8" t="n">
        <x:v>1</x:v>
      </x:c>
      <x:c r="E451" s="8" t="n">
        <x:v>2</x:v>
      </x:c>
    </x:row>
    <x:row r="452" ht="23" customHeight="1">
      <x:c r="B452" s="8" t="str">
        <x:v>APP000149</x:v>
      </x:c>
      <x:c r="C452" s="8" t="n">
        <x:v>3</x:v>
      </x:c>
      <x:c r="D452" s="8" t="n">
        <x:v>1</x:v>
      </x:c>
      <x:c r="E452" s="8" t="n">
        <x:v>2</x:v>
      </x:c>
    </x:row>
    <x:row r="453" ht="23" customHeight="1">
      <x:c r="B453" s="8" t="str">
        <x:v>APP000150</x:v>
      </x:c>
      <x:c r="C453" s="8" t="n">
        <x:v>1</x:v>
      </x:c>
      <x:c r="D453" s="8" t="n">
        <x:v>1</x:v>
      </x:c>
      <x:c r="E453" s="8" t="n">
        <x:v>2</x:v>
      </x:c>
    </x:row>
    <x:row r="454" ht="23" customHeight="1">
      <x:c r="B454" s="8" t="str">
        <x:v>APP000150</x:v>
      </x:c>
      <x:c r="C454" s="8" t="n">
        <x:v>2</x:v>
      </x:c>
      <x:c r="D454" s="8" t="n">
        <x:v>1</x:v>
      </x:c>
      <x:c r="E454" s="8" t="n">
        <x:v>2</x:v>
      </x:c>
    </x:row>
    <x:row r="455" ht="23" customHeight="1">
      <x:c r="B455" s="8" t="str">
        <x:v>APP000150</x:v>
      </x:c>
      <x:c r="C455" s="8" t="n">
        <x:v>3</x:v>
      </x:c>
      <x:c r="D455" s="8" t="n">
        <x:v>1</x:v>
      </x:c>
      <x:c r="E455" s="8" t="n">
        <x:v>2</x:v>
      </x:c>
    </x:row>
    <x:row r="456" ht="23" customHeight="1">
      <x:c r="B456" s="8" t="str">
        <x:v>APP000151</x:v>
      </x:c>
      <x:c r="C456" s="8" t="n">
        <x:v>1</x:v>
      </x:c>
      <x:c r="D456" s="8" t="n">
        <x:v>1</x:v>
      </x:c>
      <x:c r="E456" s="8" t="n">
        <x:v>2</x:v>
      </x:c>
    </x:row>
    <x:row r="457" ht="23" customHeight="1">
      <x:c r="B457" s="8" t="str">
        <x:v>APP000151</x:v>
      </x:c>
      <x:c r="C457" s="8" t="n">
        <x:v>2</x:v>
      </x:c>
      <x:c r="D457" s="8" t="n">
        <x:v>1</x:v>
      </x:c>
      <x:c r="E457" s="8" t="n">
        <x:v>2</x:v>
      </x:c>
    </x:row>
    <x:row r="458" ht="23" customHeight="1">
      <x:c r="B458" s="8" t="str">
        <x:v>APP000151</x:v>
      </x:c>
      <x:c r="C458" s="8" t="n">
        <x:v>3</x:v>
      </x:c>
      <x:c r="D458" s="8" t="n">
        <x:v>1</x:v>
      </x:c>
      <x:c r="E458" s="8" t="n">
        <x:v>2</x:v>
      </x:c>
    </x:row>
    <x:row r="459" ht="23" customHeight="1">
      <x:c r="B459" s="8" t="str">
        <x:v>APP000152</x:v>
      </x:c>
      <x:c r="C459" s="8" t="n">
        <x:v>1</x:v>
      </x:c>
      <x:c r="D459" s="8" t="n">
        <x:v>1</x:v>
      </x:c>
      <x:c r="E459" s="8" t="n">
        <x:v>2</x:v>
      </x:c>
    </x:row>
    <x:row r="460" ht="23" customHeight="1">
      <x:c r="B460" s="8" t="str">
        <x:v>APP000152</x:v>
      </x:c>
      <x:c r="C460" s="8" t="n">
        <x:v>2</x:v>
      </x:c>
      <x:c r="D460" s="8" t="n">
        <x:v>1</x:v>
      </x:c>
      <x:c r="E460" s="8" t="n">
        <x:v>2</x:v>
      </x:c>
    </x:row>
    <x:row r="461" ht="23" customHeight="1">
      <x:c r="B461" s="8" t="str">
        <x:v>APP000152</x:v>
      </x:c>
      <x:c r="C461" s="8" t="n">
        <x:v>3</x:v>
      </x:c>
      <x:c r="D461" s="8" t="n">
        <x:v>1</x:v>
      </x:c>
      <x:c r="E461" s="8" t="n">
        <x:v>2</x:v>
      </x:c>
    </x:row>
    <x:row r="462" ht="23" customHeight="1">
      <x:c r="B462" s="8" t="str">
        <x:v>APP000153</x:v>
      </x:c>
      <x:c r="C462" s="8" t="n">
        <x:v>1</x:v>
      </x:c>
      <x:c r="D462" s="8" t="n">
        <x:v>1</x:v>
      </x:c>
      <x:c r="E462" s="8" t="n">
        <x:v>2</x:v>
      </x:c>
    </x:row>
    <x:row r="463" ht="23" customHeight="1">
      <x:c r="B463" s="8" t="str">
        <x:v>APP000153</x:v>
      </x:c>
      <x:c r="C463" s="8" t="n">
        <x:v>2</x:v>
      </x:c>
      <x:c r="D463" s="8" t="n">
        <x:v>1</x:v>
      </x:c>
      <x:c r="E463" s="8" t="n">
        <x:v>2</x:v>
      </x:c>
    </x:row>
    <x:row r="464" ht="23" customHeight="1">
      <x:c r="B464" s="8" t="str">
        <x:v>APP000153</x:v>
      </x:c>
      <x:c r="C464" s="8" t="n">
        <x:v>3</x:v>
      </x:c>
      <x:c r="D464" s="8" t="n">
        <x:v>1</x:v>
      </x:c>
      <x:c r="E464" s="8" t="n">
        <x:v>2</x:v>
      </x:c>
    </x:row>
    <x:row r="465" ht="23" customHeight="1">
      <x:c r="B465" s="8" t="str">
        <x:v>APP000154</x:v>
      </x:c>
      <x:c r="C465" s="8" t="n">
        <x:v>1</x:v>
      </x:c>
      <x:c r="D465" s="8" t="n">
        <x:v>1</x:v>
      </x:c>
      <x:c r="E465" s="8" t="n">
        <x:v>2</x:v>
      </x:c>
    </x:row>
    <x:row r="466" ht="23" customHeight="1">
      <x:c r="B466" s="8" t="str">
        <x:v>APP000154</x:v>
      </x:c>
      <x:c r="C466" s="8" t="n">
        <x:v>2</x:v>
      </x:c>
      <x:c r="D466" s="8" t="n">
        <x:v>1</x:v>
      </x:c>
      <x:c r="E466" s="8" t="n">
        <x:v>2</x:v>
      </x:c>
    </x:row>
    <x:row r="467" ht="23" customHeight="1">
      <x:c r="B467" s="8" t="str">
        <x:v>APP000154</x:v>
      </x:c>
      <x:c r="C467" s="8" t="n">
        <x:v>3</x:v>
      </x:c>
      <x:c r="D467" s="8" t="n">
        <x:v>0</x:v>
      </x:c>
      <x:c r="E467" s="8" t="n">
        <x:v>2</x:v>
      </x:c>
    </x:row>
    <x:row r="468" ht="23" customHeight="1">
      <x:c r="B468" s="8" t="str">
        <x:v>APP000155</x:v>
      </x:c>
      <x:c r="C468" s="8" t="n">
        <x:v>1</x:v>
      </x:c>
      <x:c r="D468" s="8" t="n">
        <x:v>1</x:v>
      </x:c>
      <x:c r="E468" s="8" t="n">
        <x:v>2</x:v>
      </x:c>
    </x:row>
    <x:row r="469" ht="23" customHeight="1">
      <x:c r="B469" s="8" t="str">
        <x:v>APP000155</x:v>
      </x:c>
      <x:c r="C469" s="8" t="n">
        <x:v>2</x:v>
      </x:c>
      <x:c r="D469" s="8" t="n">
        <x:v>1</x:v>
      </x:c>
      <x:c r="E469" s="8" t="n">
        <x:v>2</x:v>
      </x:c>
    </x:row>
    <x:row r="470" ht="23" customHeight="1">
      <x:c r="B470" s="8" t="str">
        <x:v>APP000155</x:v>
      </x:c>
      <x:c r="C470" s="8" t="n">
        <x:v>3</x:v>
      </x:c>
      <x:c r="D470" s="8" t="n">
        <x:v>1</x:v>
      </x:c>
      <x:c r="E470" s="8" t="n">
        <x:v>2</x:v>
      </x:c>
    </x:row>
    <x:row r="471" ht="23" customHeight="1">
      <x:c r="B471" s="8" t="str">
        <x:v>APP000156</x:v>
      </x:c>
      <x:c r="C471" s="8" t="n">
        <x:v>1</x:v>
      </x:c>
      <x:c r="D471" s="8" t="n">
        <x:v>1</x:v>
      </x:c>
      <x:c r="E471" s="8" t="n">
        <x:v>2</x:v>
      </x:c>
    </x:row>
    <x:row r="472" ht="23" customHeight="1">
      <x:c r="B472" s="8" t="str">
        <x:v>APP000156</x:v>
      </x:c>
      <x:c r="C472" s="8" t="n">
        <x:v>2</x:v>
      </x:c>
      <x:c r="D472" s="8" t="n">
        <x:v>1</x:v>
      </x:c>
      <x:c r="E472" s="8" t="n">
        <x:v>2</x:v>
      </x:c>
    </x:row>
    <x:row r="473" ht="23" customHeight="1">
      <x:c r="B473" s="8" t="str">
        <x:v>APP000156</x:v>
      </x:c>
      <x:c r="C473" s="8" t="n">
        <x:v>3</x:v>
      </x:c>
      <x:c r="D473" s="8" t="n">
        <x:v>1</x:v>
      </x:c>
      <x:c r="E473" s="8" t="n">
        <x:v>2</x:v>
      </x:c>
    </x:row>
    <x:row r="474" ht="23" customHeight="1">
      <x:c r="B474" s="8" t="str">
        <x:v>APP000157</x:v>
      </x:c>
      <x:c r="C474" s="8" t="n">
        <x:v>1</x:v>
      </x:c>
      <x:c r="D474" s="8" t="n">
        <x:v>1</x:v>
      </x:c>
      <x:c r="E474" s="8" t="n">
        <x:v>2</x:v>
      </x:c>
    </x:row>
    <x:row r="475" ht="23" customHeight="1">
      <x:c r="B475" s="8" t="str">
        <x:v>APP000157</x:v>
      </x:c>
      <x:c r="C475" s="8" t="n">
        <x:v>2</x:v>
      </x:c>
      <x:c r="D475" s="8" t="n">
        <x:v>0</x:v>
      </x:c>
      <x:c r="E475" s="8" t="n">
        <x:v>2</x:v>
      </x:c>
    </x:row>
    <x:row r="476" ht="23" customHeight="1">
      <x:c r="B476" s="8" t="str">
        <x:v>APP000157</x:v>
      </x:c>
      <x:c r="C476" s="8" t="n">
        <x:v>3</x:v>
      </x:c>
      <x:c r="D476" s="8" t="n">
        <x:v>1</x:v>
      </x:c>
      <x:c r="E476" s="8" t="n">
        <x:v>2</x:v>
      </x:c>
    </x:row>
    <x:row r="477" ht="23" customHeight="1">
      <x:c r="B477" s="8" t="str">
        <x:v>APP000158</x:v>
      </x:c>
      <x:c r="C477" s="8" t="n">
        <x:v>1</x:v>
      </x:c>
      <x:c r="D477" s="8" t="n">
        <x:v>1</x:v>
      </x:c>
      <x:c r="E477" s="8" t="n">
        <x:v>2</x:v>
      </x:c>
    </x:row>
    <x:row r="478" ht="23" customHeight="1">
      <x:c r="B478" s="8" t="str">
        <x:v>APP000158</x:v>
      </x:c>
      <x:c r="C478" s="8" t="n">
        <x:v>2</x:v>
      </x:c>
      <x:c r="D478" s="8" t="n">
        <x:v>1</x:v>
      </x:c>
      <x:c r="E478" s="8" t="n">
        <x:v>2</x:v>
      </x:c>
    </x:row>
    <x:row r="479" ht="23" customHeight="1">
      <x:c r="B479" s="8" t="str">
        <x:v>APP000158</x:v>
      </x:c>
      <x:c r="C479" s="8" t="n">
        <x:v>3</x:v>
      </x:c>
      <x:c r="D479" s="8" t="n">
        <x:v>1</x:v>
      </x:c>
      <x:c r="E479" s="8" t="n">
        <x:v>2</x:v>
      </x:c>
    </x:row>
    <x:row r="480" ht="23" customHeight="1">
      <x:c r="B480" s="8" t="str">
        <x:v>APP000159</x:v>
      </x:c>
      <x:c r="C480" s="8" t="n">
        <x:v>1</x:v>
      </x:c>
      <x:c r="D480" s="8" t="n">
        <x:v>1</x:v>
      </x:c>
      <x:c r="E480" s="8" t="n">
        <x:v>2</x:v>
      </x:c>
    </x:row>
    <x:row r="481" ht="23" customHeight="1">
      <x:c r="B481" s="8" t="str">
        <x:v>APP000159</x:v>
      </x:c>
      <x:c r="C481" s="8" t="n">
        <x:v>2</x:v>
      </x:c>
      <x:c r="D481" s="8" t="n">
        <x:v>1</x:v>
      </x:c>
      <x:c r="E481" s="8" t="n">
        <x:v>2</x:v>
      </x:c>
    </x:row>
    <x:row r="482" ht="23" customHeight="1">
      <x:c r="B482" s="8" t="str">
        <x:v>APP000159</x:v>
      </x:c>
      <x:c r="C482" s="8" t="n">
        <x:v>3</x:v>
      </x:c>
      <x:c r="D482" s="8" t="n">
        <x:v>1</x:v>
      </x:c>
      <x:c r="E482" s="8" t="n">
        <x:v>2</x:v>
      </x:c>
    </x:row>
    <x:row r="483" ht="23" customHeight="1">
      <x:c r="B483" s="8" t="str">
        <x:v>APP000160</x:v>
      </x:c>
      <x:c r="C483" s="8" t="n">
        <x:v>1</x:v>
      </x:c>
      <x:c r="D483" s="8" t="n">
        <x:v>1</x:v>
      </x:c>
      <x:c r="E483" s="8" t="n">
        <x:v>2</x:v>
      </x:c>
    </x:row>
    <x:row r="484" ht="23" customHeight="1">
      <x:c r="B484" s="8" t="str">
        <x:v>APP000160</x:v>
      </x:c>
      <x:c r="C484" s="8" t="n">
        <x:v>2</x:v>
      </x:c>
      <x:c r="D484" s="8" t="n">
        <x:v>1</x:v>
      </x:c>
      <x:c r="E484" s="8" t="n">
        <x:v>2</x:v>
      </x:c>
    </x:row>
    <x:row r="485" ht="23" customHeight="1">
      <x:c r="B485" s="8" t="str">
        <x:v>APP000160</x:v>
      </x:c>
      <x:c r="C485" s="8" t="n">
        <x:v>3</x:v>
      </x:c>
      <x:c r="D485" s="8" t="n">
        <x:v>1</x:v>
      </x:c>
      <x:c r="E485" s="8" t="n">
        <x:v>2</x:v>
      </x:c>
    </x:row>
    <x:row r="486" ht="23" customHeight="1">
      <x:c r="B486" s="8" t="str">
        <x:v>APP000161</x:v>
      </x:c>
      <x:c r="C486" s="8" t="n">
        <x:v>1</x:v>
      </x:c>
      <x:c r="D486" s="8" t="n">
        <x:v>1</x:v>
      </x:c>
      <x:c r="E486" s="8" t="n">
        <x:v>2</x:v>
      </x:c>
    </x:row>
    <x:row r="487" ht="23" customHeight="1">
      <x:c r="B487" s="8" t="str">
        <x:v>APP000161</x:v>
      </x:c>
      <x:c r="C487" s="8" t="n">
        <x:v>2</x:v>
      </x:c>
      <x:c r="D487" s="8" t="n">
        <x:v>1</x:v>
      </x:c>
      <x:c r="E487" s="8" t="n">
        <x:v>2</x:v>
      </x:c>
    </x:row>
    <x:row r="488" ht="23" customHeight="1">
      <x:c r="B488" s="8" t="str">
        <x:v>APP000161</x:v>
      </x:c>
      <x:c r="C488" s="8" t="n">
        <x:v>3</x:v>
      </x:c>
      <x:c r="D488" s="8" t="n">
        <x:v>1</x:v>
      </x:c>
      <x:c r="E488" s="8" t="n">
        <x:v>2</x:v>
      </x:c>
    </x:row>
    <x:row r="489" ht="23" customHeight="1">
      <x:c r="B489" s="8" t="str">
        <x:v>APP000162</x:v>
      </x:c>
      <x:c r="C489" s="8" t="n">
        <x:v>1</x:v>
      </x:c>
      <x:c r="D489" s="8" t="n">
        <x:v>1</x:v>
      </x:c>
      <x:c r="E489" s="8" t="n">
        <x:v>2</x:v>
      </x:c>
    </x:row>
    <x:row r="490" ht="23" customHeight="1">
      <x:c r="B490" s="8" t="str">
        <x:v>APP000162</x:v>
      </x:c>
      <x:c r="C490" s="8" t="n">
        <x:v>2</x:v>
      </x:c>
      <x:c r="D490" s="8" t="n">
        <x:v>1</x:v>
      </x:c>
      <x:c r="E490" s="8" t="n">
        <x:v>2</x:v>
      </x:c>
    </x:row>
    <x:row r="491" ht="23" customHeight="1">
      <x:c r="B491" s="8" t="str">
        <x:v>APP000162</x:v>
      </x:c>
      <x:c r="C491" s="8" t="n">
        <x:v>3</x:v>
      </x:c>
      <x:c r="D491" s="8" t="n">
        <x:v>1</x:v>
      </x:c>
      <x:c r="E491" s="8" t="n">
        <x:v>2</x:v>
      </x:c>
    </x:row>
    <x:row r="492" ht="23" customHeight="1">
      <x:c r="B492" s="8" t="str">
        <x:v>APP000163</x:v>
      </x:c>
      <x:c r="C492" s="8" t="n">
        <x:v>1</x:v>
      </x:c>
      <x:c r="D492" s="8" t="n">
        <x:v>1</x:v>
      </x:c>
      <x:c r="E492" s="8" t="n">
        <x:v>2</x:v>
      </x:c>
    </x:row>
    <x:row r="493" ht="23" customHeight="1">
      <x:c r="B493" s="8" t="str">
        <x:v>APP000163</x:v>
      </x:c>
      <x:c r="C493" s="8" t="n">
        <x:v>2</x:v>
      </x:c>
      <x:c r="D493" s="8" t="n">
        <x:v>1</x:v>
      </x:c>
      <x:c r="E493" s="8" t="n">
        <x:v>2</x:v>
      </x:c>
    </x:row>
    <x:row r="494" ht="23" customHeight="1">
      <x:c r="B494" s="8" t="str">
        <x:v>APP000163</x:v>
      </x:c>
      <x:c r="C494" s="8" t="n">
        <x:v>3</x:v>
      </x:c>
      <x:c r="D494" s="8" t="n">
        <x:v>0</x:v>
      </x:c>
      <x:c r="E494" s="8" t="n">
        <x:v>2</x:v>
      </x:c>
    </x:row>
    <x:row r="495" ht="23" customHeight="1">
      <x:c r="B495" s="8" t="str">
        <x:v>APP000164</x:v>
      </x:c>
      <x:c r="C495" s="8" t="n">
        <x:v>1</x:v>
      </x:c>
      <x:c r="D495" s="8" t="n">
        <x:v>1</x:v>
      </x:c>
      <x:c r="E495" s="8" t="n">
        <x:v>2</x:v>
      </x:c>
    </x:row>
    <x:row r="496" ht="23" customHeight="1">
      <x:c r="B496" s="8" t="str">
        <x:v>APP000164</x:v>
      </x:c>
      <x:c r="C496" s="8" t="n">
        <x:v>2</x:v>
      </x:c>
      <x:c r="D496" s="8" t="n">
        <x:v>1</x:v>
      </x:c>
      <x:c r="E496" s="8" t="n">
        <x:v>2</x:v>
      </x:c>
    </x:row>
    <x:row r="497" ht="23" customHeight="1">
      <x:c r="B497" s="8" t="str">
        <x:v>APP000164</x:v>
      </x:c>
      <x:c r="C497" s="8" t="n">
        <x:v>3</x:v>
      </x:c>
      <x:c r="D497" s="8" t="n">
        <x:v>1</x:v>
      </x:c>
      <x:c r="E497" s="8" t="n">
        <x:v>2</x:v>
      </x:c>
    </x:row>
    <x:row r="498" ht="23" customHeight="1">
      <x:c r="B498" s="8" t="str">
        <x:v>APP000165</x:v>
      </x:c>
      <x:c r="C498" s="8" t="n">
        <x:v>1</x:v>
      </x:c>
      <x:c r="D498" s="8" t="n">
        <x:v>1</x:v>
      </x:c>
      <x:c r="E498" s="8" t="n">
        <x:v>2</x:v>
      </x:c>
    </x:row>
    <x:row r="499" ht="23" customHeight="1">
      <x:c r="B499" s="8" t="str">
        <x:v>APP000165</x:v>
      </x:c>
      <x:c r="C499" s="8" t="n">
        <x:v>2</x:v>
      </x:c>
      <x:c r="D499" s="8" t="n">
        <x:v>1</x:v>
      </x:c>
      <x:c r="E499" s="8" t="n">
        <x:v>2</x:v>
      </x:c>
    </x:row>
    <x:row r="500" ht="23" customHeight="1">
      <x:c r="B500" s="8" t="str">
        <x:v>APP000165</x:v>
      </x:c>
      <x:c r="C500" s="8" t="n">
        <x:v>3</x:v>
      </x:c>
      <x:c r="D500" s="8" t="n">
        <x:v>1</x:v>
      </x:c>
      <x:c r="E500" s="8" t="n">
        <x:v>2</x:v>
      </x:c>
    </x:row>
    <x:row r="501" ht="23" customHeight="1">
      <x:c r="B501" s="8" t="str">
        <x:v>APP000166</x:v>
      </x:c>
      <x:c r="C501" s="8" t="n">
        <x:v>1</x:v>
      </x:c>
      <x:c r="D501" s="8" t="n">
        <x:v>1</x:v>
      </x:c>
      <x:c r="E501" s="8" t="n">
        <x:v>2</x:v>
      </x:c>
    </x:row>
    <x:row r="502" ht="23" customHeight="1">
      <x:c r="B502" s="8" t="str">
        <x:v>APP000166</x:v>
      </x:c>
      <x:c r="C502" s="8" t="n">
        <x:v>2</x:v>
      </x:c>
      <x:c r="D502" s="8" t="n">
        <x:v>1</x:v>
      </x:c>
      <x:c r="E502" s="8" t="n">
        <x:v>2</x:v>
      </x:c>
    </x:row>
    <x:row r="503" ht="23" customHeight="1">
      <x:c r="B503" s="8" t="str">
        <x:v>APP000166</x:v>
      </x:c>
      <x:c r="C503" s="8" t="n">
        <x:v>3</x:v>
      </x:c>
      <x:c r="D503" s="8" t="n">
        <x:v>1</x:v>
      </x:c>
      <x:c r="E503" s="8" t="n">
        <x:v>2</x:v>
      </x:c>
    </x:row>
    <x:row r="504" ht="23" customHeight="1">
      <x:c r="B504" s="8" t="str">
        <x:v>APP000167</x:v>
      </x:c>
      <x:c r="C504" s="8" t="n">
        <x:v>1</x:v>
      </x:c>
      <x:c r="D504" s="8" t="n">
        <x:v>1</x:v>
      </x:c>
      <x:c r="E504" s="8" t="n">
        <x:v>2</x:v>
      </x:c>
    </x:row>
    <x:row r="505" ht="23" customHeight="1">
      <x:c r="B505" s="8" t="str">
        <x:v>APP000167</x:v>
      </x:c>
      <x:c r="C505" s="8" t="n">
        <x:v>2</x:v>
      </x:c>
      <x:c r="D505" s="8" t="n">
        <x:v>1</x:v>
      </x:c>
      <x:c r="E505" s="8" t="n">
        <x:v>2</x:v>
      </x:c>
    </x:row>
    <x:row r="506" ht="23" customHeight="1">
      <x:c r="B506" s="8" t="str">
        <x:v>APP000167</x:v>
      </x:c>
      <x:c r="C506" s="8" t="n">
        <x:v>3</x:v>
      </x:c>
      <x:c r="D506" s="8" t="n">
        <x:v>1</x:v>
      </x:c>
      <x:c r="E506" s="8" t="n">
        <x:v>2</x:v>
      </x:c>
    </x:row>
    <x:row r="507" ht="23" customHeight="1">
      <x:c r="B507" s="8" t="str">
        <x:v>APP000168</x:v>
      </x:c>
      <x:c r="C507" s="8" t="n">
        <x:v>1</x:v>
      </x:c>
      <x:c r="D507" s="8" t="n">
        <x:v>1</x:v>
      </x:c>
      <x:c r="E507" s="8" t="n">
        <x:v>2</x:v>
      </x:c>
    </x:row>
    <x:row r="508" ht="23" customHeight="1">
      <x:c r="B508" s="8" t="str">
        <x:v>APP000168</x:v>
      </x:c>
      <x:c r="C508" s="8" t="n">
        <x:v>2</x:v>
      </x:c>
      <x:c r="D508" s="8" t="n">
        <x:v>1</x:v>
      </x:c>
      <x:c r="E508" s="8" t="n">
        <x:v>2</x:v>
      </x:c>
    </x:row>
    <x:row r="509" ht="23" customHeight="1">
      <x:c r="B509" s="8" t="str">
        <x:v>APP000168</x:v>
      </x:c>
      <x:c r="C509" s="8" t="n">
        <x:v>3</x:v>
      </x:c>
      <x:c r="D509" s="8" t="n">
        <x:v>1</x:v>
      </x:c>
      <x:c r="E509" s="8" t="n">
        <x:v>2</x:v>
      </x:c>
    </x:row>
    <x:row r="510" ht="23" customHeight="1">
      <x:c r="B510" s="8" t="str">
        <x:v>APP000169</x:v>
      </x:c>
      <x:c r="C510" s="8" t="n">
        <x:v>1</x:v>
      </x:c>
      <x:c r="D510" s="8" t="n">
        <x:v>1</x:v>
      </x:c>
      <x:c r="E510" s="8" t="n">
        <x:v>2</x:v>
      </x:c>
    </x:row>
    <x:row r="511" ht="23" customHeight="1">
      <x:c r="B511" s="8" t="str">
        <x:v>APP000169</x:v>
      </x:c>
      <x:c r="C511" s="8" t="n">
        <x:v>2</x:v>
      </x:c>
      <x:c r="D511" s="8" t="n">
        <x:v>1</x:v>
      </x:c>
      <x:c r="E511" s="8" t="n">
        <x:v>2</x:v>
      </x:c>
    </x:row>
    <x:row r="512" ht="23" customHeight="1">
      <x:c r="B512" s="8" t="str">
        <x:v>APP000169</x:v>
      </x:c>
      <x:c r="C512" s="8" t="n">
        <x:v>3</x:v>
      </x:c>
      <x:c r="D512" s="8" t="n">
        <x:v>1</x:v>
      </x:c>
      <x:c r="E512" s="8" t="n">
        <x:v>2</x:v>
      </x:c>
    </x:row>
    <x:row r="513" ht="23" customHeight="1">
      <x:c r="B513" s="8" t="str">
        <x:v>APP000170</x:v>
      </x:c>
      <x:c r="C513" s="8" t="n">
        <x:v>1</x:v>
      </x:c>
      <x:c r="D513" s="8" t="n">
        <x:v>1</x:v>
      </x:c>
      <x:c r="E513" s="8" t="n">
        <x:v>2</x:v>
      </x:c>
    </x:row>
    <x:row r="514" ht="23" customHeight="1">
      <x:c r="B514" s="8" t="str">
        <x:v>APP000170</x:v>
      </x:c>
      <x:c r="C514" s="8" t="n">
        <x:v>2</x:v>
      </x:c>
      <x:c r="D514" s="8" t="n">
        <x:v>0</x:v>
      </x:c>
      <x:c r="E514" s="8" t="n">
        <x:v>2</x:v>
      </x:c>
    </x:row>
    <x:row r="515" ht="23" customHeight="1">
      <x:c r="B515" s="8" t="str">
        <x:v>APP000170</x:v>
      </x:c>
      <x:c r="C515" s="8" t="n">
        <x:v>3</x:v>
      </x:c>
      <x:c r="D515" s="8" t="n">
        <x:v>1</x:v>
      </x:c>
      <x:c r="E515" s="8" t="n">
        <x:v>2</x:v>
      </x:c>
    </x:row>
    <x:row r="516" ht="23" customHeight="1">
      <x:c r="B516" s="8" t="str">
        <x:v>APP000171</x:v>
      </x:c>
      <x:c r="C516" s="8" t="n">
        <x:v>1</x:v>
      </x:c>
      <x:c r="D516" s="8" t="n">
        <x:v>1</x:v>
      </x:c>
      <x:c r="E516" s="8" t="n">
        <x:v>2</x:v>
      </x:c>
    </x:row>
    <x:row r="517" ht="23" customHeight="1">
      <x:c r="B517" s="8" t="str">
        <x:v>APP000171</x:v>
      </x:c>
      <x:c r="C517" s="8" t="n">
        <x:v>2</x:v>
      </x:c>
      <x:c r="D517" s="8" t="n">
        <x:v>1</x:v>
      </x:c>
      <x:c r="E517" s="8" t="n">
        <x:v>2</x:v>
      </x:c>
    </x:row>
    <x:row r="518" ht="23" customHeight="1">
      <x:c r="B518" s="8" t="str">
        <x:v>APP000171</x:v>
      </x:c>
      <x:c r="C518" s="8" t="n">
        <x:v>3</x:v>
      </x:c>
      <x:c r="D518" s="8" t="n">
        <x:v>1</x:v>
      </x:c>
      <x:c r="E518" s="8" t="n">
        <x:v>2</x:v>
      </x:c>
    </x:row>
    <x:row r="519" ht="23" customHeight="1">
      <x:c r="B519" s="8" t="str">
        <x:v>APP000172</x:v>
      </x:c>
      <x:c r="C519" s="8" t="n">
        <x:v>1</x:v>
      </x:c>
      <x:c r="D519" s="8" t="n">
        <x:v>1</x:v>
      </x:c>
      <x:c r="E519" s="8" t="n">
        <x:v>2</x:v>
      </x:c>
    </x:row>
    <x:row r="520" ht="23" customHeight="1">
      <x:c r="B520" s="8" t="str">
        <x:v>APP000172</x:v>
      </x:c>
      <x:c r="C520" s="8" t="n">
        <x:v>2</x:v>
      </x:c>
      <x:c r="D520" s="8" t="n">
        <x:v>1</x:v>
      </x:c>
      <x:c r="E520" s="8" t="n">
        <x:v>2</x:v>
      </x:c>
    </x:row>
    <x:row r="521" ht="23" customHeight="1">
      <x:c r="B521" s="8" t="str">
        <x:v>APP000172</x:v>
      </x:c>
      <x:c r="C521" s="8" t="n">
        <x:v>3</x:v>
      </x:c>
      <x:c r="D521" s="8" t="n">
        <x:v>0</x:v>
      </x:c>
      <x:c r="E521" s="8" t="n">
        <x:v>2</x:v>
      </x:c>
    </x:row>
    <x:row r="522" ht="23" customHeight="1">
      <x:c r="B522" s="8" t="str">
        <x:v>APP000173</x:v>
      </x:c>
      <x:c r="C522" s="8" t="n">
        <x:v>1</x:v>
      </x:c>
      <x:c r="D522" s="8" t="n">
        <x:v>1</x:v>
      </x:c>
      <x:c r="E522" s="8" t="n">
        <x:v>2</x:v>
      </x:c>
    </x:row>
    <x:row r="523" ht="23" customHeight="1">
      <x:c r="B523" s="8" t="str">
        <x:v>APP000173</x:v>
      </x:c>
      <x:c r="C523" s="8" t="n">
        <x:v>2</x:v>
      </x:c>
      <x:c r="D523" s="8" t="n">
        <x:v>1</x:v>
      </x:c>
      <x:c r="E523" s="8" t="n">
        <x:v>2</x:v>
      </x:c>
    </x:row>
    <x:row r="524" ht="23" customHeight="1">
      <x:c r="B524" s="8" t="str">
        <x:v>APP000173</x:v>
      </x:c>
      <x:c r="C524" s="8" t="n">
        <x:v>3</x:v>
      </x:c>
      <x:c r="D524" s="8" t="n">
        <x:v>1</x:v>
      </x:c>
      <x:c r="E524" s="8" t="n">
        <x:v>2</x:v>
      </x:c>
    </x:row>
    <x:row r="525" ht="23" customHeight="1">
      <x:c r="B525" s="8" t="str">
        <x:v>APP000174</x:v>
      </x:c>
      <x:c r="C525" s="8" t="n">
        <x:v>1</x:v>
      </x:c>
      <x:c r="D525" s="8" t="n">
        <x:v>1</x:v>
      </x:c>
      <x:c r="E525" s="8" t="n">
        <x:v>2</x:v>
      </x:c>
    </x:row>
    <x:row r="526" ht="23" customHeight="1">
      <x:c r="B526" s="8" t="str">
        <x:v>APP000174</x:v>
      </x:c>
      <x:c r="C526" s="8" t="n">
        <x:v>2</x:v>
      </x:c>
      <x:c r="D526" s="8" t="n">
        <x:v>1</x:v>
      </x:c>
      <x:c r="E526" s="8" t="n">
        <x:v>2</x:v>
      </x:c>
    </x:row>
    <x:row r="527" ht="23" customHeight="1">
      <x:c r="B527" s="8" t="str">
        <x:v>APP000174</x:v>
      </x:c>
      <x:c r="C527" s="8" t="n">
        <x:v>3</x:v>
      </x:c>
      <x:c r="D527" s="8" t="n">
        <x:v>1</x:v>
      </x:c>
      <x:c r="E527" s="8" t="n">
        <x:v>2</x:v>
      </x:c>
    </x:row>
    <x:row r="528" ht="23" customHeight="1">
      <x:c r="B528" s="8" t="str">
        <x:v>APP000175</x:v>
      </x:c>
      <x:c r="C528" s="8" t="n">
        <x:v>1</x:v>
      </x:c>
      <x:c r="D528" s="8" t="n">
        <x:v>1</x:v>
      </x:c>
      <x:c r="E528" s="8" t="n">
        <x:v>2</x:v>
      </x:c>
    </x:row>
    <x:row r="529" ht="23" customHeight="1">
      <x:c r="B529" s="8" t="str">
        <x:v>APP000175</x:v>
      </x:c>
      <x:c r="C529" s="8" t="n">
        <x:v>2</x:v>
      </x:c>
      <x:c r="D529" s="8" t="n">
        <x:v>1</x:v>
      </x:c>
      <x:c r="E529" s="8" t="n">
        <x:v>2</x:v>
      </x:c>
    </x:row>
    <x:row r="530" ht="23" customHeight="1">
      <x:c r="B530" s="8" t="str">
        <x:v>APP000175</x:v>
      </x:c>
      <x:c r="C530" s="8" t="n">
        <x:v>3</x:v>
      </x:c>
      <x:c r="D530" s="8" t="n">
        <x:v>1</x:v>
      </x:c>
      <x:c r="E530" s="8" t="n">
        <x:v>2</x:v>
      </x:c>
    </x:row>
    <x:row r="531" ht="23" customHeight="1">
      <x:c r="B531" s="8" t="str">
        <x:v>APP000176</x:v>
      </x:c>
      <x:c r="C531" s="8" t="n">
        <x:v>1</x:v>
      </x:c>
      <x:c r="D531" s="8" t="n">
        <x:v>1</x:v>
      </x:c>
      <x:c r="E531" s="8" t="n">
        <x:v>2</x:v>
      </x:c>
    </x:row>
    <x:row r="532" ht="23" customHeight="1">
      <x:c r="B532" s="8" t="str">
        <x:v>APP000176</x:v>
      </x:c>
      <x:c r="C532" s="8" t="n">
        <x:v>2</x:v>
      </x:c>
      <x:c r="D532" s="8" t="n">
        <x:v>1</x:v>
      </x:c>
      <x:c r="E532" s="8" t="n">
        <x:v>2</x:v>
      </x:c>
    </x:row>
    <x:row r="533" ht="23" customHeight="1">
      <x:c r="B533" s="8" t="str">
        <x:v>APP000176</x:v>
      </x:c>
      <x:c r="C533" s="8" t="n">
        <x:v>3</x:v>
      </x:c>
      <x:c r="D533" s="8" t="n">
        <x:v>1</x:v>
      </x:c>
      <x:c r="E533" s="8" t="n">
        <x:v>2</x:v>
      </x:c>
    </x:row>
    <x:row r="534" ht="23" customHeight="1">
      <x:c r="B534" s="8" t="str">
        <x:v>APP000177</x:v>
      </x:c>
      <x:c r="C534" s="8" t="n">
        <x:v>1</x:v>
      </x:c>
      <x:c r="D534" s="8" t="n">
        <x:v>1</x:v>
      </x:c>
      <x:c r="E534" s="8" t="n">
        <x:v>2</x:v>
      </x:c>
    </x:row>
    <x:row r="535" ht="23" customHeight="1">
      <x:c r="B535" s="8" t="str">
        <x:v>APP000177</x:v>
      </x:c>
      <x:c r="C535" s="8" t="n">
        <x:v>2</x:v>
      </x:c>
      <x:c r="D535" s="8" t="n">
        <x:v>1</x:v>
      </x:c>
      <x:c r="E535" s="8" t="n">
        <x:v>2</x:v>
      </x:c>
    </x:row>
    <x:row r="536" ht="23" customHeight="1">
      <x:c r="B536" s="8" t="str">
        <x:v>APP000177</x:v>
      </x:c>
      <x:c r="C536" s="8" t="n">
        <x:v>3</x:v>
      </x:c>
      <x:c r="D536" s="8" t="n">
        <x:v>1</x:v>
      </x:c>
      <x:c r="E536" s="8" t="n">
        <x:v>2</x:v>
      </x:c>
    </x:row>
    <x:row r="537" ht="23" customHeight="1">
      <x:c r="B537" s="8" t="str">
        <x:v>APP000178</x:v>
      </x:c>
      <x:c r="C537" s="8" t="n">
        <x:v>1</x:v>
      </x:c>
      <x:c r="D537" s="8" t="n">
        <x:v>1</x:v>
      </x:c>
      <x:c r="E537" s="8" t="n">
        <x:v>2</x:v>
      </x:c>
    </x:row>
    <x:row r="538" ht="23" customHeight="1">
      <x:c r="B538" s="8" t="str">
        <x:v>APP000178</x:v>
      </x:c>
      <x:c r="C538" s="8" t="n">
        <x:v>2</x:v>
      </x:c>
      <x:c r="D538" s="8" t="n">
        <x:v>1</x:v>
      </x:c>
      <x:c r="E538" s="8" t="n">
        <x:v>2</x:v>
      </x:c>
    </x:row>
    <x:row r="539" ht="23" customHeight="1">
      <x:c r="B539" s="8" t="str">
        <x:v>APP000178</x:v>
      </x:c>
      <x:c r="C539" s="8" t="n">
        <x:v>3</x:v>
      </x:c>
      <x:c r="D539" s="8" t="n">
        <x:v>1</x:v>
      </x:c>
      <x:c r="E539" s="8" t="n">
        <x:v>2</x:v>
      </x:c>
    </x:row>
    <x:row r="540" ht="23" customHeight="1">
      <x:c r="B540" s="8" t="str">
        <x:v>APP000179</x:v>
      </x:c>
      <x:c r="C540" s="8" t="n">
        <x:v>1</x:v>
      </x:c>
      <x:c r="D540" s="8" t="n">
        <x:v>1</x:v>
      </x:c>
      <x:c r="E540" s="8" t="n">
        <x:v>2</x:v>
      </x:c>
    </x:row>
    <x:row r="541" ht="23" customHeight="1">
      <x:c r="B541" s="8" t="str">
        <x:v>APP000179</x:v>
      </x:c>
      <x:c r="C541" s="8" t="n">
        <x:v>2</x:v>
      </x:c>
      <x:c r="D541" s="8" t="n">
        <x:v>1</x:v>
      </x:c>
      <x:c r="E541" s="8" t="n">
        <x:v>2</x:v>
      </x:c>
    </x:row>
    <x:row r="542" ht="23" customHeight="1">
      <x:c r="B542" s="8" t="str">
        <x:v>APP000179</x:v>
      </x:c>
      <x:c r="C542" s="8" t="n">
        <x:v>3</x:v>
      </x:c>
      <x:c r="D542" s="8" t="n">
        <x:v>1</x:v>
      </x:c>
      <x:c r="E542" s="8" t="n">
        <x:v>2</x:v>
      </x:c>
    </x:row>
    <x:row r="543" ht="23" customHeight="1">
      <x:c r="B543" s="8" t="str">
        <x:v>APP000180</x:v>
      </x:c>
      <x:c r="C543" s="8" t="n">
        <x:v>1</x:v>
      </x:c>
      <x:c r="D543" s="8" t="n">
        <x:v>1</x:v>
      </x:c>
      <x:c r="E543" s="8" t="n">
        <x:v>2</x:v>
      </x:c>
    </x:row>
    <x:row r="544" ht="23" customHeight="1">
      <x:c r="B544" s="8" t="str">
        <x:v>APP000180</x:v>
      </x:c>
      <x:c r="C544" s="8" t="n">
        <x:v>2</x:v>
      </x:c>
      <x:c r="D544" s="8" t="n">
        <x:v>1</x:v>
      </x:c>
      <x:c r="E544" s="8" t="n">
        <x:v>2</x:v>
      </x:c>
    </x:row>
    <x:row r="545" ht="23" customHeight="1">
      <x:c r="B545" s="8" t="str">
        <x:v>APP000180</x:v>
      </x:c>
      <x:c r="C545" s="8" t="n">
        <x:v>3</x:v>
      </x:c>
      <x:c r="D545" s="8" t="n">
        <x:v>1</x:v>
      </x:c>
      <x:c r="E545" s="8" t="n">
        <x:v>2</x:v>
      </x:c>
    </x:row>
    <x:row r="546" ht="23" customHeight="1">
      <x:c r="B546" s="8" t="str">
        <x:v>APP000181</x:v>
      </x:c>
      <x:c r="C546" s="8" t="n">
        <x:v>1</x:v>
      </x:c>
      <x:c r="D546" s="8" t="n">
        <x:v>1</x:v>
      </x:c>
      <x:c r="E546" s="8" t="n">
        <x:v>2</x:v>
      </x:c>
    </x:row>
    <x:row r="547" ht="23" customHeight="1">
      <x:c r="B547" s="8" t="str">
        <x:v>APP000181</x:v>
      </x:c>
      <x:c r="C547" s="8" t="n">
        <x:v>2</x:v>
      </x:c>
      <x:c r="D547" s="8" t="n">
        <x:v>1</x:v>
      </x:c>
      <x:c r="E547" s="8" t="n">
        <x:v>2</x:v>
      </x:c>
    </x:row>
    <x:row r="548" ht="23" customHeight="1">
      <x:c r="B548" s="8" t="str">
        <x:v>APP000181</x:v>
      </x:c>
      <x:c r="C548" s="8" t="n">
        <x:v>3</x:v>
      </x:c>
      <x:c r="D548" s="8" t="n">
        <x:v>0</x:v>
      </x:c>
      <x:c r="E548" s="8" t="n">
        <x:v>2</x:v>
      </x:c>
    </x:row>
    <x:row r="549" ht="23" customHeight="1">
      <x:c r="B549" s="8" t="str">
        <x:v>APP000182</x:v>
      </x:c>
      <x:c r="C549" s="8" t="n">
        <x:v>1</x:v>
      </x:c>
      <x:c r="D549" s="8" t="n">
        <x:v>1</x:v>
      </x:c>
      <x:c r="E549" s="8" t="n">
        <x:v>2</x:v>
      </x:c>
    </x:row>
    <x:row r="550" ht="23" customHeight="1">
      <x:c r="B550" s="8" t="str">
        <x:v>APP000182</x:v>
      </x:c>
      <x:c r="C550" s="8" t="n">
        <x:v>2</x:v>
      </x:c>
      <x:c r="D550" s="8" t="n">
        <x:v>1</x:v>
      </x:c>
      <x:c r="E550" s="8" t="n">
        <x:v>2</x:v>
      </x:c>
    </x:row>
    <x:row r="551" ht="23" customHeight="1">
      <x:c r="B551" s="8" t="str">
        <x:v>APP000182</x:v>
      </x:c>
      <x:c r="C551" s="8" t="n">
        <x:v>3</x:v>
      </x:c>
      <x:c r="D551" s="8" t="n">
        <x:v>1</x:v>
      </x:c>
      <x:c r="E551" s="8" t="n">
        <x:v>2</x:v>
      </x:c>
    </x:row>
    <x:row r="552" ht="23" customHeight="1">
      <x:c r="B552" s="8" t="str">
        <x:v>APP000183</x:v>
      </x:c>
      <x:c r="C552" s="8" t="n">
        <x:v>1</x:v>
      </x:c>
      <x:c r="D552" s="8" t="n">
        <x:v>1</x:v>
      </x:c>
      <x:c r="E552" s="8" t="n">
        <x:v>2</x:v>
      </x:c>
    </x:row>
    <x:row r="553" ht="23" customHeight="1">
      <x:c r="B553" s="8" t="str">
        <x:v>APP000183</x:v>
      </x:c>
      <x:c r="C553" s="8" t="n">
        <x:v>2</x:v>
      </x:c>
      <x:c r="D553" s="8" t="n">
        <x:v>0</x:v>
      </x:c>
      <x:c r="E553" s="8" t="n">
        <x:v>2</x:v>
      </x:c>
    </x:row>
    <x:row r="554" ht="23" customHeight="1">
      <x:c r="B554" s="8" t="str">
        <x:v>APP000183</x:v>
      </x:c>
      <x:c r="C554" s="8" t="n">
        <x:v>3</x:v>
      </x:c>
      <x:c r="D554" s="8" t="n">
        <x:v>1</x:v>
      </x:c>
      <x:c r="E554" s="8" t="n">
        <x:v>2</x:v>
      </x:c>
    </x:row>
    <x:row r="555" ht="23" customHeight="1">
      <x:c r="B555" s="8" t="str">
        <x:v>APP000184</x:v>
      </x:c>
      <x:c r="C555" s="8" t="n">
        <x:v>1</x:v>
      </x:c>
      <x:c r="D555" s="8" t="n">
        <x:v>1</x:v>
      </x:c>
      <x:c r="E555" s="8" t="n">
        <x:v>2</x:v>
      </x:c>
    </x:row>
    <x:row r="556" ht="23" customHeight="1">
      <x:c r="B556" s="8" t="str">
        <x:v>APP000184</x:v>
      </x:c>
      <x:c r="C556" s="8" t="n">
        <x:v>2</x:v>
      </x:c>
      <x:c r="D556" s="8" t="n">
        <x:v>1</x:v>
      </x:c>
      <x:c r="E556" s="8" t="n">
        <x:v>2</x:v>
      </x:c>
    </x:row>
    <x:row r="557" ht="23" customHeight="1">
      <x:c r="B557" s="8" t="str">
        <x:v>APP000184</x:v>
      </x:c>
      <x:c r="C557" s="8" t="n">
        <x:v>3</x:v>
      </x:c>
      <x:c r="D557" s="8" t="n">
        <x:v>1</x:v>
      </x:c>
      <x:c r="E557" s="8" t="n">
        <x:v>2</x:v>
      </x:c>
    </x:row>
    <x:row r="558" ht="23" customHeight="1">
      <x:c r="B558" s="8" t="str">
        <x:v>APP000185</x:v>
      </x:c>
      <x:c r="C558" s="8" t="n">
        <x:v>1</x:v>
      </x:c>
      <x:c r="D558" s="8" t="n">
        <x:v>1</x:v>
      </x:c>
      <x:c r="E558" s="8" t="n">
        <x:v>2</x:v>
      </x:c>
    </x:row>
    <x:row r="559" ht="23" customHeight="1">
      <x:c r="B559" s="8" t="str">
        <x:v>APP000185</x:v>
      </x:c>
      <x:c r="C559" s="8" t="n">
        <x:v>2</x:v>
      </x:c>
      <x:c r="D559" s="8" t="n">
        <x:v>1</x:v>
      </x:c>
      <x:c r="E559" s="8" t="n">
        <x:v>2</x:v>
      </x:c>
    </x:row>
    <x:row r="560" ht="23" customHeight="1">
      <x:c r="B560" s="8" t="str">
        <x:v>APP000185</x:v>
      </x:c>
      <x:c r="C560" s="8" t="n">
        <x:v>3</x:v>
      </x:c>
      <x:c r="D560" s="8" t="n">
        <x:v>1</x:v>
      </x:c>
      <x:c r="E560" s="8" t="n">
        <x:v>2</x:v>
      </x:c>
    </x:row>
    <x:row r="561" ht="23" customHeight="1">
      <x:c r="B561" s="8" t="str">
        <x:v>APP000186</x:v>
      </x:c>
      <x:c r="C561" s="8" t="n">
        <x:v>1</x:v>
      </x:c>
      <x:c r="D561" s="8" t="n">
        <x:v>1</x:v>
      </x:c>
      <x:c r="E561" s="8" t="n">
        <x:v>2</x:v>
      </x:c>
    </x:row>
    <x:row r="562" ht="23" customHeight="1">
      <x:c r="B562" s="8" t="str">
        <x:v>APP000186</x:v>
      </x:c>
      <x:c r="C562" s="8" t="n">
        <x:v>2</x:v>
      </x:c>
      <x:c r="D562" s="8" t="n">
        <x:v>1</x:v>
      </x:c>
      <x:c r="E562" s="8" t="n">
        <x:v>2</x:v>
      </x:c>
    </x:row>
    <x:row r="563" ht="23" customHeight="1">
      <x:c r="B563" s="8" t="str">
        <x:v>APP000186</x:v>
      </x:c>
      <x:c r="C563" s="8" t="n">
        <x:v>3</x:v>
      </x:c>
      <x:c r="D563" s="8" t="n">
        <x:v>1</x:v>
      </x:c>
      <x:c r="E563" s="8" t="n">
        <x:v>2</x:v>
      </x:c>
    </x:row>
    <x:row r="564" ht="23" customHeight="1">
      <x:c r="B564" s="8" t="str">
        <x:v>APP000187</x:v>
      </x:c>
      <x:c r="C564" s="8" t="n">
        <x:v>1</x:v>
      </x:c>
      <x:c r="D564" s="8" t="n">
        <x:v>1</x:v>
      </x:c>
      <x:c r="E564" s="8" t="n">
        <x:v>2</x:v>
      </x:c>
    </x:row>
    <x:row r="565" ht="23" customHeight="1">
      <x:c r="B565" s="8" t="str">
        <x:v>APP000187</x:v>
      </x:c>
      <x:c r="C565" s="8" t="n">
        <x:v>2</x:v>
      </x:c>
      <x:c r="D565" s="8" t="n">
        <x:v>1</x:v>
      </x:c>
      <x:c r="E565" s="8" t="n">
        <x:v>2</x:v>
      </x:c>
    </x:row>
    <x:row r="566" ht="23" customHeight="1">
      <x:c r="B566" s="8" t="str">
        <x:v>APP000187</x:v>
      </x:c>
      <x:c r="C566" s="8" t="n">
        <x:v>3</x:v>
      </x:c>
      <x:c r="D566" s="8" t="n">
        <x:v>1</x:v>
      </x:c>
      <x:c r="E566" s="8" t="n">
        <x:v>2</x:v>
      </x:c>
    </x:row>
    <x:row r="567" ht="23" customHeight="1">
      <x:c r="B567" s="8" t="str">
        <x:v>APP000188</x:v>
      </x:c>
      <x:c r="C567" s="8" t="n">
        <x:v>1</x:v>
      </x:c>
      <x:c r="D567" s="8" t="n">
        <x:v>1</x:v>
      </x:c>
      <x:c r="E567" s="8" t="n">
        <x:v>2</x:v>
      </x:c>
    </x:row>
    <x:row r="568" ht="23" customHeight="1">
      <x:c r="B568" s="8" t="str">
        <x:v>APP000188</x:v>
      </x:c>
      <x:c r="C568" s="8" t="n">
        <x:v>2</x:v>
      </x:c>
      <x:c r="D568" s="8" t="n">
        <x:v>1</x:v>
      </x:c>
      <x:c r="E568" s="8" t="n">
        <x:v>2</x:v>
      </x:c>
    </x:row>
    <x:row r="569" ht="23" customHeight="1">
      <x:c r="B569" s="8" t="str">
        <x:v>APP000188</x:v>
      </x:c>
      <x:c r="C569" s="8" t="n">
        <x:v>3</x:v>
      </x:c>
      <x:c r="D569" s="8" t="n">
        <x:v>1</x:v>
      </x:c>
      <x:c r="E569" s="8" t="n">
        <x:v>2</x:v>
      </x:c>
    </x:row>
    <x:row r="570" ht="23" customHeight="1">
      <x:c r="B570" s="8" t="str">
        <x:v>APP000189</x:v>
      </x:c>
      <x:c r="C570" s="8" t="n">
        <x:v>1</x:v>
      </x:c>
      <x:c r="D570" s="8" t="n">
        <x:v>1</x:v>
      </x:c>
      <x:c r="E570" s="8" t="n">
        <x:v>2</x:v>
      </x:c>
    </x:row>
    <x:row r="571" ht="23" customHeight="1">
      <x:c r="B571" s="8" t="str">
        <x:v>APP000189</x:v>
      </x:c>
      <x:c r="C571" s="8" t="n">
        <x:v>2</x:v>
      </x:c>
      <x:c r="D571" s="8" t="n">
        <x:v>1</x:v>
      </x:c>
      <x:c r="E571" s="8" t="n">
        <x:v>2</x:v>
      </x:c>
    </x:row>
    <x:row r="572" ht="23" customHeight="1">
      <x:c r="B572" s="8" t="str">
        <x:v>APP000189</x:v>
      </x:c>
      <x:c r="C572" s="8" t="n">
        <x:v>3</x:v>
      </x:c>
      <x:c r="D572" s="8" t="n">
        <x:v>1</x:v>
      </x:c>
      <x:c r="E572" s="8" t="n">
        <x:v>2</x:v>
      </x:c>
    </x:row>
    <x:row r="573" ht="23" customHeight="1">
      <x:c r="B573" s="8" t="str">
        <x:v>APP000190</x:v>
      </x:c>
      <x:c r="C573" s="8" t="n">
        <x:v>1</x:v>
      </x:c>
      <x:c r="D573" s="8" t="n">
        <x:v>1</x:v>
      </x:c>
      <x:c r="E573" s="8" t="n">
        <x:v>2</x:v>
      </x:c>
    </x:row>
    <x:row r="574" ht="23" customHeight="1">
      <x:c r="B574" s="8" t="str">
        <x:v>APP000190</x:v>
      </x:c>
      <x:c r="C574" s="8" t="n">
        <x:v>2</x:v>
      </x:c>
      <x:c r="D574" s="8" t="n">
        <x:v>1</x:v>
      </x:c>
      <x:c r="E574" s="8" t="n">
        <x:v>2</x:v>
      </x:c>
    </x:row>
    <x:row r="575" ht="23" customHeight="1">
      <x:c r="B575" s="8" t="str">
        <x:v>APP000190</x:v>
      </x:c>
      <x:c r="C575" s="8" t="n">
        <x:v>3</x:v>
      </x:c>
      <x:c r="D575" s="8" t="n">
        <x:v>0</x:v>
      </x:c>
      <x:c r="E575" s="8" t="n">
        <x:v>2</x:v>
      </x:c>
    </x:row>
    <x:row r="576" ht="23" customHeight="1">
      <x:c r="B576" s="8" t="str">
        <x:v>APP000191</x:v>
      </x:c>
      <x:c r="C576" s="8" t="n">
        <x:v>1</x:v>
      </x:c>
      <x:c r="D576" s="8" t="n">
        <x:v>1</x:v>
      </x:c>
      <x:c r="E576" s="8" t="n">
        <x:v>2</x:v>
      </x:c>
    </x:row>
    <x:row r="577" ht="23" customHeight="1">
      <x:c r="B577" s="8" t="str">
        <x:v>APP000191</x:v>
      </x:c>
      <x:c r="C577" s="8" t="n">
        <x:v>2</x:v>
      </x:c>
      <x:c r="D577" s="8" t="n">
        <x:v>1</x:v>
      </x:c>
      <x:c r="E577" s="8" t="n">
        <x:v>2</x:v>
      </x:c>
    </x:row>
    <x:row r="578" ht="23" customHeight="1">
      <x:c r="B578" s="8" t="str">
        <x:v>APP000191</x:v>
      </x:c>
      <x:c r="C578" s="8" t="n">
        <x:v>3</x:v>
      </x:c>
      <x:c r="D578" s="8" t="n">
        <x:v>1</x:v>
      </x:c>
      <x:c r="E578" s="8" t="n">
        <x:v>2</x:v>
      </x:c>
    </x:row>
    <x:row r="579" ht="23" customHeight="1">
      <x:c r="B579" s="8" t="str">
        <x:v>APP000192</x:v>
      </x:c>
      <x:c r="C579" s="8" t="n">
        <x:v>1</x:v>
      </x:c>
      <x:c r="D579" s="8" t="n">
        <x:v>1</x:v>
      </x:c>
      <x:c r="E579" s="8" t="n">
        <x:v>2</x:v>
      </x:c>
    </x:row>
    <x:row r="580" ht="23" customHeight="1">
      <x:c r="B580" s="8" t="str">
        <x:v>APP000192</x:v>
      </x:c>
      <x:c r="C580" s="8" t="n">
        <x:v>2</x:v>
      </x:c>
      <x:c r="D580" s="8" t="n">
        <x:v>1</x:v>
      </x:c>
      <x:c r="E580" s="8" t="n">
        <x:v>2</x:v>
      </x:c>
    </x:row>
    <x:row r="581" ht="23" customHeight="1">
      <x:c r="B581" s="8" t="str">
        <x:v>APP000192</x:v>
      </x:c>
      <x:c r="C581" s="8" t="n">
        <x:v>3</x:v>
      </x:c>
      <x:c r="D581" s="8" t="n">
        <x:v>1</x:v>
      </x:c>
      <x:c r="E581" s="8" t="n">
        <x:v>2</x:v>
      </x:c>
    </x:row>
    <x:row r="582" ht="23" customHeight="1">
      <x:c r="B582" s="8" t="str">
        <x:v>APP000193</x:v>
      </x:c>
      <x:c r="C582" s="8" t="n">
        <x:v>1</x:v>
      </x:c>
      <x:c r="D582" s="8" t="n">
        <x:v>1</x:v>
      </x:c>
      <x:c r="E582" s="8" t="n">
        <x:v>2</x:v>
      </x:c>
    </x:row>
    <x:row r="583" ht="23" customHeight="1">
      <x:c r="B583" s="8" t="str">
        <x:v>APP000193</x:v>
      </x:c>
      <x:c r="C583" s="8" t="n">
        <x:v>2</x:v>
      </x:c>
      <x:c r="D583" s="8" t="n">
        <x:v>1</x:v>
      </x:c>
      <x:c r="E583" s="8" t="n">
        <x:v>2</x:v>
      </x:c>
    </x:row>
    <x:row r="584" ht="23" customHeight="1">
      <x:c r="B584" s="8" t="str">
        <x:v>APP000193</x:v>
      </x:c>
      <x:c r="C584" s="8" t="n">
        <x:v>3</x:v>
      </x:c>
      <x:c r="D584" s="8" t="n">
        <x:v>1</x:v>
      </x:c>
      <x:c r="E584" s="8" t="n">
        <x:v>2</x:v>
      </x:c>
    </x:row>
    <x:row r="585" ht="23" customHeight="1">
      <x:c r="B585" s="8" t="str">
        <x:v>APP000194</x:v>
      </x:c>
      <x:c r="C585" s="8" t="n">
        <x:v>1</x:v>
      </x:c>
      <x:c r="D585" s="8" t="n">
        <x:v>1</x:v>
      </x:c>
      <x:c r="E585" s="8" t="n">
        <x:v>2</x:v>
      </x:c>
    </x:row>
    <x:row r="586" ht="23" customHeight="1">
      <x:c r="B586" s="8" t="str">
        <x:v>APP000194</x:v>
      </x:c>
      <x:c r="C586" s="8" t="n">
        <x:v>2</x:v>
      </x:c>
      <x:c r="D586" s="8" t="n">
        <x:v>1</x:v>
      </x:c>
      <x:c r="E586" s="8" t="n">
        <x:v>2</x:v>
      </x:c>
    </x:row>
    <x:row r="587" ht="23" customHeight="1">
      <x:c r="B587" s="8" t="str">
        <x:v>APP000194</x:v>
      </x:c>
      <x:c r="C587" s="8" t="n">
        <x:v>3</x:v>
      </x:c>
      <x:c r="D587" s="8" t="n">
        <x:v>1</x:v>
      </x:c>
      <x:c r="E587" s="8" t="n">
        <x:v>2</x:v>
      </x:c>
    </x:row>
    <x:row r="588" ht="23" customHeight="1">
      <x:c r="B588" s="8" t="str">
        <x:v>APP000195</x:v>
      </x:c>
      <x:c r="C588" s="8" t="n">
        <x:v>1</x:v>
      </x:c>
      <x:c r="D588" s="8" t="n">
        <x:v>1</x:v>
      </x:c>
      <x:c r="E588" s="8" t="n">
        <x:v>2</x:v>
      </x:c>
    </x:row>
    <x:row r="589" ht="23" customHeight="1">
      <x:c r="B589" s="8" t="str">
        <x:v>APP000195</x:v>
      </x:c>
      <x:c r="C589" s="8" t="n">
        <x:v>2</x:v>
      </x:c>
      <x:c r="D589" s="8" t="n">
        <x:v>1</x:v>
      </x:c>
      <x:c r="E589" s="8" t="n">
        <x:v>2</x:v>
      </x:c>
    </x:row>
    <x:row r="590" ht="23" customHeight="1">
      <x:c r="B590" s="8" t="str">
        <x:v>APP000195</x:v>
      </x:c>
      <x:c r="C590" s="8" t="n">
        <x:v>3</x:v>
      </x:c>
      <x:c r="D590" s="8" t="n">
        <x:v>1</x:v>
      </x:c>
      <x:c r="E590" s="8" t="n">
        <x:v>2</x:v>
      </x:c>
    </x:row>
    <x:row r="591" ht="23" customHeight="1">
      <x:c r="B591" s="8" t="str">
        <x:v>APP000196</x:v>
      </x:c>
      <x:c r="C591" s="8" t="n">
        <x:v>1</x:v>
      </x:c>
      <x:c r="D591" s="8" t="n">
        <x:v>1</x:v>
      </x:c>
      <x:c r="E591" s="8" t="n">
        <x:v>2</x:v>
      </x:c>
    </x:row>
    <x:row r="592" ht="23" customHeight="1">
      <x:c r="B592" s="8" t="str">
        <x:v>APP000196</x:v>
      </x:c>
      <x:c r="C592" s="8" t="n">
        <x:v>2</x:v>
      </x:c>
      <x:c r="D592" s="8" t="n">
        <x:v>0</x:v>
      </x:c>
      <x:c r="E592" s="8" t="n">
        <x:v>2</x:v>
      </x:c>
    </x:row>
    <x:row r="593" ht="23" customHeight="1">
      <x:c r="B593" s="8" t="str">
        <x:v>APP000196</x:v>
      </x:c>
      <x:c r="C593" s="8" t="n">
        <x:v>3</x:v>
      </x:c>
      <x:c r="D593" s="8" t="n">
        <x:v>1</x:v>
      </x:c>
      <x:c r="E593" s="8" t="n">
        <x:v>2</x:v>
      </x:c>
    </x:row>
    <x:row r="594" ht="23" customHeight="1">
      <x:c r="B594" s="8" t="str">
        <x:v>APP000197</x:v>
      </x:c>
      <x:c r="C594" s="8" t="n">
        <x:v>1</x:v>
      </x:c>
      <x:c r="D594" s="8" t="n">
        <x:v>1</x:v>
      </x:c>
      <x:c r="E594" s="8" t="n">
        <x:v>2</x:v>
      </x:c>
    </x:row>
    <x:row r="595" ht="23" customHeight="1">
      <x:c r="B595" s="8" t="str">
        <x:v>APP000197</x:v>
      </x:c>
      <x:c r="C595" s="8" t="n">
        <x:v>2</x:v>
      </x:c>
      <x:c r="D595" s="8" t="n">
        <x:v>1</x:v>
      </x:c>
      <x:c r="E595" s="8" t="n">
        <x:v>2</x:v>
      </x:c>
    </x:row>
    <x:row r="596" ht="23" customHeight="1">
      <x:c r="B596" s="8" t="str">
        <x:v>APP000197</x:v>
      </x:c>
      <x:c r="C596" s="8" t="n">
        <x:v>3</x:v>
      </x:c>
      <x:c r="D596" s="8" t="n">
        <x:v>1</x:v>
      </x:c>
      <x:c r="E596" s="8" t="n">
        <x:v>2</x:v>
      </x:c>
    </x:row>
    <x:row r="597" ht="23" customHeight="1">
      <x:c r="B597" s="8" t="str">
        <x:v>APP000198</x:v>
      </x:c>
      <x:c r="C597" s="8" t="n">
        <x:v>1</x:v>
      </x:c>
      <x:c r="D597" s="8" t="n">
        <x:v>1</x:v>
      </x:c>
      <x:c r="E597" s="8" t="n">
        <x:v>2</x:v>
      </x:c>
    </x:row>
    <x:row r="598" ht="23" customHeight="1">
      <x:c r="B598" s="8" t="str">
        <x:v>APP000198</x:v>
      </x:c>
      <x:c r="C598" s="8" t="n">
        <x:v>2</x:v>
      </x:c>
      <x:c r="D598" s="8" t="n">
        <x:v>1</x:v>
      </x:c>
      <x:c r="E598" s="8" t="n">
        <x:v>2</x:v>
      </x:c>
    </x:row>
    <x:row r="599" ht="23" customHeight="1">
      <x:c r="B599" s="8" t="str">
        <x:v>APP000198</x:v>
      </x:c>
      <x:c r="C599" s="8" t="n">
        <x:v>3</x:v>
      </x:c>
      <x:c r="D599" s="8" t="n">
        <x:v>1</x:v>
      </x:c>
      <x:c r="E599" s="8" t="n">
        <x:v>2</x:v>
      </x:c>
    </x:row>
    <x:row r="600" ht="23" customHeight="1">
      <x:c r="B600" s="8" t="str">
        <x:v>APP000199</x:v>
      </x:c>
      <x:c r="C600" s="8" t="n">
        <x:v>1</x:v>
      </x:c>
      <x:c r="D600" s="8" t="n">
        <x:v>1</x:v>
      </x:c>
      <x:c r="E600" s="8" t="n">
        <x:v>2</x:v>
      </x:c>
    </x:row>
    <x:row r="601" ht="23" customHeight="1">
      <x:c r="B601" s="8" t="str">
        <x:v>APP000199</x:v>
      </x:c>
      <x:c r="C601" s="8" t="n">
        <x:v>2</x:v>
      </x:c>
      <x:c r="D601" s="8" t="n">
        <x:v>1</x:v>
      </x:c>
      <x:c r="E601" s="8" t="n">
        <x:v>2</x:v>
      </x:c>
    </x:row>
    <x:row r="602" ht="23" customHeight="1">
      <x:c r="B602" s="8" t="str">
        <x:v>APP000199</x:v>
      </x:c>
      <x:c r="C602" s="8" t="n">
        <x:v>3</x:v>
      </x:c>
      <x:c r="D602" s="8" t="n">
        <x:v>0</x:v>
      </x:c>
      <x:c r="E602" s="8" t="n">
        <x:v>2</x:v>
      </x:c>
    </x:row>
    <x:row r="603" ht="23" customHeight="1">
      <x:c r="B603" s="8" t="str">
        <x:v>APP000200</x:v>
      </x:c>
      <x:c r="C603" s="8" t="n">
        <x:v>1</x:v>
      </x:c>
      <x:c r="D603" s="8" t="n">
        <x:v>1</x:v>
      </x:c>
      <x:c r="E603" s="8" t="n">
        <x:v>2</x:v>
      </x:c>
    </x:row>
    <x:row r="604" ht="23" customHeight="1">
      <x:c r="B604" s="8" t="str">
        <x:v>APP000200</x:v>
      </x:c>
      <x:c r="C604" s="8" t="n">
        <x:v>2</x:v>
      </x:c>
      <x:c r="D604" s="8" t="n">
        <x:v>1</x:v>
      </x:c>
      <x:c r="E604" s="8" t="n">
        <x:v>2</x:v>
      </x:c>
    </x:row>
    <x:row r="605" ht="23" customHeight="1">
      <x:c r="B605" s="8" t="str">
        <x:v>APP000200</x:v>
      </x:c>
      <x:c r="C605" s="8" t="n">
        <x:v>3</x:v>
      </x:c>
      <x:c r="D605" s="8" t="n">
        <x:v>1</x:v>
      </x:c>
      <x:c r="E605" s="8" t="n">
        <x:v>2</x:v>
      </x:c>
    </x:row>
    <x:row r="606" ht="23" customHeight="1">
      <x:c r="B606" s="8" t="str">
        <x:v>APP000201</x:v>
      </x:c>
      <x:c r="C606" s="8" t="n">
        <x:v>1</x:v>
      </x:c>
      <x:c r="D606" s="8" t="n">
        <x:v>1</x:v>
      </x:c>
      <x:c r="E606" s="8" t="n">
        <x:v>2</x:v>
      </x:c>
    </x:row>
    <x:row r="607" ht="23" customHeight="1">
      <x:c r="B607" s="8" t="str">
        <x:v>APP000201</x:v>
      </x:c>
      <x:c r="C607" s="8" t="n">
        <x:v>2</x:v>
      </x:c>
      <x:c r="D607" s="8" t="n">
        <x:v>1</x:v>
      </x:c>
      <x:c r="E607" s="8" t="n">
        <x:v>2</x:v>
      </x:c>
    </x:row>
    <x:row r="608" ht="23" customHeight="1">
      <x:c r="B608" s="8" t="str">
        <x:v>APP000201</x:v>
      </x:c>
      <x:c r="C608" s="8" t="n">
        <x:v>3</x:v>
      </x:c>
      <x:c r="D608" s="8" t="n">
        <x:v>1</x:v>
      </x:c>
      <x:c r="E608" s="8" t="n">
        <x:v>2</x:v>
      </x:c>
    </x:row>
    <x:row r="609" ht="23" customHeight="1">
      <x:c r="B609" s="8" t="str">
        <x:v>APP000202</x:v>
      </x:c>
      <x:c r="C609" s="8" t="n">
        <x:v>1</x:v>
      </x:c>
      <x:c r="D609" s="8" t="n">
        <x:v>1</x:v>
      </x:c>
      <x:c r="E609" s="8" t="n">
        <x:v>2</x:v>
      </x:c>
    </x:row>
    <x:row r="610" ht="23" customHeight="1">
      <x:c r="B610" s="8" t="str">
        <x:v>APP000202</x:v>
      </x:c>
      <x:c r="C610" s="8" t="n">
        <x:v>2</x:v>
      </x:c>
      <x:c r="D610" s="8" t="n">
        <x:v>1</x:v>
      </x:c>
      <x:c r="E610" s="8" t="n">
        <x:v>2</x:v>
      </x:c>
    </x:row>
    <x:row r="611" ht="23" customHeight="1">
      <x:c r="B611" s="8" t="str">
        <x:v>APP000202</x:v>
      </x:c>
      <x:c r="C611" s="8" t="n">
        <x:v>3</x:v>
      </x:c>
      <x:c r="D611" s="8" t="n">
        <x:v>1</x:v>
      </x:c>
      <x:c r="E611" s="8" t="n">
        <x:v>2</x:v>
      </x:c>
    </x:row>
    <x:row r="612" ht="23" customHeight="1">
      <x:c r="B612" s="8" t="str">
        <x:v>APP000203</x:v>
      </x:c>
      <x:c r="C612" s="8" t="n">
        <x:v>1</x:v>
      </x:c>
      <x:c r="D612" s="8" t="n">
        <x:v>1</x:v>
      </x:c>
      <x:c r="E612" s="8" t="n">
        <x:v>2</x:v>
      </x:c>
    </x:row>
    <x:row r="613" ht="23" customHeight="1">
      <x:c r="B613" s="8" t="str">
        <x:v>APP000203</x:v>
      </x:c>
      <x:c r="C613" s="8" t="n">
        <x:v>2</x:v>
      </x:c>
      <x:c r="D613" s="8" t="n">
        <x:v>1</x:v>
      </x:c>
      <x:c r="E613" s="8" t="n">
        <x:v>2</x:v>
      </x:c>
    </x:row>
    <x:row r="614" ht="23" customHeight="1">
      <x:c r="B614" s="8" t="str">
        <x:v>APP000203</x:v>
      </x:c>
      <x:c r="C614" s="8" t="n">
        <x:v>3</x:v>
      </x:c>
      <x:c r="D614" s="8" t="n">
        <x:v>1</x:v>
      </x:c>
      <x:c r="E614" s="8" t="n">
        <x:v>2</x:v>
      </x:c>
    </x:row>
    <x:row r="615" ht="23" customHeight="1">
      <x:c r="B615" s="8" t="str">
        <x:v>APP000204</x:v>
      </x:c>
      <x:c r="C615" s="8" t="n">
        <x:v>1</x:v>
      </x:c>
      <x:c r="D615" s="8" t="n">
        <x:v>1</x:v>
      </x:c>
      <x:c r="E615" s="8" t="n">
        <x:v>2</x:v>
      </x:c>
    </x:row>
    <x:row r="616" ht="23" customHeight="1">
      <x:c r="B616" s="8" t="str">
        <x:v>APP000204</x:v>
      </x:c>
      <x:c r="C616" s="8" t="n">
        <x:v>2</x:v>
      </x:c>
      <x:c r="D616" s="8" t="n">
        <x:v>1</x:v>
      </x:c>
      <x:c r="E616" s="8" t="n">
        <x:v>2</x:v>
      </x:c>
    </x:row>
    <x:row r="617" ht="23" customHeight="1">
      <x:c r="B617" s="8" t="str">
        <x:v>APP000204</x:v>
      </x:c>
      <x:c r="C617" s="8" t="n">
        <x:v>3</x:v>
      </x:c>
      <x:c r="D617" s="8" t="n">
        <x:v>1</x:v>
      </x:c>
      <x:c r="E617" s="8" t="n">
        <x:v>2</x:v>
      </x:c>
    </x:row>
    <x:row r="618" ht="23" customHeight="1">
      <x:c r="B618" s="8" t="str">
        <x:v>APP000205</x:v>
      </x:c>
      <x:c r="C618" s="8" t="n">
        <x:v>1</x:v>
      </x:c>
      <x:c r="D618" s="8" t="n">
        <x:v>1</x:v>
      </x:c>
      <x:c r="E618" s="8" t="n">
        <x:v>2</x:v>
      </x:c>
    </x:row>
    <x:row r="619" ht="23" customHeight="1">
      <x:c r="B619" s="8" t="str">
        <x:v>APP000205</x:v>
      </x:c>
      <x:c r="C619" s="8" t="n">
        <x:v>2</x:v>
      </x:c>
      <x:c r="D619" s="8" t="n">
        <x:v>1</x:v>
      </x:c>
      <x:c r="E619" s="8" t="n">
        <x:v>2</x:v>
      </x:c>
    </x:row>
    <x:row r="620" ht="23" customHeight="1">
      <x:c r="B620" s="8" t="str">
        <x:v>APP000205</x:v>
      </x:c>
      <x:c r="C620" s="8" t="n">
        <x:v>3</x:v>
      </x:c>
      <x:c r="D620" s="8" t="n">
        <x:v>1</x:v>
      </x:c>
      <x:c r="E620" s="8" t="n">
        <x:v>2</x:v>
      </x:c>
    </x:row>
    <x:row r="621" ht="23" customHeight="1">
      <x:c r="B621" s="8" t="str">
        <x:v>APP000206</x:v>
      </x:c>
      <x:c r="C621" s="8" t="n">
        <x:v>1</x:v>
      </x:c>
      <x:c r="D621" s="8" t="n">
        <x:v>1</x:v>
      </x:c>
      <x:c r="E621" s="8" t="n">
        <x:v>2</x:v>
      </x:c>
    </x:row>
    <x:row r="622" ht="23" customHeight="1">
      <x:c r="B622" s="8" t="str">
        <x:v>APP000206</x:v>
      </x:c>
      <x:c r="C622" s="8" t="n">
        <x:v>2</x:v>
      </x:c>
      <x:c r="D622" s="8" t="n">
        <x:v>1</x:v>
      </x:c>
      <x:c r="E622" s="8" t="n">
        <x:v>2</x:v>
      </x:c>
    </x:row>
    <x:row r="623" ht="23" customHeight="1">
      <x:c r="B623" s="8" t="str">
        <x:v>APP000206</x:v>
      </x:c>
      <x:c r="C623" s="8" t="n">
        <x:v>3</x:v>
      </x:c>
      <x:c r="D623" s="8" t="n">
        <x:v>1</x:v>
      </x:c>
      <x:c r="E623" s="8" t="n">
        <x:v>2</x:v>
      </x:c>
    </x:row>
    <x:row r="624" ht="23" customHeight="1">
      <x:c r="B624" s="8" t="str">
        <x:v>APP000207</x:v>
      </x:c>
      <x:c r="C624" s="8" t="n">
        <x:v>1</x:v>
      </x:c>
      <x:c r="D624" s="8" t="n">
        <x:v>1</x:v>
      </x:c>
      <x:c r="E624" s="8" t="n">
        <x:v>2</x:v>
      </x:c>
    </x:row>
    <x:row r="625" ht="23" customHeight="1">
      <x:c r="B625" s="8" t="str">
        <x:v>APP000207</x:v>
      </x:c>
      <x:c r="C625" s="8" t="n">
        <x:v>2</x:v>
      </x:c>
      <x:c r="D625" s="8" t="n">
        <x:v>1</x:v>
      </x:c>
      <x:c r="E625" s="8" t="n">
        <x:v>2</x:v>
      </x:c>
    </x:row>
    <x:row r="626" ht="23" customHeight="1">
      <x:c r="B626" s="8" t="str">
        <x:v>APP000207</x:v>
      </x:c>
      <x:c r="C626" s="8" t="n">
        <x:v>3</x:v>
      </x:c>
      <x:c r="D626" s="8" t="n">
        <x:v>1</x:v>
      </x:c>
      <x:c r="E626" s="8" t="n">
        <x:v>2</x:v>
      </x:c>
    </x:row>
    <x:row r="627" ht="23" customHeight="1">
      <x:c r="B627" s="8" t="str">
        <x:v>APP000208</x:v>
      </x:c>
      <x:c r="C627" s="8" t="n">
        <x:v>1</x:v>
      </x:c>
      <x:c r="D627" s="8" t="n">
        <x:v>1</x:v>
      </x:c>
      <x:c r="E627" s="8" t="n">
        <x:v>2</x:v>
      </x:c>
    </x:row>
    <x:row r="628" ht="23" customHeight="1">
      <x:c r="B628" s="8" t="str">
        <x:v>APP000208</x:v>
      </x:c>
      <x:c r="C628" s="8" t="n">
        <x:v>2</x:v>
      </x:c>
      <x:c r="D628" s="8" t="n">
        <x:v>1</x:v>
      </x:c>
      <x:c r="E628" s="8" t="n">
        <x:v>2</x:v>
      </x:c>
    </x:row>
    <x:row r="629" ht="23" customHeight="1">
      <x:c r="B629" s="8" t="str">
        <x:v>APP000208</x:v>
      </x:c>
      <x:c r="C629" s="8" t="n">
        <x:v>3</x:v>
      </x:c>
      <x:c r="D629" s="8" t="n">
        <x:v>0</x:v>
      </x:c>
      <x:c r="E629" s="8" t="n">
        <x:v>2</x:v>
      </x:c>
    </x:row>
    <x:row r="630" ht="23" customHeight="1">
      <x:c r="B630" s="8" t="str">
        <x:v>APP000209</x:v>
      </x:c>
      <x:c r="C630" s="8" t="n">
        <x:v>1</x:v>
      </x:c>
      <x:c r="D630" s="8" t="n">
        <x:v>1</x:v>
      </x:c>
      <x:c r="E630" s="8" t="n">
        <x:v>2</x:v>
      </x:c>
    </x:row>
    <x:row r="631" ht="23" customHeight="1">
      <x:c r="B631" s="8" t="str">
        <x:v>APP000209</x:v>
      </x:c>
      <x:c r="C631" s="8" t="n">
        <x:v>2</x:v>
      </x:c>
      <x:c r="D631" s="8" t="n">
        <x:v>0</x:v>
      </x:c>
      <x:c r="E631" s="8" t="n">
        <x:v>2</x:v>
      </x:c>
    </x:row>
    <x:row r="632" ht="23" customHeight="1">
      <x:c r="B632" s="8" t="str">
        <x:v>APP000209</x:v>
      </x:c>
      <x:c r="C632" s="8" t="n">
        <x:v>3</x:v>
      </x:c>
      <x:c r="D632" s="8" t="n">
        <x:v>1</x:v>
      </x:c>
      <x:c r="E632" s="8" t="n">
        <x:v>2</x:v>
      </x:c>
    </x:row>
    <x:row r="633" ht="23" customHeight="1">
      <x:c r="B633" s="8" t="str">
        <x:v>APP000210</x:v>
      </x:c>
      <x:c r="C633" s="8" t="n">
        <x:v>1</x:v>
      </x:c>
      <x:c r="D633" s="8" t="n">
        <x:v>1</x:v>
      </x:c>
      <x:c r="E633" s="8" t="n">
        <x:v>2</x:v>
      </x:c>
    </x:row>
    <x:row r="634" ht="23" customHeight="1">
      <x:c r="B634" s="8" t="str">
        <x:v>APP000210</x:v>
      </x:c>
      <x:c r="C634" s="8" t="n">
        <x:v>2</x:v>
      </x:c>
      <x:c r="D634" s="8" t="n">
        <x:v>1</x:v>
      </x:c>
      <x:c r="E634" s="8" t="n">
        <x:v>2</x:v>
      </x:c>
    </x:row>
    <x:row r="635" ht="23" customHeight="1">
      <x:c r="B635" s="8" t="str">
        <x:v>APP000210</x:v>
      </x:c>
      <x:c r="C635" s="8" t="n">
        <x:v>3</x:v>
      </x:c>
      <x:c r="D635" s="8" t="n">
        <x:v>1</x:v>
      </x:c>
      <x:c r="E635" s="8" t="n">
        <x:v>2</x:v>
      </x:c>
    </x:row>
    <x:row r="636" ht="23" customHeight="1">
      <x:c r="B636" s="8" t="str">
        <x:v>APP000211</x:v>
      </x:c>
      <x:c r="C636" s="8" t="n">
        <x:v>1</x:v>
      </x:c>
      <x:c r="D636" s="8" t="n">
        <x:v>1</x:v>
      </x:c>
      <x:c r="E636" s="8" t="n">
        <x:v>2</x:v>
      </x:c>
    </x:row>
    <x:row r="637" ht="23" customHeight="1">
      <x:c r="B637" s="8" t="str">
        <x:v>APP000211</x:v>
      </x:c>
      <x:c r="C637" s="8" t="n">
        <x:v>2</x:v>
      </x:c>
      <x:c r="D637" s="8" t="n">
        <x:v>1</x:v>
      </x:c>
      <x:c r="E637" s="8" t="n">
        <x:v>2</x:v>
      </x:c>
    </x:row>
    <x:row r="638" ht="23" customHeight="1">
      <x:c r="B638" s="8" t="str">
        <x:v>APP000211</x:v>
      </x:c>
      <x:c r="C638" s="8" t="n">
        <x:v>3</x:v>
      </x:c>
      <x:c r="D638" s="8" t="n">
        <x:v>1</x:v>
      </x:c>
      <x:c r="E638" s="8" t="n">
        <x:v>2</x:v>
      </x:c>
    </x:row>
    <x:row r="639" ht="23" customHeight="1">
      <x:c r="B639" s="8" t="str">
        <x:v>APP000212</x:v>
      </x:c>
      <x:c r="C639" s="8" t="n">
        <x:v>1</x:v>
      </x:c>
      <x:c r="D639" s="8" t="n">
        <x:v>1</x:v>
      </x:c>
      <x:c r="E639" s="8" t="n">
        <x:v>2</x:v>
      </x:c>
    </x:row>
    <x:row r="640" ht="23" customHeight="1">
      <x:c r="B640" s="8" t="str">
        <x:v>APP000212</x:v>
      </x:c>
      <x:c r="C640" s="8" t="n">
        <x:v>2</x:v>
      </x:c>
      <x:c r="D640" s="8" t="n">
        <x:v>1</x:v>
      </x:c>
      <x:c r="E640" s="8" t="n">
        <x:v>2</x:v>
      </x:c>
    </x:row>
    <x:row r="641" ht="23" customHeight="1">
      <x:c r="B641" s="8" t="str">
        <x:v>APP000212</x:v>
      </x:c>
      <x:c r="C641" s="8" t="n">
        <x:v>3</x:v>
      </x:c>
      <x:c r="D641" s="8" t="n">
        <x:v>1</x:v>
      </x:c>
      <x:c r="E641" s="8" t="n">
        <x:v>2</x:v>
      </x:c>
    </x:row>
    <x:row r="642" ht="23" customHeight="1">
      <x:c r="B642" s="8" t="str">
        <x:v>APP000213</x:v>
      </x:c>
      <x:c r="C642" s="8" t="n">
        <x:v>1</x:v>
      </x:c>
      <x:c r="D642" s="8" t="n">
        <x:v>1</x:v>
      </x:c>
      <x:c r="E642" s="8" t="n">
        <x:v>2</x:v>
      </x:c>
    </x:row>
    <x:row r="643" ht="23" customHeight="1">
      <x:c r="B643" s="8" t="str">
        <x:v>APP000213</x:v>
      </x:c>
      <x:c r="C643" s="8" t="n">
        <x:v>2</x:v>
      </x:c>
      <x:c r="D643" s="8" t="n">
        <x:v>1</x:v>
      </x:c>
      <x:c r="E643" s="8" t="n">
        <x:v>2</x:v>
      </x:c>
    </x:row>
    <x:row r="644" ht="23" customHeight="1">
      <x:c r="B644" s="8" t="str">
        <x:v>APP000213</x:v>
      </x:c>
      <x:c r="C644" s="8" t="n">
        <x:v>3</x:v>
      </x:c>
      <x:c r="D644" s="8" t="n">
        <x:v>1</x:v>
      </x:c>
      <x:c r="E644" s="8" t="n">
        <x:v>2</x:v>
      </x:c>
    </x:row>
    <x:row r="645" ht="23" customHeight="1">
      <x:c r="B645" s="8" t="str">
        <x:v>APP000214</x:v>
      </x:c>
      <x:c r="C645" s="8" t="n">
        <x:v>1</x:v>
      </x:c>
      <x:c r="D645" s="8" t="n">
        <x:v>1</x:v>
      </x:c>
      <x:c r="E645" s="8" t="n">
        <x:v>2</x:v>
      </x:c>
    </x:row>
    <x:row r="646" ht="23" customHeight="1">
      <x:c r="B646" s="8" t="str">
        <x:v>APP000214</x:v>
      </x:c>
      <x:c r="C646" s="8" t="n">
        <x:v>2</x:v>
      </x:c>
      <x:c r="D646" s="8" t="n">
        <x:v>1</x:v>
      </x:c>
      <x:c r="E646" s="8" t="n">
        <x:v>2</x:v>
      </x:c>
    </x:row>
    <x:row r="647" ht="23" customHeight="1">
      <x:c r="B647" s="8" t="str">
        <x:v>APP000214</x:v>
      </x:c>
      <x:c r="C647" s="8" t="n">
        <x:v>3</x:v>
      </x:c>
      <x:c r="D647" s="8" t="n">
        <x:v>1</x:v>
      </x:c>
      <x:c r="E647" s="8" t="n">
        <x:v>2</x:v>
      </x:c>
    </x:row>
    <x:row r="648" ht="23" customHeight="1">
      <x:c r="B648" s="8" t="str">
        <x:v>APP000215</x:v>
      </x:c>
      <x:c r="C648" s="8" t="n">
        <x:v>1</x:v>
      </x:c>
      <x:c r="D648" s="8" t="n">
        <x:v>1</x:v>
      </x:c>
      <x:c r="E648" s="8" t="n">
        <x:v>2</x:v>
      </x:c>
    </x:row>
    <x:row r="649" ht="23" customHeight="1">
      <x:c r="B649" s="8" t="str">
        <x:v>APP000215</x:v>
      </x:c>
      <x:c r="C649" s="8" t="n">
        <x:v>2</x:v>
      </x:c>
      <x:c r="D649" s="8" t="n">
        <x:v>1</x:v>
      </x:c>
      <x:c r="E649" s="8" t="n">
        <x:v>2</x:v>
      </x:c>
    </x:row>
    <x:row r="650" ht="23" customHeight="1">
      <x:c r="B650" s="8" t="str">
        <x:v>APP000215</x:v>
      </x:c>
      <x:c r="C650" s="8" t="n">
        <x:v>3</x:v>
      </x:c>
      <x:c r="D650" s="8" t="n">
        <x:v>1</x:v>
      </x:c>
      <x:c r="E650" s="8" t="n">
        <x:v>2</x:v>
      </x:c>
    </x:row>
    <x:row r="651" ht="23" customHeight="1">
      <x:c r="B651" s="8" t="str">
        <x:v>APP000216</x:v>
      </x:c>
      <x:c r="C651" s="8" t="n">
        <x:v>1</x:v>
      </x:c>
      <x:c r="D651" s="8" t="n">
        <x:v>1</x:v>
      </x:c>
      <x:c r="E651" s="8" t="n">
        <x:v>2</x:v>
      </x:c>
    </x:row>
    <x:row r="652" ht="23" customHeight="1">
      <x:c r="B652" s="8" t="str">
        <x:v>APP000216</x:v>
      </x:c>
      <x:c r="C652" s="8" t="n">
        <x:v>2</x:v>
      </x:c>
      <x:c r="D652" s="8" t="n">
        <x:v>1</x:v>
      </x:c>
      <x:c r="E652" s="8" t="n">
        <x:v>2</x:v>
      </x:c>
    </x:row>
    <x:row r="653" ht="23" customHeight="1">
      <x:c r="B653" s="8" t="str">
        <x:v>APP000216</x:v>
      </x:c>
      <x:c r="C653" s="8" t="n">
        <x:v>3</x:v>
      </x:c>
      <x:c r="D653" s="8" t="n">
        <x:v>1</x:v>
      </x:c>
      <x:c r="E653" s="8" t="n">
        <x:v>2</x:v>
      </x:c>
    </x:row>
    <x:row r="654" ht="23" customHeight="1">
      <x:c r="B654" s="8" t="str">
        <x:v>APP000217</x:v>
      </x:c>
      <x:c r="C654" s="8" t="n">
        <x:v>1</x:v>
      </x:c>
      <x:c r="D654" s="8" t="n">
        <x:v>1</x:v>
      </x:c>
      <x:c r="E654" s="8" t="n">
        <x:v>2</x:v>
      </x:c>
    </x:row>
    <x:row r="655" ht="23" customHeight="1">
      <x:c r="B655" s="8" t="str">
        <x:v>APP000217</x:v>
      </x:c>
      <x:c r="C655" s="8" t="n">
        <x:v>2</x:v>
      </x:c>
      <x:c r="D655" s="8" t="n">
        <x:v>1</x:v>
      </x:c>
      <x:c r="E655" s="8" t="n">
        <x:v>2</x:v>
      </x:c>
    </x:row>
    <x:row r="656" ht="23" customHeight="1">
      <x:c r="B656" s="8" t="str">
        <x:v>APP000217</x:v>
      </x:c>
      <x:c r="C656" s="8" t="n">
        <x:v>3</x:v>
      </x:c>
      <x:c r="D656" s="8" t="n">
        <x:v>0</x:v>
      </x:c>
      <x:c r="E656" s="8" t="n">
        <x:v>2</x:v>
      </x:c>
    </x:row>
    <x:row r="657" ht="23" customHeight="1">
      <x:c r="B657" s="8" t="str">
        <x:v>APP000218</x:v>
      </x:c>
      <x:c r="C657" s="8" t="n">
        <x:v>1</x:v>
      </x:c>
      <x:c r="D657" s="8" t="n">
        <x:v>1</x:v>
      </x:c>
      <x:c r="E657" s="8" t="n">
        <x:v>2</x:v>
      </x:c>
    </x:row>
    <x:row r="658" ht="23" customHeight="1">
      <x:c r="B658" s="8" t="str">
        <x:v>APP000218</x:v>
      </x:c>
      <x:c r="C658" s="8" t="n">
        <x:v>2</x:v>
      </x:c>
      <x:c r="D658" s="8" t="n">
        <x:v>1</x:v>
      </x:c>
      <x:c r="E658" s="8" t="n">
        <x:v>2</x:v>
      </x:c>
    </x:row>
    <x:row r="659" ht="23" customHeight="1">
      <x:c r="B659" s="8" t="str">
        <x:v>APP000218</x:v>
      </x:c>
      <x:c r="C659" s="8" t="n">
        <x:v>3</x:v>
      </x:c>
      <x:c r="D659" s="8" t="n">
        <x:v>1</x:v>
      </x:c>
      <x:c r="E659" s="8" t="n">
        <x:v>2</x:v>
      </x:c>
    </x:row>
    <x:row r="660" ht="23" customHeight="1">
      <x:c r="B660" s="8" t="str">
        <x:v>APP000219</x:v>
      </x:c>
      <x:c r="C660" s="8" t="n">
        <x:v>1</x:v>
      </x:c>
      <x:c r="D660" s="8" t="n">
        <x:v>1</x:v>
      </x:c>
      <x:c r="E660" s="8" t="n">
        <x:v>2</x:v>
      </x:c>
    </x:row>
    <x:row r="661" ht="23" customHeight="1">
      <x:c r="B661" s="8" t="str">
        <x:v>APP000219</x:v>
      </x:c>
      <x:c r="C661" s="8" t="n">
        <x:v>2</x:v>
      </x:c>
      <x:c r="D661" s="8" t="n">
        <x:v>1</x:v>
      </x:c>
      <x:c r="E661" s="8" t="n">
        <x:v>2</x:v>
      </x:c>
    </x:row>
    <x:row r="662" ht="23" customHeight="1">
      <x:c r="B662" s="8" t="str">
        <x:v>APP000219</x:v>
      </x:c>
      <x:c r="C662" s="8" t="n">
        <x:v>3</x:v>
      </x:c>
      <x:c r="D662" s="8" t="n">
        <x:v>1</x:v>
      </x:c>
      <x:c r="E662" s="8" t="n">
        <x:v>2</x:v>
      </x:c>
    </x:row>
    <x:row r="663" ht="23" customHeight="1">
      <x:c r="B663" s="8" t="str">
        <x:v>APP000220</x:v>
      </x:c>
      <x:c r="C663" s="8" t="n">
        <x:v>1</x:v>
      </x:c>
      <x:c r="D663" s="8" t="n">
        <x:v>1</x:v>
      </x:c>
      <x:c r="E663" s="8" t="n">
        <x:v>2</x:v>
      </x:c>
    </x:row>
    <x:row r="664" ht="23" customHeight="1">
      <x:c r="B664" s="8" t="str">
        <x:v>APP000220</x:v>
      </x:c>
      <x:c r="C664" s="8" t="n">
        <x:v>2</x:v>
      </x:c>
      <x:c r="D664" s="8" t="n">
        <x:v>1</x:v>
      </x:c>
      <x:c r="E664" s="8" t="n">
        <x:v>2</x:v>
      </x:c>
    </x:row>
    <x:row r="665" ht="23" customHeight="1">
      <x:c r="B665" s="8" t="str">
        <x:v>APP000220</x:v>
      </x:c>
      <x:c r="C665" s="8" t="n">
        <x:v>3</x:v>
      </x:c>
      <x:c r="D665" s="8" t="n">
        <x:v>1</x:v>
      </x:c>
      <x:c r="E665" s="8" t="n">
        <x:v>2</x:v>
      </x:c>
    </x:row>
    <x:row r="666" ht="23" customHeight="1">
      <x:c r="B666" s="8" t="str">
        <x:v>APP000221</x:v>
      </x:c>
      <x:c r="C666" s="8" t="n">
        <x:v>1</x:v>
      </x:c>
      <x:c r="D666" s="8" t="n">
        <x:v>1</x:v>
      </x:c>
      <x:c r="E666" s="8" t="n">
        <x:v>2</x:v>
      </x:c>
    </x:row>
    <x:row r="667" ht="23" customHeight="1">
      <x:c r="B667" s="8" t="str">
        <x:v>APP000221</x:v>
      </x:c>
      <x:c r="C667" s="8" t="n">
        <x:v>2</x:v>
      </x:c>
      <x:c r="D667" s="8" t="n">
        <x:v>1</x:v>
      </x:c>
      <x:c r="E667" s="8" t="n">
        <x:v>2</x:v>
      </x:c>
    </x:row>
    <x:row r="668" ht="23" customHeight="1">
      <x:c r="B668" s="8" t="str">
        <x:v>APP000221</x:v>
      </x:c>
      <x:c r="C668" s="8" t="n">
        <x:v>3</x:v>
      </x:c>
      <x:c r="D668" s="8" t="n">
        <x:v>1</x:v>
      </x:c>
      <x:c r="E668" s="8" t="n">
        <x:v>2</x:v>
      </x:c>
    </x:row>
    <x:row r="669" ht="23" customHeight="1">
      <x:c r="B669" s="8" t="str">
        <x:v>APP000222</x:v>
      </x:c>
      <x:c r="C669" s="8" t="n">
        <x:v>1</x:v>
      </x:c>
      <x:c r="D669" s="8" t="n">
        <x:v>1</x:v>
      </x:c>
      <x:c r="E669" s="8" t="n">
        <x:v>2</x:v>
      </x:c>
    </x:row>
    <x:row r="670" ht="23" customHeight="1">
      <x:c r="B670" s="8" t="str">
        <x:v>APP000222</x:v>
      </x:c>
      <x:c r="C670" s="8" t="n">
        <x:v>2</x:v>
      </x:c>
      <x:c r="D670" s="8" t="n">
        <x:v>0</x:v>
      </x:c>
      <x:c r="E670" s="8" t="n">
        <x:v>2</x:v>
      </x:c>
    </x:row>
    <x:row r="671" ht="23" customHeight="1">
      <x:c r="B671" s="8" t="str">
        <x:v>APP000222</x:v>
      </x:c>
      <x:c r="C671" s="8" t="n">
        <x:v>3</x:v>
      </x:c>
      <x:c r="D671" s="8" t="n">
        <x:v>1</x:v>
      </x:c>
      <x:c r="E671" s="8" t="n">
        <x:v>2</x:v>
      </x:c>
    </x:row>
    <x:row r="672" ht="23" customHeight="1">
      <x:c r="B672" s="8" t="str">
        <x:v>APP000223</x:v>
      </x:c>
      <x:c r="C672" s="8" t="n">
        <x:v>1</x:v>
      </x:c>
      <x:c r="D672" s="8" t="n">
        <x:v>1</x:v>
      </x:c>
      <x:c r="E672" s="8" t="n">
        <x:v>2</x:v>
      </x:c>
    </x:row>
    <x:row r="673" ht="23" customHeight="1">
      <x:c r="B673" s="8" t="str">
        <x:v>APP000223</x:v>
      </x:c>
      <x:c r="C673" s="8" t="n">
        <x:v>2</x:v>
      </x:c>
      <x:c r="D673" s="8" t="n">
        <x:v>1</x:v>
      </x:c>
      <x:c r="E673" s="8" t="n">
        <x:v>2</x:v>
      </x:c>
    </x:row>
    <x:row r="674" ht="23" customHeight="1">
      <x:c r="B674" s="8" t="str">
        <x:v>APP000223</x:v>
      </x:c>
      <x:c r="C674" s="8" t="n">
        <x:v>3</x:v>
      </x:c>
      <x:c r="D674" s="8" t="n">
        <x:v>1</x:v>
      </x:c>
      <x:c r="E674" s="8" t="n">
        <x:v>2</x:v>
      </x:c>
    </x:row>
    <x:row r="675" ht="23" customHeight="1">
      <x:c r="B675" s="8" t="str">
        <x:v>APP000224</x:v>
      </x:c>
      <x:c r="C675" s="8" t="n">
        <x:v>1</x:v>
      </x:c>
      <x:c r="D675" s="8" t="n">
        <x:v>1</x:v>
      </x:c>
      <x:c r="E675" s="8" t="n">
        <x:v>2</x:v>
      </x:c>
    </x:row>
    <x:row r="676" ht="23" customHeight="1">
      <x:c r="B676" s="8" t="str">
        <x:v>APP000224</x:v>
      </x:c>
      <x:c r="C676" s="8" t="n">
        <x:v>2</x:v>
      </x:c>
      <x:c r="D676" s="8" t="n">
        <x:v>1</x:v>
      </x:c>
      <x:c r="E676" s="8" t="n">
        <x:v>2</x:v>
      </x:c>
    </x:row>
    <x:row r="677" ht="23" customHeight="1">
      <x:c r="B677" s="8" t="str">
        <x:v>APP000224</x:v>
      </x:c>
      <x:c r="C677" s="8" t="n">
        <x:v>3</x:v>
      </x:c>
      <x:c r="D677" s="8" t="n">
        <x:v>1</x:v>
      </x:c>
      <x:c r="E677" s="8" t="n">
        <x:v>2</x:v>
      </x:c>
    </x:row>
    <x:row r="678" ht="23" customHeight="1">
      <x:c r="B678" s="8" t="str">
        <x:v>APP000225</x:v>
      </x:c>
      <x:c r="C678" s="8" t="n">
        <x:v>1</x:v>
      </x:c>
      <x:c r="D678" s="8" t="n">
        <x:v>1</x:v>
      </x:c>
      <x:c r="E678" s="8" t="n">
        <x:v>2</x:v>
      </x:c>
    </x:row>
    <x:row r="679" ht="23" customHeight="1">
      <x:c r="B679" s="8" t="str">
        <x:v>APP000225</x:v>
      </x:c>
      <x:c r="C679" s="8" t="n">
        <x:v>2</x:v>
      </x:c>
      <x:c r="D679" s="8" t="n">
        <x:v>1</x:v>
      </x:c>
      <x:c r="E679" s="8" t="n">
        <x:v>2</x:v>
      </x:c>
    </x:row>
    <x:row r="680" ht="23" customHeight="1">
      <x:c r="B680" s="8" t="str">
        <x:v>APP000225</x:v>
      </x:c>
      <x:c r="C680" s="8" t="n">
        <x:v>3</x:v>
      </x:c>
      <x:c r="D680" s="8" t="n">
        <x:v>1</x:v>
      </x:c>
      <x:c r="E680" s="8" t="n">
        <x:v>2</x:v>
      </x:c>
    </x:row>
    <x:row r="681" ht="23" customHeight="1">
      <x:c r="B681" s="8" t="str">
        <x:v>APP000226</x:v>
      </x:c>
      <x:c r="C681" s="8" t="n">
        <x:v>1</x:v>
      </x:c>
      <x:c r="D681" s="8" t="n">
        <x:v>1</x:v>
      </x:c>
      <x:c r="E681" s="8" t="n">
        <x:v>2</x:v>
      </x:c>
    </x:row>
    <x:row r="682" ht="23" customHeight="1">
      <x:c r="B682" s="8" t="str">
        <x:v>APP000226</x:v>
      </x:c>
      <x:c r="C682" s="8" t="n">
        <x:v>2</x:v>
      </x:c>
      <x:c r="D682" s="8" t="n">
        <x:v>1</x:v>
      </x:c>
      <x:c r="E682" s="8" t="n">
        <x:v>2</x:v>
      </x:c>
    </x:row>
    <x:row r="683" ht="23" customHeight="1">
      <x:c r="B683" s="8" t="str">
        <x:v>APP000226</x:v>
      </x:c>
      <x:c r="C683" s="8" t="n">
        <x:v>3</x:v>
      </x:c>
      <x:c r="D683" s="8" t="n">
        <x:v>0</x:v>
      </x:c>
      <x:c r="E683" s="8" t="n">
        <x:v>2</x:v>
      </x:c>
    </x:row>
    <x:row r="684" ht="23" customHeight="1">
      <x:c r="B684" s="8" t="str">
        <x:v>APP000227</x:v>
      </x:c>
      <x:c r="C684" s="8" t="n">
        <x:v>1</x:v>
      </x:c>
      <x:c r="D684" s="8" t="n">
        <x:v>1</x:v>
      </x:c>
      <x:c r="E684" s="8" t="n">
        <x:v>2</x:v>
      </x:c>
    </x:row>
    <x:row r="685" ht="23" customHeight="1">
      <x:c r="B685" s="8" t="str">
        <x:v>APP000227</x:v>
      </x:c>
      <x:c r="C685" s="8" t="n">
        <x:v>2</x:v>
      </x:c>
      <x:c r="D685" s="8" t="n">
        <x:v>1</x:v>
      </x:c>
      <x:c r="E685" s="8" t="n">
        <x:v>2</x:v>
      </x:c>
    </x:row>
    <x:row r="686" ht="23" customHeight="1">
      <x:c r="B686" s="8" t="str">
        <x:v>APP000227</x:v>
      </x:c>
      <x:c r="C686" s="8" t="n">
        <x:v>3</x:v>
      </x:c>
      <x:c r="D686" s="8" t="n">
        <x:v>1</x:v>
      </x:c>
      <x:c r="E686" s="8" t="n">
        <x:v>2</x:v>
      </x:c>
    </x:row>
    <x:row r="687" ht="23" customHeight="1">
      <x:c r="B687" s="8" t="str">
        <x:v>APP000228</x:v>
      </x:c>
      <x:c r="C687" s="8" t="n">
        <x:v>1</x:v>
      </x:c>
      <x:c r="D687" s="8" t="n">
        <x:v>1</x:v>
      </x:c>
      <x:c r="E687" s="8" t="n">
        <x:v>2</x:v>
      </x:c>
    </x:row>
    <x:row r="688" ht="23" customHeight="1">
      <x:c r="B688" s="8" t="str">
        <x:v>APP000228</x:v>
      </x:c>
      <x:c r="C688" s="8" t="n">
        <x:v>2</x:v>
      </x:c>
      <x:c r="D688" s="8" t="n">
        <x:v>1</x:v>
      </x:c>
      <x:c r="E688" s="8" t="n">
        <x:v>2</x:v>
      </x:c>
    </x:row>
    <x:row r="689" ht="23" customHeight="1">
      <x:c r="B689" s="8" t="str">
        <x:v>APP000228</x:v>
      </x:c>
      <x:c r="C689" s="8" t="n">
        <x:v>3</x:v>
      </x:c>
      <x:c r="D689" s="8" t="n">
        <x:v>1</x:v>
      </x:c>
      <x:c r="E689" s="8" t="n">
        <x:v>2</x:v>
      </x:c>
    </x:row>
    <x:row r="690" ht="23" customHeight="1">
      <x:c r="B690" s="8" t="str">
        <x:v>APP000229</x:v>
      </x:c>
      <x:c r="C690" s="8" t="n">
        <x:v>1</x:v>
      </x:c>
      <x:c r="D690" s="8" t="n">
        <x:v>1</x:v>
      </x:c>
      <x:c r="E690" s="8" t="n">
        <x:v>2</x:v>
      </x:c>
    </x:row>
    <x:row r="691" ht="23" customHeight="1">
      <x:c r="B691" s="8" t="str">
        <x:v>APP000229</x:v>
      </x:c>
      <x:c r="C691" s="8" t="n">
        <x:v>2</x:v>
      </x:c>
      <x:c r="D691" s="8" t="n">
        <x:v>1</x:v>
      </x:c>
      <x:c r="E691" s="8" t="n">
        <x:v>2</x:v>
      </x:c>
    </x:row>
    <x:row r="692" ht="23" customHeight="1">
      <x:c r="B692" s="8" t="str">
        <x:v>APP000229</x:v>
      </x:c>
      <x:c r="C692" s="8" t="n">
        <x:v>3</x:v>
      </x:c>
      <x:c r="D692" s="8" t="n">
        <x:v>1</x:v>
      </x:c>
      <x:c r="E692" s="8" t="n">
        <x:v>2</x:v>
      </x:c>
    </x:row>
    <x:row r="693" ht="23" customHeight="1">
      <x:c r="B693" s="8" t="str">
        <x:v>APP000230</x:v>
      </x:c>
      <x:c r="C693" s="8" t="n">
        <x:v>1</x:v>
      </x:c>
      <x:c r="D693" s="8" t="n">
        <x:v>1</x:v>
      </x:c>
      <x:c r="E693" s="8" t="n">
        <x:v>2</x:v>
      </x:c>
    </x:row>
    <x:row r="694" ht="23" customHeight="1">
      <x:c r="B694" s="8" t="str">
        <x:v>APP000230</x:v>
      </x:c>
      <x:c r="C694" s="8" t="n">
        <x:v>2</x:v>
      </x:c>
      <x:c r="D694" s="8" t="n">
        <x:v>1</x:v>
      </x:c>
      <x:c r="E694" s="8" t="n">
        <x:v>2</x:v>
      </x:c>
    </x:row>
    <x:row r="695" ht="23" customHeight="1">
      <x:c r="B695" s="8" t="str">
        <x:v>APP000230</x:v>
      </x:c>
      <x:c r="C695" s="8" t="n">
        <x:v>3</x:v>
      </x:c>
      <x:c r="D695" s="8" t="n">
        <x:v>1</x:v>
      </x:c>
      <x:c r="E695" s="8" t="n">
        <x:v>2</x:v>
      </x:c>
    </x:row>
    <x:row r="696" ht="23" customHeight="1">
      <x:c r="B696" s="8" t="str">
        <x:v>APP000231</x:v>
      </x:c>
      <x:c r="C696" s="8" t="n">
        <x:v>1</x:v>
      </x:c>
      <x:c r="D696" s="8" t="n">
        <x:v>1</x:v>
      </x:c>
      <x:c r="E696" s="8" t="n">
        <x:v>2</x:v>
      </x:c>
    </x:row>
    <x:row r="697" ht="23" customHeight="1">
      <x:c r="B697" s="8" t="str">
        <x:v>APP000231</x:v>
      </x:c>
      <x:c r="C697" s="8" t="n">
        <x:v>2</x:v>
      </x:c>
      <x:c r="D697" s="8" t="n">
        <x:v>1</x:v>
      </x:c>
      <x:c r="E697" s="8" t="n">
        <x:v>2</x:v>
      </x:c>
    </x:row>
    <x:row r="698" ht="23" customHeight="1">
      <x:c r="B698" s="8" t="str">
        <x:v>APP000231</x:v>
      </x:c>
      <x:c r="C698" s="8" t="n">
        <x:v>3</x:v>
      </x:c>
      <x:c r="D698" s="8" t="n">
        <x:v>1</x:v>
      </x:c>
      <x:c r="E698" s="8" t="n">
        <x:v>2</x:v>
      </x:c>
    </x:row>
    <x:row r="699" ht="23" customHeight="1">
      <x:c r="B699" s="8" t="str">
        <x:v>APP000232</x:v>
      </x:c>
      <x:c r="C699" s="8" t="n">
        <x:v>1</x:v>
      </x:c>
      <x:c r="D699" s="8" t="n">
        <x:v>1</x:v>
      </x:c>
      <x:c r="E699" s="8" t="n">
        <x:v>2</x:v>
      </x:c>
    </x:row>
    <x:row r="700" ht="23" customHeight="1">
      <x:c r="B700" s="8" t="str">
        <x:v>APP000232</x:v>
      </x:c>
      <x:c r="C700" s="8" t="n">
        <x:v>2</x:v>
      </x:c>
      <x:c r="D700" s="8" t="n">
        <x:v>1</x:v>
      </x:c>
      <x:c r="E700" s="8" t="n">
        <x:v>2</x:v>
      </x:c>
    </x:row>
    <x:row r="701" ht="23" customHeight="1">
      <x:c r="B701" s="8" t="str">
        <x:v>APP000232</x:v>
      </x:c>
      <x:c r="C701" s="8" t="n">
        <x:v>3</x:v>
      </x:c>
      <x:c r="D701" s="8" t="n">
        <x:v>1</x:v>
      </x:c>
      <x:c r="E701" s="8" t="n">
        <x:v>2</x:v>
      </x:c>
    </x:row>
    <x:row r="702" ht="23" customHeight="1">
      <x:c r="B702" s="8" t="str">
        <x:v>APP000233</x:v>
      </x:c>
      <x:c r="C702" s="8" t="n">
        <x:v>1</x:v>
      </x:c>
      <x:c r="D702" s="8" t="n">
        <x:v>1</x:v>
      </x:c>
      <x:c r="E702" s="8" t="n">
        <x:v>2</x:v>
      </x:c>
    </x:row>
    <x:row r="703" ht="23" customHeight="1">
      <x:c r="B703" s="8" t="str">
        <x:v>APP000233</x:v>
      </x:c>
      <x:c r="C703" s="8" t="n">
        <x:v>2</x:v>
      </x:c>
      <x:c r="D703" s="8" t="n">
        <x:v>1</x:v>
      </x:c>
      <x:c r="E703" s="8" t="n">
        <x:v>2</x:v>
      </x:c>
    </x:row>
    <x:row r="704" ht="23" customHeight="1">
      <x:c r="B704" s="8" t="str">
        <x:v>APP000233</x:v>
      </x:c>
      <x:c r="C704" s="8" t="n">
        <x:v>3</x:v>
      </x:c>
      <x:c r="D704" s="8" t="n">
        <x:v>1</x:v>
      </x:c>
      <x:c r="E704" s="8" t="n">
        <x:v>2</x:v>
      </x:c>
    </x:row>
    <x:row r="705" ht="23" customHeight="1">
      <x:c r="B705" s="8" t="str">
        <x:v>APP000234</x:v>
      </x:c>
      <x:c r="C705" s="8" t="n">
        <x:v>1</x:v>
      </x:c>
      <x:c r="D705" s="8" t="n">
        <x:v>1</x:v>
      </x:c>
      <x:c r="E705" s="8" t="n">
        <x:v>2</x:v>
      </x:c>
    </x:row>
    <x:row r="706" ht="23" customHeight="1">
      <x:c r="B706" s="8" t="str">
        <x:v>APP000234</x:v>
      </x:c>
      <x:c r="C706" s="8" t="n">
        <x:v>2</x:v>
      </x:c>
      <x:c r="D706" s="8" t="n">
        <x:v>1</x:v>
      </x:c>
      <x:c r="E706" s="8" t="n">
        <x:v>2</x:v>
      </x:c>
    </x:row>
    <x:row r="707" ht="23" customHeight="1">
      <x:c r="B707" s="8" t="str">
        <x:v>APP000234</x:v>
      </x:c>
      <x:c r="C707" s="8" t="n">
        <x:v>3</x:v>
      </x:c>
      <x:c r="D707" s="8" t="n">
        <x:v>1</x:v>
      </x:c>
      <x:c r="E707" s="8" t="n">
        <x:v>2</x:v>
      </x:c>
    </x:row>
    <x:row r="708" ht="23" customHeight="1">
      <x:c r="B708" s="8" t="str">
        <x:v>APP000235</x:v>
      </x:c>
      <x:c r="C708" s="8" t="n">
        <x:v>1</x:v>
      </x:c>
      <x:c r="D708" s="8" t="n">
        <x:v>1</x:v>
      </x:c>
      <x:c r="E708" s="8" t="n">
        <x:v>2</x:v>
      </x:c>
    </x:row>
    <x:row r="709" ht="23" customHeight="1">
      <x:c r="B709" s="8" t="str">
        <x:v>APP000235</x:v>
      </x:c>
      <x:c r="C709" s="8" t="n">
        <x:v>2</x:v>
      </x:c>
      <x:c r="D709" s="8" t="n">
        <x:v>0</x:v>
      </x:c>
      <x:c r="E709" s="8" t="n">
        <x:v>2</x:v>
      </x:c>
    </x:row>
    <x:row r="710" ht="23" customHeight="1">
      <x:c r="B710" s="8" t="str">
        <x:v>APP000235</x:v>
      </x:c>
      <x:c r="C710" s="8" t="n">
        <x:v>3</x:v>
      </x:c>
      <x:c r="D710" s="8" t="n">
        <x:v>0</x:v>
      </x:c>
      <x:c r="E710" s="8" t="n">
        <x:v>2</x:v>
      </x:c>
    </x:row>
    <x:row r="711" ht="23" customHeight="1">
      <x:c r="B711" s="8" t="str">
        <x:v>APP000236</x:v>
      </x:c>
      <x:c r="C711" s="8" t="n">
        <x:v>1</x:v>
      </x:c>
      <x:c r="D711" s="8" t="n">
        <x:v>1</x:v>
      </x:c>
      <x:c r="E711" s="8" t="n">
        <x:v>2</x:v>
      </x:c>
    </x:row>
    <x:row r="712" ht="23" customHeight="1">
      <x:c r="B712" s="8" t="str">
        <x:v>APP000236</x:v>
      </x:c>
      <x:c r="C712" s="8" t="n">
        <x:v>2</x:v>
      </x:c>
      <x:c r="D712" s="8" t="n">
        <x:v>1</x:v>
      </x:c>
      <x:c r="E712" s="8" t="n">
        <x:v>2</x:v>
      </x:c>
    </x:row>
    <x:row r="713" ht="23" customHeight="1">
      <x:c r="B713" s="8" t="str">
        <x:v>APP000236</x:v>
      </x:c>
      <x:c r="C713" s="8" t="n">
        <x:v>3</x:v>
      </x:c>
      <x:c r="D713" s="8" t="n">
        <x:v>1</x:v>
      </x:c>
      <x:c r="E713" s="8" t="n">
        <x:v>2</x:v>
      </x:c>
    </x:row>
    <x:row r="714" ht="23" customHeight="1">
      <x:c r="B714" s="8" t="str">
        <x:v>APP000237</x:v>
      </x:c>
      <x:c r="C714" s="8" t="n">
        <x:v>1</x:v>
      </x:c>
      <x:c r="D714" s="8" t="n">
        <x:v>1</x:v>
      </x:c>
      <x:c r="E714" s="8" t="n">
        <x:v>2</x:v>
      </x:c>
    </x:row>
    <x:row r="715" ht="23" customHeight="1">
      <x:c r="B715" s="8" t="str">
        <x:v>APP000237</x:v>
      </x:c>
      <x:c r="C715" s="8" t="n">
        <x:v>2</x:v>
      </x:c>
      <x:c r="D715" s="8" t="n">
        <x:v>1</x:v>
      </x:c>
      <x:c r="E715" s="8" t="n">
        <x:v>2</x:v>
      </x:c>
    </x:row>
    <x:row r="716" ht="23" customHeight="1">
      <x:c r="B716" s="8" t="str">
        <x:v>APP000237</x:v>
      </x:c>
      <x:c r="C716" s="8" t="n">
        <x:v>3</x:v>
      </x:c>
      <x:c r="D716" s="8" t="n">
        <x:v>1</x:v>
      </x:c>
      <x:c r="E716" s="8" t="n">
        <x:v>2</x:v>
      </x:c>
    </x:row>
    <x:row r="717" ht="23" customHeight="1">
      <x:c r="B717" s="8" t="str">
        <x:v>APP000238</x:v>
      </x:c>
      <x:c r="C717" s="8" t="n">
        <x:v>1</x:v>
      </x:c>
      <x:c r="D717" s="8" t="n">
        <x:v>1</x:v>
      </x:c>
      <x:c r="E717" s="8" t="n">
        <x:v>2</x:v>
      </x:c>
    </x:row>
    <x:row r="718" ht="23" customHeight="1">
      <x:c r="B718" s="8" t="str">
        <x:v>APP000238</x:v>
      </x:c>
      <x:c r="C718" s="8" t="n">
        <x:v>2</x:v>
      </x:c>
      <x:c r="D718" s="8" t="n">
        <x:v>1</x:v>
      </x:c>
      <x:c r="E718" s="8" t="n">
        <x:v>2</x:v>
      </x:c>
    </x:row>
    <x:row r="719" ht="23" customHeight="1">
      <x:c r="B719" s="8" t="str">
        <x:v>APP000238</x:v>
      </x:c>
      <x:c r="C719" s="8" t="n">
        <x:v>3</x:v>
      </x:c>
      <x:c r="D719" s="8" t="n">
        <x:v>1</x:v>
      </x:c>
      <x:c r="E719" s="8" t="n">
        <x:v>2</x:v>
      </x:c>
    </x:row>
    <x:row r="720" ht="23" customHeight="1">
      <x:c r="B720" s="8" t="str">
        <x:v>APP000239</x:v>
      </x:c>
      <x:c r="C720" s="8" t="n">
        <x:v>1</x:v>
      </x:c>
      <x:c r="D720" s="8" t="n">
        <x:v>1</x:v>
      </x:c>
      <x:c r="E720" s="8" t="n">
        <x:v>2</x:v>
      </x:c>
    </x:row>
    <x:row r="721" ht="23" customHeight="1">
      <x:c r="B721" s="8" t="str">
        <x:v>APP000239</x:v>
      </x:c>
      <x:c r="C721" s="8" t="n">
        <x:v>2</x:v>
      </x:c>
      <x:c r="D721" s="8" t="n">
        <x:v>1</x:v>
      </x:c>
      <x:c r="E721" s="8" t="n">
        <x:v>2</x:v>
      </x:c>
    </x:row>
    <x:row r="722" ht="23" customHeight="1">
      <x:c r="B722" s="8" t="str">
        <x:v>APP000239</x:v>
      </x:c>
      <x:c r="C722" s="8" t="n">
        <x:v>3</x:v>
      </x:c>
      <x:c r="D722" s="8" t="n">
        <x:v>1</x:v>
      </x:c>
      <x:c r="E722" s="8" t="n">
        <x:v>2</x:v>
      </x:c>
    </x:row>
    <x:row r="723" ht="23" customHeight="1">
      <x:c r="B723" s="8" t="str">
        <x:v>APP000240</x:v>
      </x:c>
      <x:c r="C723" s="8" t="n">
        <x:v>1</x:v>
      </x:c>
      <x:c r="D723" s="8" t="n">
        <x:v>1</x:v>
      </x:c>
      <x:c r="E723" s="8" t="n">
        <x:v>2</x:v>
      </x:c>
    </x:row>
    <x:row r="724" ht="23" customHeight="1">
      <x:c r="B724" s="8" t="str">
        <x:v>APP000240</x:v>
      </x:c>
      <x:c r="C724" s="8" t="n">
        <x:v>2</x:v>
      </x:c>
      <x:c r="D724" s="8" t="n">
        <x:v>1</x:v>
      </x:c>
      <x:c r="E724" s="8" t="n">
        <x:v>2</x:v>
      </x:c>
    </x:row>
    <x:row r="725" ht="23" customHeight="1">
      <x:c r="B725" s="8" t="str">
        <x:v>APP000240</x:v>
      </x:c>
      <x:c r="C725" s="8" t="n">
        <x:v>3</x:v>
      </x:c>
      <x:c r="D725" s="8" t="n">
        <x:v>1</x:v>
      </x:c>
      <x:c r="E725" s="8" t="n">
        <x:v>2</x:v>
      </x:c>
    </x:row>
    <x:row r="726" ht="23" customHeight="1">
      <x:c r="B726" s="8" t="str">
        <x:v>APP000241</x:v>
      </x:c>
      <x:c r="C726" s="8" t="n">
        <x:v>1</x:v>
      </x:c>
      <x:c r="D726" s="8" t="n">
        <x:v>1</x:v>
      </x:c>
      <x:c r="E726" s="8" t="n">
        <x:v>2</x:v>
      </x:c>
    </x:row>
    <x:row r="727" ht="23" customHeight="1">
      <x:c r="B727" s="8" t="str">
        <x:v>APP000241</x:v>
      </x:c>
      <x:c r="C727" s="8" t="n">
        <x:v>2</x:v>
      </x:c>
      <x:c r="D727" s="8" t="n">
        <x:v>1</x:v>
      </x:c>
      <x:c r="E727" s="8" t="n">
        <x:v>2</x:v>
      </x:c>
    </x:row>
    <x:row r="728" ht="23" customHeight="1">
      <x:c r="B728" s="8" t="str">
        <x:v>APP000241</x:v>
      </x:c>
      <x:c r="C728" s="8" t="n">
        <x:v>3</x:v>
      </x:c>
      <x:c r="D728" s="8" t="n">
        <x:v>1</x:v>
      </x:c>
      <x:c r="E728" s="8" t="n">
        <x:v>2</x:v>
      </x:c>
    </x:row>
    <x:row r="729" ht="23" customHeight="1">
      <x:c r="B729" s="8" t="str">
        <x:v>APP000242</x:v>
      </x:c>
      <x:c r="C729" s="8" t="n">
        <x:v>1</x:v>
      </x:c>
      <x:c r="D729" s="8" t="n">
        <x:v>1</x:v>
      </x:c>
      <x:c r="E729" s="8" t="n">
        <x:v>2</x:v>
      </x:c>
    </x:row>
    <x:row r="730" ht="23" customHeight="1">
      <x:c r="B730" s="8" t="str">
        <x:v>APP000242</x:v>
      </x:c>
      <x:c r="C730" s="8" t="n">
        <x:v>2</x:v>
      </x:c>
      <x:c r="D730" s="8" t="n">
        <x:v>1</x:v>
      </x:c>
      <x:c r="E730" s="8" t="n">
        <x:v>2</x:v>
      </x:c>
    </x:row>
    <x:row r="731" ht="23" customHeight="1">
      <x:c r="B731" s="8" t="str">
        <x:v>APP000242</x:v>
      </x:c>
      <x:c r="C731" s="8" t="n">
        <x:v>3</x:v>
      </x:c>
      <x:c r="D731" s="8" t="n">
        <x:v>1</x:v>
      </x:c>
      <x:c r="E731" s="8" t="n">
        <x:v>2</x:v>
      </x:c>
    </x:row>
    <x:row r="732" ht="23" customHeight="1">
      <x:c r="B732" s="8" t="str">
        <x:v>APP000243</x:v>
      </x:c>
      <x:c r="C732" s="8" t="n">
        <x:v>1</x:v>
      </x:c>
      <x:c r="D732" s="8" t="n">
        <x:v>1</x:v>
      </x:c>
      <x:c r="E732" s="8" t="n">
        <x:v>2</x:v>
      </x:c>
    </x:row>
    <x:row r="733" ht="23" customHeight="1">
      <x:c r="B733" s="8" t="str">
        <x:v>APP000243</x:v>
      </x:c>
      <x:c r="C733" s="8" t="n">
        <x:v>2</x:v>
      </x:c>
      <x:c r="D733" s="8" t="n">
        <x:v>1</x:v>
      </x:c>
      <x:c r="E733" s="8" t="n">
        <x:v>2</x:v>
      </x:c>
    </x:row>
    <x:row r="734" ht="23" customHeight="1">
      <x:c r="B734" s="8" t="str">
        <x:v>APP000243</x:v>
      </x:c>
      <x:c r="C734" s="8" t="n">
        <x:v>3</x:v>
      </x:c>
      <x:c r="D734" s="8" t="n">
        <x:v>1</x:v>
      </x:c>
      <x:c r="E734" s="8" t="n">
        <x:v>2</x:v>
      </x:c>
    </x:row>
    <x:row r="735" ht="23" customHeight="1">
      <x:c r="B735" s="8" t="str">
        <x:v>APP000244</x:v>
      </x:c>
      <x:c r="C735" s="8" t="n">
        <x:v>1</x:v>
      </x:c>
      <x:c r="D735" s="8" t="n">
        <x:v>1</x:v>
      </x:c>
      <x:c r="E735" s="8" t="n">
        <x:v>2</x:v>
      </x:c>
    </x:row>
    <x:row r="736" ht="23" customHeight="1">
      <x:c r="B736" s="8" t="str">
        <x:v>APP000244</x:v>
      </x:c>
      <x:c r="C736" s="8" t="n">
        <x:v>2</x:v>
      </x:c>
      <x:c r="D736" s="8" t="n">
        <x:v>1</x:v>
      </x:c>
      <x:c r="E736" s="8" t="n">
        <x:v>2</x:v>
      </x:c>
    </x:row>
    <x:row r="737" ht="23" customHeight="1">
      <x:c r="B737" s="8" t="str">
        <x:v>APP000244</x:v>
      </x:c>
      <x:c r="C737" s="8" t="n">
        <x:v>3</x:v>
      </x:c>
      <x:c r="D737" s="8" t="n">
        <x:v>0</x:v>
      </x:c>
      <x:c r="E737" s="8" t="n">
        <x:v>2</x:v>
      </x:c>
    </x:row>
    <x:row r="738" ht="23" customHeight="1">
      <x:c r="B738" s="8" t="str">
        <x:v>APP000245</x:v>
      </x:c>
      <x:c r="C738" s="8" t="n">
        <x:v>1</x:v>
      </x:c>
      <x:c r="D738" s="8" t="n">
        <x:v>1</x:v>
      </x:c>
      <x:c r="E738" s="8" t="n">
        <x:v>2</x:v>
      </x:c>
    </x:row>
    <x:row r="739" ht="23" customHeight="1">
      <x:c r="B739" s="8" t="str">
        <x:v>APP000245</x:v>
      </x:c>
      <x:c r="C739" s="8" t="n">
        <x:v>2</x:v>
      </x:c>
      <x:c r="D739" s="8" t="n">
        <x:v>1</x:v>
      </x:c>
      <x:c r="E739" s="8" t="n">
        <x:v>2</x:v>
      </x:c>
    </x:row>
    <x:row r="740" ht="23" customHeight="1">
      <x:c r="B740" s="8" t="str">
        <x:v>APP000245</x:v>
      </x:c>
      <x:c r="C740" s="8" t="n">
        <x:v>3</x:v>
      </x:c>
      <x:c r="D740" s="8" t="n">
        <x:v>1</x:v>
      </x:c>
      <x:c r="E740" s="8" t="n">
        <x:v>2</x:v>
      </x:c>
    </x:row>
    <x:row r="741" ht="23" customHeight="1">
      <x:c r="B741" s="8" t="str">
        <x:v>APP000246</x:v>
      </x:c>
      <x:c r="C741" s="8" t="n">
        <x:v>1</x:v>
      </x:c>
      <x:c r="D741" s="8" t="n">
        <x:v>1</x:v>
      </x:c>
      <x:c r="E741" s="8" t="n">
        <x:v>2</x:v>
      </x:c>
    </x:row>
    <x:row r="742" ht="23" customHeight="1">
      <x:c r="B742" s="8" t="str">
        <x:v>APP000246</x:v>
      </x:c>
      <x:c r="C742" s="8" t="n">
        <x:v>2</x:v>
      </x:c>
      <x:c r="D742" s="8" t="n">
        <x:v>1</x:v>
      </x:c>
      <x:c r="E742" s="8" t="n">
        <x:v>2</x:v>
      </x:c>
    </x:row>
    <x:row r="743" ht="23" customHeight="1">
      <x:c r="B743" s="8" t="str">
        <x:v>APP000246</x:v>
      </x:c>
      <x:c r="C743" s="8" t="n">
        <x:v>3</x:v>
      </x:c>
      <x:c r="D743" s="8" t="n">
        <x:v>1</x:v>
      </x:c>
      <x:c r="E743" s="8" t="n">
        <x:v>2</x:v>
      </x:c>
    </x:row>
    <x:row r="744" ht="23" customHeight="1">
      <x:c r="B744" s="8" t="str">
        <x:v>APP000247</x:v>
      </x:c>
      <x:c r="C744" s="8" t="n">
        <x:v>1</x:v>
      </x:c>
      <x:c r="D744" s="8" t="n">
        <x:v>1</x:v>
      </x:c>
      <x:c r="E744" s="8" t="n">
        <x:v>2</x:v>
      </x:c>
    </x:row>
    <x:row r="745" ht="23" customHeight="1">
      <x:c r="B745" s="8" t="str">
        <x:v>APP000247</x:v>
      </x:c>
      <x:c r="C745" s="8" t="n">
        <x:v>2</x:v>
      </x:c>
      <x:c r="D745" s="8" t="n">
        <x:v>1</x:v>
      </x:c>
      <x:c r="E745" s="8" t="n">
        <x:v>2</x:v>
      </x:c>
    </x:row>
    <x:row r="746" ht="23" customHeight="1">
      <x:c r="B746" s="8" t="str">
        <x:v>APP000247</x:v>
      </x:c>
      <x:c r="C746" s="8" t="n">
        <x:v>3</x:v>
      </x:c>
      <x:c r="D746" s="8" t="n">
        <x:v>1</x:v>
      </x:c>
      <x:c r="E746" s="8" t="n">
        <x:v>2</x:v>
      </x:c>
    </x:row>
    <x:row r="747" ht="23" customHeight="1">
      <x:c r="B747" s="8" t="str">
        <x:v>APP000248</x:v>
      </x:c>
      <x:c r="C747" s="8" t="n">
        <x:v>1</x:v>
      </x:c>
      <x:c r="D747" s="8" t="n">
        <x:v>1</x:v>
      </x:c>
      <x:c r="E747" s="8" t="n">
        <x:v>2</x:v>
      </x:c>
    </x:row>
    <x:row r="748" ht="23" customHeight="1">
      <x:c r="B748" s="8" t="str">
        <x:v>APP000248</x:v>
      </x:c>
      <x:c r="C748" s="8" t="n">
        <x:v>2</x:v>
      </x:c>
      <x:c r="D748" s="8" t="n">
        <x:v>0</x:v>
      </x:c>
      <x:c r="E748" s="8" t="n">
        <x:v>2</x:v>
      </x:c>
    </x:row>
    <x:row r="749" ht="23" customHeight="1">
      <x:c r="B749" s="8" t="str">
        <x:v>APP000248</x:v>
      </x:c>
      <x:c r="C749" s="8" t="n">
        <x:v>3</x:v>
      </x:c>
      <x:c r="D749" s="8" t="n">
        <x:v>1</x:v>
      </x:c>
      <x:c r="E749" s="8" t="n">
        <x:v>2</x:v>
      </x:c>
    </x:row>
    <x:row r="750" ht="23" customHeight="1">
      <x:c r="B750" s="8" t="str">
        <x:v>APP000249</x:v>
      </x:c>
      <x:c r="C750" s="8" t="n">
        <x:v>1</x:v>
      </x:c>
      <x:c r="D750" s="8" t="n">
        <x:v>1</x:v>
      </x:c>
      <x:c r="E750" s="8" t="n">
        <x:v>2</x:v>
      </x:c>
    </x:row>
    <x:row r="751" ht="23" customHeight="1">
      <x:c r="B751" s="8" t="str">
        <x:v>APP000249</x:v>
      </x:c>
      <x:c r="C751" s="8" t="n">
        <x:v>2</x:v>
      </x:c>
      <x:c r="D751" s="8" t="n">
        <x:v>1</x:v>
      </x:c>
      <x:c r="E751" s="8" t="n">
        <x:v>2</x:v>
      </x:c>
    </x:row>
    <x:row r="752" ht="23" customHeight="1">
      <x:c r="B752" s="8" t="str">
        <x:v>APP000249</x:v>
      </x:c>
      <x:c r="C752" s="8" t="n">
        <x:v>3</x:v>
      </x:c>
      <x:c r="D752" s="8" t="n">
        <x:v>1</x:v>
      </x:c>
      <x:c r="E752" s="8" t="n">
        <x:v>2</x:v>
      </x:c>
    </x:row>
    <x:row r="753" ht="23" customHeight="1">
      <x:c r="B753" s="8" t="str">
        <x:v>APP000250</x:v>
      </x:c>
      <x:c r="C753" s="8" t="n">
        <x:v>1</x:v>
      </x:c>
      <x:c r="D753" s="8" t="n">
        <x:v>1</x:v>
      </x:c>
      <x:c r="E753" s="8" t="n">
        <x:v>2</x:v>
      </x:c>
    </x:row>
    <x:row r="754" ht="23" customHeight="1">
      <x:c r="B754" s="8" t="str">
        <x:v>APP000250</x:v>
      </x:c>
      <x:c r="C754" s="8" t="n">
        <x:v>2</x:v>
      </x:c>
      <x:c r="D754" s="8" t="n">
        <x:v>1</x:v>
      </x:c>
      <x:c r="E754" s="8" t="n">
        <x:v>2</x:v>
      </x:c>
    </x:row>
    <x:row r="755" ht="23" customHeight="1">
      <x:c r="B755" s="8" t="str">
        <x:v>APP000250</x:v>
      </x:c>
      <x:c r="C755" s="8" t="n">
        <x:v>3</x:v>
      </x:c>
      <x:c r="D755" s="8" t="n">
        <x:v>1</x:v>
      </x:c>
      <x:c r="E755" s="8" t="n">
        <x:v>2</x:v>
      </x:c>
    </x:row>
    <x:row r="756" ht="23" customHeight="1">
      <x:c r="B756" s="8" t="str">
        <x:v>APP000251</x:v>
      </x:c>
      <x:c r="C756" s="8" t="n">
        <x:v>1</x:v>
      </x:c>
      <x:c r="D756" s="8" t="n">
        <x:v>1</x:v>
      </x:c>
      <x:c r="E756" s="8" t="n">
        <x:v>2</x:v>
      </x:c>
    </x:row>
    <x:row r="757" ht="23" customHeight="1">
      <x:c r="B757" s="8" t="str">
        <x:v>APP000251</x:v>
      </x:c>
      <x:c r="C757" s="8" t="n">
        <x:v>2</x:v>
      </x:c>
      <x:c r="D757" s="8" t="n">
        <x:v>1</x:v>
      </x:c>
      <x:c r="E757" s="8" t="n">
        <x:v>2</x:v>
      </x:c>
    </x:row>
    <x:row r="758" ht="23" customHeight="1">
      <x:c r="B758" s="8" t="str">
        <x:v>APP000251</x:v>
      </x:c>
      <x:c r="C758" s="8" t="n">
        <x:v>3</x:v>
      </x:c>
      <x:c r="D758" s="8" t="n">
        <x:v>1</x:v>
      </x:c>
      <x:c r="E758" s="8" t="n">
        <x:v>2</x:v>
      </x:c>
    </x:row>
    <x:row r="759" ht="23" customHeight="1">
      <x:c r="B759" s="8" t="str">
        <x:v>APP000252</x:v>
      </x:c>
      <x:c r="C759" s="8" t="n">
        <x:v>1</x:v>
      </x:c>
      <x:c r="D759" s="8" t="n">
        <x:v>1</x:v>
      </x:c>
      <x:c r="E759" s="8" t="n">
        <x:v>2</x:v>
      </x:c>
    </x:row>
    <x:row r="760" ht="23" customHeight="1">
      <x:c r="B760" s="8" t="str">
        <x:v>APP000252</x:v>
      </x:c>
      <x:c r="C760" s="8" t="n">
        <x:v>2</x:v>
      </x:c>
      <x:c r="D760" s="8" t="n">
        <x:v>1</x:v>
      </x:c>
      <x:c r="E760" s="8" t="n">
        <x:v>2</x:v>
      </x:c>
    </x:row>
    <x:row r="761" ht="23" customHeight="1">
      <x:c r="B761" s="8" t="str">
        <x:v>APP000252</x:v>
      </x:c>
      <x:c r="C761" s="8" t="n">
        <x:v>3</x:v>
      </x:c>
      <x:c r="D761" s="8" t="n">
        <x:v>1</x:v>
      </x:c>
      <x:c r="E761" s="8" t="n">
        <x:v>2</x:v>
      </x:c>
    </x:row>
    <x:row r="762" ht="23" customHeight="1">
      <x:c r="B762" s="8" t="str">
        <x:v>APP000253</x:v>
      </x:c>
      <x:c r="C762" s="8" t="n">
        <x:v>1</x:v>
      </x:c>
      <x:c r="D762" s="8" t="n">
        <x:v>1</x:v>
      </x:c>
      <x:c r="E762" s="8" t="n">
        <x:v>2</x:v>
      </x:c>
    </x:row>
    <x:row r="763" ht="23" customHeight="1">
      <x:c r="B763" s="8" t="str">
        <x:v>APP000253</x:v>
      </x:c>
      <x:c r="C763" s="8" t="n">
        <x:v>2</x:v>
      </x:c>
      <x:c r="D763" s="8" t="n">
        <x:v>1</x:v>
      </x:c>
      <x:c r="E763" s="8" t="n">
        <x:v>2</x:v>
      </x:c>
    </x:row>
    <x:row r="764" ht="23" customHeight="1">
      <x:c r="B764" s="8" t="str">
        <x:v>APP000253</x:v>
      </x:c>
      <x:c r="C764" s="8" t="n">
        <x:v>3</x:v>
      </x:c>
      <x:c r="D764" s="8" t="n">
        <x:v>0</x:v>
      </x:c>
      <x:c r="E764" s="8" t="n">
        <x:v>2</x:v>
      </x:c>
    </x:row>
    <x:row r="765" ht="23" customHeight="1">
      <x:c r="B765" s="8" t="str">
        <x:v>APP000254</x:v>
      </x:c>
      <x:c r="C765" s="8" t="n">
        <x:v>1</x:v>
      </x:c>
      <x:c r="D765" s="8" t="n">
        <x:v>1</x:v>
      </x:c>
      <x:c r="E765" s="8" t="n">
        <x:v>2</x:v>
      </x:c>
    </x:row>
    <x:row r="766" ht="23" customHeight="1">
      <x:c r="B766" s="8" t="str">
        <x:v>APP000254</x:v>
      </x:c>
      <x:c r="C766" s="8" t="n">
        <x:v>2</x:v>
      </x:c>
      <x:c r="D766" s="8" t="n">
        <x:v>1</x:v>
      </x:c>
      <x:c r="E766" s="8" t="n">
        <x:v>2</x:v>
      </x:c>
    </x:row>
    <x:row r="767" ht="23" customHeight="1">
      <x:c r="B767" s="8" t="str">
        <x:v>APP000254</x:v>
      </x:c>
      <x:c r="C767" s="8" t="n">
        <x:v>3</x:v>
      </x:c>
      <x:c r="D767" s="8" t="n">
        <x:v>1</x:v>
      </x:c>
      <x:c r="E767" s="8" t="n">
        <x:v>2</x:v>
      </x:c>
    </x:row>
    <x:row r="768" ht="23" customHeight="1">
      <x:c r="B768" s="8" t="str">
        <x:v>APP000255</x:v>
      </x:c>
      <x:c r="C768" s="8" t="n">
        <x:v>1</x:v>
      </x:c>
      <x:c r="D768" s="8" t="n">
        <x:v>1</x:v>
      </x:c>
      <x:c r="E768" s="8" t="n">
        <x:v>2</x:v>
      </x:c>
    </x:row>
    <x:row r="769" ht="23" customHeight="1">
      <x:c r="B769" s="8" t="str">
        <x:v>APP000255</x:v>
      </x:c>
      <x:c r="C769" s="8" t="n">
        <x:v>2</x:v>
      </x:c>
      <x:c r="D769" s="8" t="n">
        <x:v>1</x:v>
      </x:c>
      <x:c r="E769" s="8" t="n">
        <x:v>2</x:v>
      </x:c>
    </x:row>
    <x:row r="770" ht="23" customHeight="1">
      <x:c r="B770" s="8" t="str">
        <x:v>APP000255</x:v>
      </x:c>
      <x:c r="C770" s="8" t="n">
        <x:v>3</x:v>
      </x:c>
      <x:c r="D770" s="8" t="n">
        <x:v>1</x:v>
      </x:c>
      <x:c r="E770" s="8" t="n">
        <x:v>2</x:v>
      </x:c>
    </x:row>
    <x:row r="771" ht="23" customHeight="1">
      <x:c r="B771" s="8" t="str">
        <x:v>APP000256</x:v>
      </x:c>
      <x:c r="C771" s="8" t="n">
        <x:v>1</x:v>
      </x:c>
      <x:c r="D771" s="8" t="n">
        <x:v>1</x:v>
      </x:c>
      <x:c r="E771" s="8" t="n">
        <x:v>2</x:v>
      </x:c>
    </x:row>
    <x:row r="772" ht="23" customHeight="1">
      <x:c r="B772" s="8" t="str">
        <x:v>APP000256</x:v>
      </x:c>
      <x:c r="C772" s="8" t="n">
        <x:v>2</x:v>
      </x:c>
      <x:c r="D772" s="8" t="n">
        <x:v>1</x:v>
      </x:c>
      <x:c r="E772" s="8" t="n">
        <x:v>2</x:v>
      </x:c>
    </x:row>
    <x:row r="773" ht="23" customHeight="1">
      <x:c r="B773" s="8" t="str">
        <x:v>APP000256</x:v>
      </x:c>
      <x:c r="C773" s="8" t="n">
        <x:v>3</x:v>
      </x:c>
      <x:c r="D773" s="8" t="n">
        <x:v>1</x:v>
      </x:c>
      <x:c r="E773" s="8" t="n">
        <x:v>2</x:v>
      </x:c>
    </x:row>
    <x:row r="774" ht="23" customHeight="1">
      <x:c r="B774" s="8" t="str">
        <x:v>APP000257</x:v>
      </x:c>
      <x:c r="C774" s="8" t="n">
        <x:v>1</x:v>
      </x:c>
      <x:c r="D774" s="8" t="n">
        <x:v>1</x:v>
      </x:c>
      <x:c r="E774" s="8" t="n">
        <x:v>2</x:v>
      </x:c>
    </x:row>
    <x:row r="775" ht="23" customHeight="1">
      <x:c r="B775" s="8" t="str">
        <x:v>APP000257</x:v>
      </x:c>
      <x:c r="C775" s="8" t="n">
        <x:v>2</x:v>
      </x:c>
      <x:c r="D775" s="8" t="n">
        <x:v>1</x:v>
      </x:c>
      <x:c r="E775" s="8" t="n">
        <x:v>2</x:v>
      </x:c>
    </x:row>
    <x:row r="776" ht="23" customHeight="1">
      <x:c r="B776" s="8" t="str">
        <x:v>APP000257</x:v>
      </x:c>
      <x:c r="C776" s="8" t="n">
        <x:v>3</x:v>
      </x:c>
      <x:c r="D776" s="8" t="n">
        <x:v>1</x:v>
      </x:c>
      <x:c r="E776" s="8" t="n">
        <x:v>2</x:v>
      </x:c>
    </x:row>
    <x:row r="777" ht="23" customHeight="1">
      <x:c r="B777" s="8" t="str">
        <x:v>APP000258</x:v>
      </x:c>
      <x:c r="C777" s="8" t="n">
        <x:v>1</x:v>
      </x:c>
      <x:c r="D777" s="8" t="n">
        <x:v>1</x:v>
      </x:c>
      <x:c r="E777" s="8" t="n">
        <x:v>2</x:v>
      </x:c>
    </x:row>
    <x:row r="778" ht="23" customHeight="1">
      <x:c r="B778" s="8" t="str">
        <x:v>APP000258</x:v>
      </x:c>
      <x:c r="C778" s="8" t="n">
        <x:v>2</x:v>
      </x:c>
      <x:c r="D778" s="8" t="n">
        <x:v>1</x:v>
      </x:c>
      <x:c r="E778" s="8" t="n">
        <x:v>2</x:v>
      </x:c>
    </x:row>
    <x:row r="779" ht="23" customHeight="1">
      <x:c r="B779" s="8" t="str">
        <x:v>APP000258</x:v>
      </x:c>
      <x:c r="C779" s="8" t="n">
        <x:v>3</x:v>
      </x:c>
      <x:c r="D779" s="8" t="n">
        <x:v>1</x:v>
      </x:c>
      <x:c r="E779" s="8" t="n">
        <x:v>2</x:v>
      </x:c>
    </x:row>
    <x:row r="780" ht="23" customHeight="1">
      <x:c r="B780" s="8" t="str">
        <x:v>APP000259</x:v>
      </x:c>
      <x:c r="C780" s="8" t="n">
        <x:v>1</x:v>
      </x:c>
      <x:c r="D780" s="8" t="n">
        <x:v>1</x:v>
      </x:c>
      <x:c r="E780" s="8" t="n">
        <x:v>2</x:v>
      </x:c>
    </x:row>
    <x:row r="781" ht="23" customHeight="1">
      <x:c r="B781" s="8" t="str">
        <x:v>APP000259</x:v>
      </x:c>
      <x:c r="C781" s="8" t="n">
        <x:v>2</x:v>
      </x:c>
      <x:c r="D781" s="8" t="n">
        <x:v>1</x:v>
      </x:c>
      <x:c r="E781" s="8" t="n">
        <x:v>2</x:v>
      </x:c>
    </x:row>
    <x:row r="782" ht="23" customHeight="1">
      <x:c r="B782" s="8" t="str">
        <x:v>APP000259</x:v>
      </x:c>
      <x:c r="C782" s="8" t="n">
        <x:v>3</x:v>
      </x:c>
      <x:c r="D782" s="8" t="n">
        <x:v>1</x:v>
      </x:c>
      <x:c r="E782" s="8" t="n">
        <x:v>2</x:v>
      </x:c>
    </x:row>
    <x:row r="783" ht="23" customHeight="1">
      <x:c r="B783" s="8" t="str">
        <x:v>APP000260</x:v>
      </x:c>
      <x:c r="C783" s="8" t="n">
        <x:v>1</x:v>
      </x:c>
      <x:c r="D783" s="8" t="n">
        <x:v>1</x:v>
      </x:c>
      <x:c r="E783" s="8" t="n">
        <x:v>2</x:v>
      </x:c>
    </x:row>
    <x:row r="784" ht="23" customHeight="1">
      <x:c r="B784" s="8" t="str">
        <x:v>APP000260</x:v>
      </x:c>
      <x:c r="C784" s="8" t="n">
        <x:v>2</x:v>
      </x:c>
      <x:c r="D784" s="8" t="n">
        <x:v>1</x:v>
      </x:c>
      <x:c r="E784" s="8" t="n">
        <x:v>2</x:v>
      </x:c>
    </x:row>
    <x:row r="785" ht="23" customHeight="1">
      <x:c r="B785" s="8" t="str">
        <x:v>APP000260</x:v>
      </x:c>
      <x:c r="C785" s="8" t="n">
        <x:v>3</x:v>
      </x:c>
      <x:c r="D785" s="8" t="n">
        <x:v>1</x:v>
      </x:c>
      <x:c r="E785" s="8" t="n">
        <x:v>2</x:v>
      </x:c>
    </x:row>
    <x:row r="786" ht="23" customHeight="1">
      <x:c r="B786" s="8" t="str">
        <x:v>APP000261</x:v>
      </x:c>
      <x:c r="C786" s="8" t="n">
        <x:v>1</x:v>
      </x:c>
      <x:c r="D786" s="8" t="n">
        <x:v>1</x:v>
      </x:c>
      <x:c r="E786" s="8" t="n">
        <x:v>2</x:v>
      </x:c>
    </x:row>
    <x:row r="787" ht="23" customHeight="1">
      <x:c r="B787" s="8" t="str">
        <x:v>APP000261</x:v>
      </x:c>
      <x:c r="C787" s="8" t="n">
        <x:v>2</x:v>
      </x:c>
      <x:c r="D787" s="8" t="n">
        <x:v>0</x:v>
      </x:c>
      <x:c r="E787" s="8" t="n">
        <x:v>2</x:v>
      </x:c>
    </x:row>
    <x:row r="788" ht="23" customHeight="1">
      <x:c r="B788" s="8" t="str">
        <x:v>APP000261</x:v>
      </x:c>
      <x:c r="C788" s="8" t="n">
        <x:v>3</x:v>
      </x:c>
      <x:c r="D788" s="8" t="n">
        <x:v>1</x:v>
      </x:c>
      <x:c r="E788" s="8" t="n">
        <x:v>2</x:v>
      </x:c>
    </x:row>
    <x:row r="789" ht="23" customHeight="1">
      <x:c r="B789" s="8" t="str">
        <x:v>APP000262</x:v>
      </x:c>
      <x:c r="C789" s="8" t="n">
        <x:v>1</x:v>
      </x:c>
      <x:c r="D789" s="8" t="n">
        <x:v>1</x:v>
      </x:c>
      <x:c r="E789" s="8" t="n">
        <x:v>2</x:v>
      </x:c>
    </x:row>
    <x:row r="790" ht="23" customHeight="1">
      <x:c r="B790" s="8" t="str">
        <x:v>APP000262</x:v>
      </x:c>
      <x:c r="C790" s="8" t="n">
        <x:v>2</x:v>
      </x:c>
      <x:c r="D790" s="8" t="n">
        <x:v>1</x:v>
      </x:c>
      <x:c r="E790" s="8" t="n">
        <x:v>2</x:v>
      </x:c>
    </x:row>
    <x:row r="791" ht="23" customHeight="1">
      <x:c r="B791" s="8" t="str">
        <x:v>APP000262</x:v>
      </x:c>
      <x:c r="C791" s="8" t="n">
        <x:v>3</x:v>
      </x:c>
      <x:c r="D791" s="8" t="n">
        <x:v>0</x:v>
      </x:c>
      <x:c r="E791" s="8" t="n">
        <x:v>2</x:v>
      </x:c>
    </x:row>
    <x:row r="792" ht="23" customHeight="1">
      <x:c r="B792" s="8" t="str">
        <x:v>APP000263</x:v>
      </x:c>
      <x:c r="C792" s="8" t="n">
        <x:v>1</x:v>
      </x:c>
      <x:c r="D792" s="8" t="n">
        <x:v>1</x:v>
      </x:c>
      <x:c r="E792" s="8" t="n">
        <x:v>2</x:v>
      </x:c>
    </x:row>
    <x:row r="793" ht="23" customHeight="1">
      <x:c r="B793" s="8" t="str">
        <x:v>APP000263</x:v>
      </x:c>
      <x:c r="C793" s="8" t="n">
        <x:v>2</x:v>
      </x:c>
      <x:c r="D793" s="8" t="n">
        <x:v>1</x:v>
      </x:c>
      <x:c r="E793" s="8" t="n">
        <x:v>2</x:v>
      </x:c>
    </x:row>
    <x:row r="794" ht="23" customHeight="1">
      <x:c r="B794" s="8" t="str">
        <x:v>APP000263</x:v>
      </x:c>
      <x:c r="C794" s="8" t="n">
        <x:v>3</x:v>
      </x:c>
      <x:c r="D794" s="8" t="n">
        <x:v>1</x:v>
      </x:c>
      <x:c r="E794" s="8" t="n">
        <x:v>2</x:v>
      </x:c>
    </x:row>
    <x:row r="795" ht="23" customHeight="1">
      <x:c r="B795" s="8" t="str">
        <x:v>APP000264</x:v>
      </x:c>
      <x:c r="C795" s="8" t="n">
        <x:v>1</x:v>
      </x:c>
      <x:c r="D795" s="8" t="n">
        <x:v>1</x:v>
      </x:c>
      <x:c r="E795" s="8" t="n">
        <x:v>2</x:v>
      </x:c>
    </x:row>
    <x:row r="796" ht="23" customHeight="1">
      <x:c r="B796" s="8" t="str">
        <x:v>APP000264</x:v>
      </x:c>
      <x:c r="C796" s="8" t="n">
        <x:v>2</x:v>
      </x:c>
      <x:c r="D796" s="8" t="n">
        <x:v>1</x:v>
      </x:c>
      <x:c r="E796" s="8" t="n">
        <x:v>2</x:v>
      </x:c>
    </x:row>
    <x:row r="797" ht="23" customHeight="1">
      <x:c r="B797" s="8" t="str">
        <x:v>APP000264</x:v>
      </x:c>
      <x:c r="C797" s="8" t="n">
        <x:v>3</x:v>
      </x:c>
      <x:c r="D797" s="8" t="n">
        <x:v>1</x:v>
      </x:c>
      <x:c r="E797" s="8" t="n">
        <x:v>2</x:v>
      </x:c>
    </x:row>
    <x:row r="798" ht="23" customHeight="1">
      <x:c r="B798" s="8" t="str">
        <x:v>APP000265</x:v>
      </x:c>
      <x:c r="C798" s="8" t="n">
        <x:v>1</x:v>
      </x:c>
      <x:c r="D798" s="8" t="n">
        <x:v>1</x:v>
      </x:c>
      <x:c r="E798" s="8" t="n">
        <x:v>2</x:v>
      </x:c>
    </x:row>
    <x:row r="799" ht="23" customHeight="1">
      <x:c r="B799" s="8" t="str">
        <x:v>APP000265</x:v>
      </x:c>
      <x:c r="C799" s="8" t="n">
        <x:v>2</x:v>
      </x:c>
      <x:c r="D799" s="8" t="n">
        <x:v>1</x:v>
      </x:c>
      <x:c r="E799" s="8" t="n">
        <x:v>2</x:v>
      </x:c>
    </x:row>
    <x:row r="800" ht="23" customHeight="1">
      <x:c r="B800" s="8" t="str">
        <x:v>APP000265</x:v>
      </x:c>
      <x:c r="C800" s="8" t="n">
        <x:v>3</x:v>
      </x:c>
      <x:c r="D800" s="8" t="n">
        <x:v>1</x:v>
      </x:c>
      <x:c r="E800" s="8" t="n">
        <x:v>2</x:v>
      </x:c>
    </x:row>
    <x:row r="801" ht="23" customHeight="1">
      <x:c r="B801" s="8" t="str">
        <x:v>APP000266</x:v>
      </x:c>
      <x:c r="C801" s="8" t="n">
        <x:v>1</x:v>
      </x:c>
      <x:c r="D801" s="8" t="n">
        <x:v>1</x:v>
      </x:c>
      <x:c r="E801" s="8" t="n">
        <x:v>2</x:v>
      </x:c>
    </x:row>
    <x:row r="802" ht="23" customHeight="1">
      <x:c r="B802" s="8" t="str">
        <x:v>APP000266</x:v>
      </x:c>
      <x:c r="C802" s="8" t="n">
        <x:v>2</x:v>
      </x:c>
      <x:c r="D802" s="8" t="n">
        <x:v>1</x:v>
      </x:c>
      <x:c r="E802" s="8" t="n">
        <x:v>2</x:v>
      </x:c>
    </x:row>
    <x:row r="803" ht="23" customHeight="1">
      <x:c r="B803" s="8" t="str">
        <x:v>APP000266</x:v>
      </x:c>
      <x:c r="C803" s="8" t="n">
        <x:v>3</x:v>
      </x:c>
      <x:c r="D803" s="8" t="n">
        <x:v>1</x:v>
      </x:c>
      <x:c r="E803" s="8" t="n">
        <x:v>2</x:v>
      </x:c>
    </x:row>
    <x:row r="804" ht="23" customHeight="1">
      <x:c r="B804" s="8" t="str">
        <x:v>APP000267</x:v>
      </x:c>
      <x:c r="C804" s="8" t="n">
        <x:v>1</x:v>
      </x:c>
      <x:c r="D804" s="8" t="n">
        <x:v>1</x:v>
      </x:c>
      <x:c r="E804" s="8" t="n">
        <x:v>2</x:v>
      </x:c>
    </x:row>
    <x:row r="805" ht="23" customHeight="1">
      <x:c r="B805" s="8" t="str">
        <x:v>APP000267</x:v>
      </x:c>
      <x:c r="C805" s="8" t="n">
        <x:v>2</x:v>
      </x:c>
      <x:c r="D805" s="8" t="n">
        <x:v>1</x:v>
      </x:c>
      <x:c r="E805" s="8" t="n">
        <x:v>2</x:v>
      </x:c>
    </x:row>
    <x:row r="806" ht="23" customHeight="1">
      <x:c r="B806" s="8" t="str">
        <x:v>APP000267</x:v>
      </x:c>
      <x:c r="C806" s="8" t="n">
        <x:v>3</x:v>
      </x:c>
      <x:c r="D806" s="8" t="n">
        <x:v>1</x:v>
      </x:c>
      <x:c r="E806" s="8" t="n">
        <x:v>2</x:v>
      </x:c>
    </x:row>
    <x:row r="807" ht="23" customHeight="1">
      <x:c r="B807" s="8" t="str">
        <x:v>APP000268</x:v>
      </x:c>
      <x:c r="C807" s="8" t="n">
        <x:v>1</x:v>
      </x:c>
      <x:c r="D807" s="8" t="n">
        <x:v>1</x:v>
      </x:c>
      <x:c r="E807" s="8" t="n">
        <x:v>2</x:v>
      </x:c>
    </x:row>
    <x:row r="808" ht="23" customHeight="1">
      <x:c r="B808" s="8" t="str">
        <x:v>APP000268</x:v>
      </x:c>
      <x:c r="C808" s="8" t="n">
        <x:v>2</x:v>
      </x:c>
      <x:c r="D808" s="8" t="n">
        <x:v>1</x:v>
      </x:c>
      <x:c r="E808" s="8" t="n">
        <x:v>2</x:v>
      </x:c>
    </x:row>
    <x:row r="809" ht="23" customHeight="1">
      <x:c r="B809" s="8" t="str">
        <x:v>APP000268</x:v>
      </x:c>
      <x:c r="C809" s="8" t="n">
        <x:v>3</x:v>
      </x:c>
      <x:c r="D809" s="8" t="n">
        <x:v>1</x:v>
      </x:c>
      <x:c r="E809" s="8" t="n">
        <x:v>2</x:v>
      </x:c>
    </x:row>
    <x:row r="810" ht="23" customHeight="1">
      <x:c r="B810" s="8" t="str">
        <x:v>APP000269</x:v>
      </x:c>
      <x:c r="C810" s="8" t="n">
        <x:v>1</x:v>
      </x:c>
      <x:c r="D810" s="8" t="n">
        <x:v>1</x:v>
      </x:c>
      <x:c r="E810" s="8" t="n">
        <x:v>2</x:v>
      </x:c>
    </x:row>
    <x:row r="811" ht="23" customHeight="1">
      <x:c r="B811" s="8" t="str">
        <x:v>APP000269</x:v>
      </x:c>
      <x:c r="C811" s="8" t="n">
        <x:v>2</x:v>
      </x:c>
      <x:c r="D811" s="8" t="n">
        <x:v>1</x:v>
      </x:c>
      <x:c r="E811" s="8" t="n">
        <x:v>2</x:v>
      </x:c>
    </x:row>
    <x:row r="812" ht="23" customHeight="1">
      <x:c r="B812" s="8" t="str">
        <x:v>APP000269</x:v>
      </x:c>
      <x:c r="C812" s="8" t="n">
        <x:v>3</x:v>
      </x:c>
      <x:c r="D812" s="8" t="n">
        <x:v>1</x:v>
      </x:c>
      <x:c r="E812" s="8" t="n">
        <x:v>2</x:v>
      </x:c>
    </x:row>
    <x:row r="813" ht="23" customHeight="1">
      <x:c r="B813" s="8" t="str">
        <x:v>APP000270</x:v>
      </x:c>
      <x:c r="C813" s="8" t="n">
        <x:v>1</x:v>
      </x:c>
      <x:c r="D813" s="8" t="n">
        <x:v>1</x:v>
      </x:c>
      <x:c r="E813" s="8" t="n">
        <x:v>2</x:v>
      </x:c>
    </x:row>
    <x:row r="814" ht="23" customHeight="1">
      <x:c r="B814" s="8" t="str">
        <x:v>APP000270</x:v>
      </x:c>
      <x:c r="C814" s="8" t="n">
        <x:v>2</x:v>
      </x:c>
      <x:c r="D814" s="8" t="n">
        <x:v>1</x:v>
      </x:c>
      <x:c r="E814" s="8" t="n">
        <x:v>2</x:v>
      </x:c>
    </x:row>
    <x:row r="815" ht="23" customHeight="1">
      <x:c r="B815" s="8" t="str">
        <x:v>APP000270</x:v>
      </x:c>
      <x:c r="C815" s="8" t="n">
        <x:v>3</x:v>
      </x:c>
      <x:c r="D815" s="8" t="n">
        <x:v>1</x:v>
      </x:c>
      <x:c r="E815" s="8" t="n">
        <x:v>2</x:v>
      </x:c>
    </x:row>
    <x:row r="816" ht="23" customHeight="1">
      <x:c r="B816" s="8" t="str">
        <x:v>APP000271</x:v>
      </x:c>
      <x:c r="C816" s="8" t="n">
        <x:v>1</x:v>
      </x:c>
      <x:c r="D816" s="8" t="n">
        <x:v>1</x:v>
      </x:c>
      <x:c r="E816" s="8" t="n">
        <x:v>2</x:v>
      </x:c>
    </x:row>
    <x:row r="817" ht="23" customHeight="1">
      <x:c r="B817" s="8" t="str">
        <x:v>APP000271</x:v>
      </x:c>
      <x:c r="C817" s="8" t="n">
        <x:v>2</x:v>
      </x:c>
      <x:c r="D817" s="8" t="n">
        <x:v>1</x:v>
      </x:c>
      <x:c r="E817" s="8" t="n">
        <x:v>2</x:v>
      </x:c>
    </x:row>
    <x:row r="818" ht="23" customHeight="1">
      <x:c r="B818" s="8" t="str">
        <x:v>APP000271</x:v>
      </x:c>
      <x:c r="C818" s="8" t="n">
        <x:v>3</x:v>
      </x:c>
      <x:c r="D818" s="8" t="n">
        <x:v>0</x:v>
      </x:c>
      <x:c r="E818" s="8" t="n">
        <x:v>2</x:v>
      </x:c>
    </x:row>
    <x:row r="819" ht="23" customHeight="1">
      <x:c r="B819" s="8" t="str">
        <x:v>APP000272</x:v>
      </x:c>
      <x:c r="C819" s="8" t="n">
        <x:v>1</x:v>
      </x:c>
      <x:c r="D819" s="8" t="n">
        <x:v>1</x:v>
      </x:c>
      <x:c r="E819" s="8" t="n">
        <x:v>2</x:v>
      </x:c>
    </x:row>
    <x:row r="820" ht="23" customHeight="1">
      <x:c r="B820" s="8" t="str">
        <x:v>APP000272</x:v>
      </x:c>
      <x:c r="C820" s="8" t="n">
        <x:v>2</x:v>
      </x:c>
      <x:c r="D820" s="8" t="n">
        <x:v>1</x:v>
      </x:c>
      <x:c r="E820" s="8" t="n">
        <x:v>2</x:v>
      </x:c>
    </x:row>
    <x:row r="821" ht="23" customHeight="1">
      <x:c r="B821" s="8" t="str">
        <x:v>APP000272</x:v>
      </x:c>
      <x:c r="C821" s="8" t="n">
        <x:v>3</x:v>
      </x:c>
      <x:c r="D821" s="8" t="n">
        <x:v>1</x:v>
      </x:c>
      <x:c r="E821" s="8" t="n">
        <x:v>2</x:v>
      </x:c>
    </x:row>
    <x:row r="822" ht="23" customHeight="1">
      <x:c r="B822" s="8" t="str">
        <x:v>APP000273</x:v>
      </x:c>
      <x:c r="C822" s="8" t="n">
        <x:v>1</x:v>
      </x:c>
      <x:c r="D822" s="8" t="n">
        <x:v>1</x:v>
      </x:c>
      <x:c r="E822" s="8" t="n">
        <x:v>2</x:v>
      </x:c>
    </x:row>
    <x:row r="823" ht="23" customHeight="1">
      <x:c r="B823" s="8" t="str">
        <x:v>APP000273</x:v>
      </x:c>
      <x:c r="C823" s="8" t="n">
        <x:v>2</x:v>
      </x:c>
      <x:c r="D823" s="8" t="n">
        <x:v>1</x:v>
      </x:c>
      <x:c r="E823" s="8" t="n">
        <x:v>2</x:v>
      </x:c>
    </x:row>
    <x:row r="824" ht="23" customHeight="1">
      <x:c r="B824" s="8" t="str">
        <x:v>APP000273</x:v>
      </x:c>
      <x:c r="C824" s="8" t="n">
        <x:v>3</x:v>
      </x:c>
      <x:c r="D824" s="8" t="n">
        <x:v>1</x:v>
      </x:c>
      <x:c r="E824" s="8" t="n">
        <x:v>2</x:v>
      </x:c>
    </x:row>
    <x:row r="825" ht="23" customHeight="1">
      <x:c r="B825" s="8" t="str">
        <x:v>APP000274</x:v>
      </x:c>
      <x:c r="C825" s="8" t="n">
        <x:v>1</x:v>
      </x:c>
      <x:c r="D825" s="8" t="n">
        <x:v>1</x:v>
      </x:c>
      <x:c r="E825" s="8" t="n">
        <x:v>2</x:v>
      </x:c>
    </x:row>
    <x:row r="826" ht="23" customHeight="1">
      <x:c r="B826" s="8" t="str">
        <x:v>APP000274</x:v>
      </x:c>
      <x:c r="C826" s="8" t="n">
        <x:v>2</x:v>
      </x:c>
      <x:c r="D826" s="8" t="n">
        <x:v>0</x:v>
      </x:c>
      <x:c r="E826" s="8" t="n">
        <x:v>2</x:v>
      </x:c>
    </x:row>
    <x:row r="827" ht="23" customHeight="1">
      <x:c r="B827" s="8" t="str">
        <x:v>APP000274</x:v>
      </x:c>
      <x:c r="C827" s="8" t="n">
        <x:v>3</x:v>
      </x:c>
      <x:c r="D827" s="8" t="n">
        <x:v>1</x:v>
      </x:c>
      <x:c r="E827" s="8" t="n">
        <x:v>2</x:v>
      </x:c>
    </x:row>
    <x:row r="828" ht="23" customHeight="1">
      <x:c r="B828" s="8" t="str">
        <x:v>APP000275</x:v>
      </x:c>
      <x:c r="C828" s="8" t="n">
        <x:v>1</x:v>
      </x:c>
      <x:c r="D828" s="8" t="n">
        <x:v>1</x:v>
      </x:c>
      <x:c r="E828" s="8" t="n">
        <x:v>2</x:v>
      </x:c>
    </x:row>
    <x:row r="829" ht="23" customHeight="1">
      <x:c r="B829" s="8" t="str">
        <x:v>APP000275</x:v>
      </x:c>
      <x:c r="C829" s="8" t="n">
        <x:v>2</x:v>
      </x:c>
      <x:c r="D829" s="8" t="n">
        <x:v>1</x:v>
      </x:c>
      <x:c r="E829" s="8" t="n">
        <x:v>2</x:v>
      </x:c>
    </x:row>
    <x:row r="830" ht="23" customHeight="1">
      <x:c r="B830" s="8" t="str">
        <x:v>APP000275</x:v>
      </x:c>
      <x:c r="C830" s="8" t="n">
        <x:v>3</x:v>
      </x:c>
      <x:c r="D830" s="8" t="n">
        <x:v>1</x:v>
      </x:c>
      <x:c r="E830" s="8" t="n">
        <x:v>2</x:v>
      </x:c>
    </x:row>
    <x:row r="831" ht="23" customHeight="1">
      <x:c r="B831" s="8" t="str">
        <x:v>APP000276</x:v>
      </x:c>
      <x:c r="C831" s="8" t="n">
        <x:v>1</x:v>
      </x:c>
      <x:c r="D831" s="8" t="n">
        <x:v>1</x:v>
      </x:c>
      <x:c r="E831" s="8" t="n">
        <x:v>2</x:v>
      </x:c>
    </x:row>
    <x:row r="832" ht="23" customHeight="1">
      <x:c r="B832" s="8" t="str">
        <x:v>APP000276</x:v>
      </x:c>
      <x:c r="C832" s="8" t="n">
        <x:v>2</x:v>
      </x:c>
      <x:c r="D832" s="8" t="n">
        <x:v>1</x:v>
      </x:c>
      <x:c r="E832" s="8" t="n">
        <x:v>2</x:v>
      </x:c>
    </x:row>
    <x:row r="833" ht="23" customHeight="1">
      <x:c r="B833" s="8" t="str">
        <x:v>APP000276</x:v>
      </x:c>
      <x:c r="C833" s="8" t="n">
        <x:v>3</x:v>
      </x:c>
      <x:c r="D833" s="8" t="n">
        <x:v>1</x:v>
      </x:c>
      <x:c r="E833" s="8" t="n">
        <x:v>2</x:v>
      </x:c>
    </x:row>
    <x:row r="834" ht="23" customHeight="1">
      <x:c r="B834" s="8" t="str">
        <x:v>APP000277</x:v>
      </x:c>
      <x:c r="C834" s="8" t="n">
        <x:v>1</x:v>
      </x:c>
      <x:c r="D834" s="8" t="n">
        <x:v>1</x:v>
      </x:c>
      <x:c r="E834" s="8" t="n">
        <x:v>2</x:v>
      </x:c>
    </x:row>
    <x:row r="835" ht="23" customHeight="1">
      <x:c r="B835" s="8" t="str">
        <x:v>APP000277</x:v>
      </x:c>
      <x:c r="C835" s="8" t="n">
        <x:v>2</x:v>
      </x:c>
      <x:c r="D835" s="8" t="n">
        <x:v>1</x:v>
      </x:c>
      <x:c r="E835" s="8" t="n">
        <x:v>2</x:v>
      </x:c>
    </x:row>
    <x:row r="836" ht="23" customHeight="1">
      <x:c r="B836" s="8" t="str">
        <x:v>APP000277</x:v>
      </x:c>
      <x:c r="C836" s="8" t="n">
        <x:v>3</x:v>
      </x:c>
      <x:c r="D836" s="8" t="n">
        <x:v>1</x:v>
      </x:c>
      <x:c r="E836" s="8" t="n">
        <x:v>2</x:v>
      </x:c>
    </x:row>
    <x:row r="837" ht="23" customHeight="1">
      <x:c r="B837" s="8" t="str">
        <x:v>APP000278</x:v>
      </x:c>
      <x:c r="C837" s="8" t="n">
        <x:v>1</x:v>
      </x:c>
      <x:c r="D837" s="8" t="n">
        <x:v>1</x:v>
      </x:c>
      <x:c r="E837" s="8" t="n">
        <x:v>2</x:v>
      </x:c>
    </x:row>
    <x:row r="838" ht="23" customHeight="1">
      <x:c r="B838" s="8" t="str">
        <x:v>APP000278</x:v>
      </x:c>
      <x:c r="C838" s="8" t="n">
        <x:v>2</x:v>
      </x:c>
      <x:c r="D838" s="8" t="n">
        <x:v>1</x:v>
      </x:c>
      <x:c r="E838" s="8" t="n">
        <x:v>2</x:v>
      </x:c>
    </x:row>
    <x:row r="839" ht="23" customHeight="1">
      <x:c r="B839" s="8" t="str">
        <x:v>APP000278</x:v>
      </x:c>
      <x:c r="C839" s="8" t="n">
        <x:v>3</x:v>
      </x:c>
      <x:c r="D839" s="8" t="n">
        <x:v>1</x:v>
      </x:c>
      <x:c r="E839" s="8" t="n">
        <x:v>2</x:v>
      </x:c>
    </x:row>
    <x:row r="840" ht="23" customHeight="1">
      <x:c r="B840" s="8" t="str">
        <x:v>APP000279</x:v>
      </x:c>
      <x:c r="C840" s="8" t="n">
        <x:v>1</x:v>
      </x:c>
      <x:c r="D840" s="8" t="n">
        <x:v>1</x:v>
      </x:c>
      <x:c r="E840" s="8" t="n">
        <x:v>2</x:v>
      </x:c>
    </x:row>
    <x:row r="841" ht="23" customHeight="1">
      <x:c r="B841" s="8" t="str">
        <x:v>APP000279</x:v>
      </x:c>
      <x:c r="C841" s="8" t="n">
        <x:v>2</x:v>
      </x:c>
      <x:c r="D841" s="8" t="n">
        <x:v>1</x:v>
      </x:c>
      <x:c r="E841" s="8" t="n">
        <x:v>2</x:v>
      </x:c>
    </x:row>
    <x:row r="842" ht="23" customHeight="1">
      <x:c r="B842" s="8" t="str">
        <x:v>APP000279</x:v>
      </x:c>
      <x:c r="C842" s="8" t="n">
        <x:v>3</x:v>
      </x:c>
      <x:c r="D842" s="8" t="n">
        <x:v>1</x:v>
      </x:c>
      <x:c r="E842" s="8" t="n">
        <x:v>2</x:v>
      </x:c>
    </x:row>
    <x:row r="843" ht="23" customHeight="1">
      <x:c r="B843" s="8" t="str">
        <x:v>APP000280</x:v>
      </x:c>
      <x:c r="C843" s="8" t="n">
        <x:v>1</x:v>
      </x:c>
      <x:c r="D843" s="8" t="n">
        <x:v>1</x:v>
      </x:c>
      <x:c r="E843" s="8" t="n">
        <x:v>2</x:v>
      </x:c>
    </x:row>
    <x:row r="844" ht="23" customHeight="1">
      <x:c r="B844" s="8" t="str">
        <x:v>APP000280</x:v>
      </x:c>
      <x:c r="C844" s="8" t="n">
        <x:v>2</x:v>
      </x:c>
      <x:c r="D844" s="8" t="n">
        <x:v>1</x:v>
      </x:c>
      <x:c r="E844" s="8" t="n">
        <x:v>2</x:v>
      </x:c>
    </x:row>
    <x:row r="845" ht="23" customHeight="1">
      <x:c r="B845" s="8" t="str">
        <x:v>APP000280</x:v>
      </x:c>
      <x:c r="C845" s="8" t="n">
        <x:v>3</x:v>
      </x:c>
      <x:c r="D845" s="8" t="n">
        <x:v>0</x:v>
      </x:c>
      <x:c r="E845" s="8" t="n">
        <x:v>2</x:v>
      </x:c>
    </x:row>
    <x:row r="846" ht="23" customHeight="1">
      <x:c r="B846" s="8" t="str">
        <x:v>APP000281</x:v>
      </x:c>
      <x:c r="C846" s="8" t="n">
        <x:v>1</x:v>
      </x:c>
      <x:c r="D846" s="8" t="n">
        <x:v>1</x:v>
      </x:c>
      <x:c r="E846" s="8" t="n">
        <x:v>2</x:v>
      </x:c>
    </x:row>
    <x:row r="847" ht="23" customHeight="1">
      <x:c r="B847" s="8" t="str">
        <x:v>APP000281</x:v>
      </x:c>
      <x:c r="C847" s="8" t="n">
        <x:v>2</x:v>
      </x:c>
      <x:c r="D847" s="8" t="n">
        <x:v>1</x:v>
      </x:c>
      <x:c r="E847" s="8" t="n">
        <x:v>2</x:v>
      </x:c>
    </x:row>
    <x:row r="848" ht="23" customHeight="1">
      <x:c r="B848" s="8" t="str">
        <x:v>APP000281</x:v>
      </x:c>
      <x:c r="C848" s="8" t="n">
        <x:v>3</x:v>
      </x:c>
      <x:c r="D848" s="8" t="n">
        <x:v>1</x:v>
      </x:c>
      <x:c r="E848" s="8" t="n">
        <x:v>2</x:v>
      </x:c>
    </x:row>
    <x:row r="849" ht="23" customHeight="1">
      <x:c r="B849" s="8" t="str">
        <x:v>APP000282</x:v>
      </x:c>
      <x:c r="C849" s="8" t="n">
        <x:v>1</x:v>
      </x:c>
      <x:c r="D849" s="8" t="n">
        <x:v>1</x:v>
      </x:c>
      <x:c r="E849" s="8" t="n">
        <x:v>2</x:v>
      </x:c>
    </x:row>
    <x:row r="850" ht="23" customHeight="1">
      <x:c r="B850" s="8" t="str">
        <x:v>APP000282</x:v>
      </x:c>
      <x:c r="C850" s="8" t="n">
        <x:v>2</x:v>
      </x:c>
      <x:c r="D850" s="8" t="n">
        <x:v>1</x:v>
      </x:c>
      <x:c r="E850" s="8" t="n">
        <x:v>2</x:v>
      </x:c>
    </x:row>
    <x:row r="851" ht="23" customHeight="1">
      <x:c r="B851" s="8" t="str">
        <x:v>APP000282</x:v>
      </x:c>
      <x:c r="C851" s="8" t="n">
        <x:v>3</x:v>
      </x:c>
      <x:c r="D851" s="8" t="n">
        <x:v>1</x:v>
      </x:c>
      <x:c r="E851" s="8" t="n">
        <x:v>2</x:v>
      </x:c>
    </x:row>
    <x:row r="852" ht="23" customHeight="1">
      <x:c r="B852" s="8" t="str">
        <x:v>APP000283</x:v>
      </x:c>
      <x:c r="C852" s="8" t="n">
        <x:v>1</x:v>
      </x:c>
      <x:c r="D852" s="8" t="n">
        <x:v>1</x:v>
      </x:c>
      <x:c r="E852" s="8" t="n">
        <x:v>2</x:v>
      </x:c>
    </x:row>
    <x:row r="853" ht="23" customHeight="1">
      <x:c r="B853" s="8" t="str">
        <x:v>APP000283</x:v>
      </x:c>
      <x:c r="C853" s="8" t="n">
        <x:v>2</x:v>
      </x:c>
      <x:c r="D853" s="8" t="n">
        <x:v>1</x:v>
      </x:c>
      <x:c r="E853" s="8" t="n">
        <x:v>2</x:v>
      </x:c>
    </x:row>
    <x:row r="854" ht="23" customHeight="1">
      <x:c r="B854" s="8" t="str">
        <x:v>APP000283</x:v>
      </x:c>
      <x:c r="C854" s="8" t="n">
        <x:v>3</x:v>
      </x:c>
      <x:c r="D854" s="8" t="n">
        <x:v>1</x:v>
      </x:c>
      <x:c r="E854" s="8" t="n">
        <x:v>2</x:v>
      </x:c>
    </x:row>
    <x:row r="855" ht="23" customHeight="1">
      <x:c r="B855" s="8" t="str">
        <x:v>APP000284</x:v>
      </x:c>
      <x:c r="C855" s="8" t="n">
        <x:v>1</x:v>
      </x:c>
      <x:c r="D855" s="8" t="n">
        <x:v>1</x:v>
      </x:c>
      <x:c r="E855" s="8" t="n">
        <x:v>2</x:v>
      </x:c>
    </x:row>
    <x:row r="856" ht="23" customHeight="1">
      <x:c r="B856" s="8" t="str">
        <x:v>APP000284</x:v>
      </x:c>
      <x:c r="C856" s="8" t="n">
        <x:v>2</x:v>
      </x:c>
      <x:c r="D856" s="8" t="n">
        <x:v>1</x:v>
      </x:c>
      <x:c r="E856" s="8" t="n">
        <x:v>2</x:v>
      </x:c>
    </x:row>
    <x:row r="857" ht="23" customHeight="1">
      <x:c r="B857" s="8" t="str">
        <x:v>APP000284</x:v>
      </x:c>
      <x:c r="C857" s="8" t="n">
        <x:v>3</x:v>
      </x:c>
      <x:c r="D857" s="8" t="n">
        <x:v>1</x:v>
      </x:c>
      <x:c r="E857" s="8" t="n">
        <x:v>2</x:v>
      </x:c>
    </x:row>
    <x:row r="858" ht="23" customHeight="1">
      <x:c r="B858" s="8" t="str">
        <x:v>APP000285</x:v>
      </x:c>
      <x:c r="C858" s="8" t="n">
        <x:v>1</x:v>
      </x:c>
      <x:c r="D858" s="8" t="n">
        <x:v>1</x:v>
      </x:c>
      <x:c r="E858" s="8" t="n">
        <x:v>2</x:v>
      </x:c>
    </x:row>
    <x:row r="859" ht="23" customHeight="1">
      <x:c r="B859" s="8" t="str">
        <x:v>APP000285</x:v>
      </x:c>
      <x:c r="C859" s="8" t="n">
        <x:v>2</x:v>
      </x:c>
      <x:c r="D859" s="8" t="n">
        <x:v>1</x:v>
      </x:c>
      <x:c r="E859" s="8" t="n">
        <x:v>2</x:v>
      </x:c>
    </x:row>
    <x:row r="860" ht="23" customHeight="1">
      <x:c r="B860" s="8" t="str">
        <x:v>APP000285</x:v>
      </x:c>
      <x:c r="C860" s="8" t="n">
        <x:v>3</x:v>
      </x:c>
      <x:c r="D860" s="8" t="n">
        <x:v>1</x:v>
      </x:c>
      <x:c r="E860" s="8" t="n">
        <x:v>2</x:v>
      </x:c>
    </x:row>
    <x:row r="861" ht="23" customHeight="1">
      <x:c r="B861" s="8" t="str">
        <x:v>APP000286</x:v>
      </x:c>
      <x:c r="C861" s="8" t="n">
        <x:v>1</x:v>
      </x:c>
      <x:c r="D861" s="8" t="n">
        <x:v>1</x:v>
      </x:c>
      <x:c r="E861" s="8" t="n">
        <x:v>2</x:v>
      </x:c>
    </x:row>
    <x:row r="862" ht="23" customHeight="1">
      <x:c r="B862" s="8" t="str">
        <x:v>APP000286</x:v>
      </x:c>
      <x:c r="C862" s="8" t="n">
        <x:v>2</x:v>
      </x:c>
      <x:c r="D862" s="8" t="n">
        <x:v>1</x:v>
      </x:c>
      <x:c r="E862" s="8" t="n">
        <x:v>2</x:v>
      </x:c>
    </x:row>
    <x:row r="863" ht="23" customHeight="1">
      <x:c r="B863" s="8" t="str">
        <x:v>APP000286</x:v>
      </x:c>
      <x:c r="C863" s="8" t="n">
        <x:v>3</x:v>
      </x:c>
      <x:c r="D863" s="8" t="n">
        <x:v>1</x:v>
      </x:c>
      <x:c r="E863" s="8" t="n">
        <x:v>2</x:v>
      </x:c>
    </x:row>
    <x:row r="864" ht="23" customHeight="1">
      <x:c r="B864" s="8" t="str">
        <x:v>APP000287</x:v>
      </x:c>
      <x:c r="C864" s="8" t="n">
        <x:v>1</x:v>
      </x:c>
      <x:c r="D864" s="8" t="n">
        <x:v>1</x:v>
      </x:c>
      <x:c r="E864" s="8" t="n">
        <x:v>2</x:v>
      </x:c>
    </x:row>
    <x:row r="865" ht="23" customHeight="1">
      <x:c r="B865" s="8" t="str">
        <x:v>APP000287</x:v>
      </x:c>
      <x:c r="C865" s="8" t="n">
        <x:v>2</x:v>
      </x:c>
      <x:c r="D865" s="8" t="n">
        <x:v>0</x:v>
      </x:c>
      <x:c r="E865" s="8" t="n">
        <x:v>2</x:v>
      </x:c>
    </x:row>
    <x:row r="866" ht="23" customHeight="1">
      <x:c r="B866" s="8" t="str">
        <x:v>APP000287</x:v>
      </x:c>
      <x:c r="C866" s="8" t="n">
        <x:v>3</x:v>
      </x:c>
      <x:c r="D866" s="8" t="n">
        <x:v>1</x:v>
      </x:c>
      <x:c r="E866" s="8" t="n">
        <x:v>2</x:v>
      </x:c>
    </x:row>
    <x:row r="867" ht="23" customHeight="1">
      <x:c r="B867" s="8" t="str">
        <x:v>APP000288</x:v>
      </x:c>
      <x:c r="C867" s="8" t="n">
        <x:v>1</x:v>
      </x:c>
      <x:c r="D867" s="8" t="n">
        <x:v>1</x:v>
      </x:c>
      <x:c r="E867" s="8" t="n">
        <x:v>2</x:v>
      </x:c>
    </x:row>
    <x:row r="868" ht="23" customHeight="1">
      <x:c r="B868" s="8" t="str">
        <x:v>APP000288</x:v>
      </x:c>
      <x:c r="C868" s="8" t="n">
        <x:v>2</x:v>
      </x:c>
      <x:c r="D868" s="8" t="n">
        <x:v>1</x:v>
      </x:c>
      <x:c r="E868" s="8" t="n">
        <x:v>2</x:v>
      </x:c>
    </x:row>
    <x:row r="869" ht="23" customHeight="1">
      <x:c r="B869" s="8" t="str">
        <x:v>APP000288</x:v>
      </x:c>
      <x:c r="C869" s="8" t="n">
        <x:v>3</x:v>
      </x:c>
      <x:c r="D869" s="8" t="n">
        <x:v>1</x:v>
      </x:c>
      <x:c r="E869" s="8" t="n">
        <x:v>2</x:v>
      </x:c>
    </x:row>
    <x:row r="870" ht="23" customHeight="1">
      <x:c r="B870" s="8" t="str">
        <x:v>APP000289</x:v>
      </x:c>
      <x:c r="C870" s="8" t="n">
        <x:v>1</x:v>
      </x:c>
      <x:c r="D870" s="8" t="n">
        <x:v>1</x:v>
      </x:c>
      <x:c r="E870" s="8" t="n">
        <x:v>2</x:v>
      </x:c>
    </x:row>
    <x:row r="871" ht="23" customHeight="1">
      <x:c r="B871" s="8" t="str">
        <x:v>APP000289</x:v>
      </x:c>
      <x:c r="C871" s="8" t="n">
        <x:v>2</x:v>
      </x:c>
      <x:c r="D871" s="8" t="n">
        <x:v>1</x:v>
      </x:c>
      <x:c r="E871" s="8" t="n">
        <x:v>2</x:v>
      </x:c>
    </x:row>
    <x:row r="872" ht="23" customHeight="1">
      <x:c r="B872" s="8" t="str">
        <x:v>APP000289</x:v>
      </x:c>
      <x:c r="C872" s="8" t="n">
        <x:v>3</x:v>
      </x:c>
      <x:c r="D872" s="8" t="n">
        <x:v>0</x:v>
      </x:c>
      <x:c r="E872" s="8" t="n">
        <x:v>2</x:v>
      </x:c>
    </x:row>
    <x:row r="873" ht="23" customHeight="1">
      <x:c r="B873" s="8" t="str">
        <x:v>APP000290</x:v>
      </x:c>
      <x:c r="C873" s="8" t="n">
        <x:v>1</x:v>
      </x:c>
      <x:c r="D873" s="8" t="n">
        <x:v>1</x:v>
      </x:c>
      <x:c r="E873" s="8" t="n">
        <x:v>2</x:v>
      </x:c>
    </x:row>
    <x:row r="874" ht="23" customHeight="1">
      <x:c r="B874" s="8" t="str">
        <x:v>APP000290</x:v>
      </x:c>
      <x:c r="C874" s="8" t="n">
        <x:v>2</x:v>
      </x:c>
      <x:c r="D874" s="8" t="n">
        <x:v>1</x:v>
      </x:c>
      <x:c r="E874" s="8" t="n">
        <x:v>2</x:v>
      </x:c>
    </x:row>
    <x:row r="875" ht="23" customHeight="1">
      <x:c r="B875" s="8" t="str">
        <x:v>APP000290</x:v>
      </x:c>
      <x:c r="C875" s="8" t="n">
        <x:v>3</x:v>
      </x:c>
      <x:c r="D875" s="8" t="n">
        <x:v>1</x:v>
      </x:c>
      <x:c r="E875" s="8" t="n">
        <x:v>2</x:v>
      </x:c>
    </x:row>
    <x:row r="876" ht="23" customHeight="1">
      <x:c r="B876" s="8" t="str">
        <x:v>APP000291</x:v>
      </x:c>
      <x:c r="C876" s="8" t="n">
        <x:v>1</x:v>
      </x:c>
      <x:c r="D876" s="8" t="n">
        <x:v>1</x:v>
      </x:c>
      <x:c r="E876" s="8" t="n">
        <x:v>2</x:v>
      </x:c>
    </x:row>
    <x:row r="877" ht="23" customHeight="1">
      <x:c r="B877" s="8" t="str">
        <x:v>APP000291</x:v>
      </x:c>
      <x:c r="C877" s="8" t="n">
        <x:v>2</x:v>
      </x:c>
      <x:c r="D877" s="8" t="n">
        <x:v>1</x:v>
      </x:c>
      <x:c r="E877" s="8" t="n">
        <x:v>2</x:v>
      </x:c>
    </x:row>
    <x:row r="878" ht="23" customHeight="1">
      <x:c r="B878" s="8" t="str">
        <x:v>APP000291</x:v>
      </x:c>
      <x:c r="C878" s="8" t="n">
        <x:v>3</x:v>
      </x:c>
      <x:c r="D878" s="8" t="n">
        <x:v>1</x:v>
      </x:c>
      <x:c r="E878" s="8" t="n">
        <x:v>2</x:v>
      </x:c>
    </x:row>
    <x:row r="879" ht="23" customHeight="1">
      <x:c r="B879" s="8" t="str">
        <x:v>APP000292</x:v>
      </x:c>
      <x:c r="C879" s="8" t="n">
        <x:v>1</x:v>
      </x:c>
      <x:c r="D879" s="8" t="n">
        <x:v>1</x:v>
      </x:c>
      <x:c r="E879" s="8" t="n">
        <x:v>2</x:v>
      </x:c>
    </x:row>
    <x:row r="880" ht="23" customHeight="1">
      <x:c r="B880" s="8" t="str">
        <x:v>APP000292</x:v>
      </x:c>
      <x:c r="C880" s="8" t="n">
        <x:v>2</x:v>
      </x:c>
      <x:c r="D880" s="8" t="n">
        <x:v>1</x:v>
      </x:c>
      <x:c r="E880" s="8" t="n">
        <x:v>2</x:v>
      </x:c>
    </x:row>
    <x:row r="881" ht="23" customHeight="1">
      <x:c r="B881" s="8" t="str">
        <x:v>APP000292</x:v>
      </x:c>
      <x:c r="C881" s="8" t="n">
        <x:v>3</x:v>
      </x:c>
      <x:c r="D881" s="8" t="n">
        <x:v>1</x:v>
      </x:c>
      <x:c r="E881" s="8" t="n">
        <x:v>2</x:v>
      </x:c>
    </x:row>
    <x:row r="882" ht="23" customHeight="1">
      <x:c r="B882" s="8" t="str">
        <x:v>APP000293</x:v>
      </x:c>
      <x:c r="C882" s="8" t="n">
        <x:v>1</x:v>
      </x:c>
      <x:c r="D882" s="8" t="n">
        <x:v>1</x:v>
      </x:c>
      <x:c r="E882" s="8" t="n">
        <x:v>2</x:v>
      </x:c>
    </x:row>
    <x:row r="883" ht="23" customHeight="1">
      <x:c r="B883" s="8" t="str">
        <x:v>APP000293</x:v>
      </x:c>
      <x:c r="C883" s="8" t="n">
        <x:v>2</x:v>
      </x:c>
      <x:c r="D883" s="8" t="n">
        <x:v>1</x:v>
      </x:c>
      <x:c r="E883" s="8" t="n">
        <x:v>2</x:v>
      </x:c>
    </x:row>
    <x:row r="884" ht="23" customHeight="1">
      <x:c r="B884" s="8" t="str">
        <x:v>APP000293</x:v>
      </x:c>
      <x:c r="C884" s="8" t="n">
        <x:v>3</x:v>
      </x:c>
      <x:c r="D884" s="8" t="n">
        <x:v>1</x:v>
      </x:c>
      <x:c r="E884" s="8" t="n">
        <x:v>2</x:v>
      </x:c>
    </x:row>
    <x:row r="885" ht="23" customHeight="1">
      <x:c r="B885" s="8" t="str">
        <x:v>APP000294</x:v>
      </x:c>
      <x:c r="C885" s="8" t="n">
        <x:v>1</x:v>
      </x:c>
      <x:c r="D885" s="8" t="n">
        <x:v>1</x:v>
      </x:c>
      <x:c r="E885" s="8" t="n">
        <x:v>2</x:v>
      </x:c>
    </x:row>
    <x:row r="886" ht="23" customHeight="1">
      <x:c r="B886" s="8" t="str">
        <x:v>APP000294</x:v>
      </x:c>
      <x:c r="C886" s="8" t="n">
        <x:v>2</x:v>
      </x:c>
      <x:c r="D886" s="8" t="n">
        <x:v>1</x:v>
      </x:c>
      <x:c r="E886" s="8" t="n">
        <x:v>2</x:v>
      </x:c>
    </x:row>
    <x:row r="887" ht="23" customHeight="1">
      <x:c r="B887" s="8" t="str">
        <x:v>APP000294</x:v>
      </x:c>
      <x:c r="C887" s="8" t="n">
        <x:v>3</x:v>
      </x:c>
      <x:c r="D887" s="8" t="n">
        <x:v>1</x:v>
      </x:c>
      <x:c r="E887" s="8" t="n">
        <x:v>2</x:v>
      </x:c>
    </x:row>
    <x:row r="888" ht="23" customHeight="1">
      <x:c r="B888" s="8" t="str">
        <x:v>APP000295</x:v>
      </x:c>
      <x:c r="C888" s="8" t="n">
        <x:v>1</x:v>
      </x:c>
      <x:c r="D888" s="8" t="n">
        <x:v>1</x:v>
      </x:c>
      <x:c r="E888" s="8" t="n">
        <x:v>2</x:v>
      </x:c>
    </x:row>
    <x:row r="889" ht="23" customHeight="1">
      <x:c r="B889" s="8" t="str">
        <x:v>APP000295</x:v>
      </x:c>
      <x:c r="C889" s="8" t="n">
        <x:v>2</x:v>
      </x:c>
      <x:c r="D889" s="8" t="n">
        <x:v>1</x:v>
      </x:c>
      <x:c r="E889" s="8" t="n">
        <x:v>2</x:v>
      </x:c>
    </x:row>
    <x:row r="890" ht="23" customHeight="1">
      <x:c r="B890" s="8" t="str">
        <x:v>APP000295</x:v>
      </x:c>
      <x:c r="C890" s="8" t="n">
        <x:v>3</x:v>
      </x:c>
      <x:c r="D890" s="8" t="n">
        <x:v>1</x:v>
      </x:c>
      <x:c r="E890" s="8" t="n">
        <x:v>2</x:v>
      </x:c>
    </x:row>
    <x:row r="891" ht="23" customHeight="1">
      <x:c r="B891" s="8" t="str">
        <x:v>APP000296</x:v>
      </x:c>
      <x:c r="C891" s="8" t="n">
        <x:v>1</x:v>
      </x:c>
      <x:c r="D891" s="8" t="n">
        <x:v>1</x:v>
      </x:c>
      <x:c r="E891" s="8" t="n">
        <x:v>2</x:v>
      </x:c>
    </x:row>
    <x:row r="892" ht="23" customHeight="1">
      <x:c r="B892" s="8" t="str">
        <x:v>APP000296</x:v>
      </x:c>
      <x:c r="C892" s="8" t="n">
        <x:v>2</x:v>
      </x:c>
      <x:c r="D892" s="8" t="n">
        <x:v>1</x:v>
      </x:c>
      <x:c r="E892" s="8" t="n">
        <x:v>2</x:v>
      </x:c>
    </x:row>
    <x:row r="893" ht="23" customHeight="1">
      <x:c r="B893" s="8" t="str">
        <x:v>APP000296</x:v>
      </x:c>
      <x:c r="C893" s="8" t="n">
        <x:v>3</x:v>
      </x:c>
      <x:c r="D893" s="8" t="n">
        <x:v>1</x:v>
      </x:c>
      <x:c r="E893" s="8" t="n">
        <x:v>2</x:v>
      </x:c>
    </x:row>
    <x:row r="894" ht="23" customHeight="1">
      <x:c r="B894" s="8" t="str">
        <x:v>APP000297</x:v>
      </x:c>
      <x:c r="C894" s="8" t="n">
        <x:v>1</x:v>
      </x:c>
      <x:c r="D894" s="8" t="n">
        <x:v>1</x:v>
      </x:c>
      <x:c r="E894" s="8" t="n">
        <x:v>2</x:v>
      </x:c>
    </x:row>
    <x:row r="895" ht="23" customHeight="1">
      <x:c r="B895" s="8" t="str">
        <x:v>APP000297</x:v>
      </x:c>
      <x:c r="C895" s="8" t="n">
        <x:v>2</x:v>
      </x:c>
      <x:c r="D895" s="8" t="n">
        <x:v>1</x:v>
      </x:c>
      <x:c r="E895" s="8" t="n">
        <x:v>2</x:v>
      </x:c>
    </x:row>
    <x:row r="896" ht="23" customHeight="1">
      <x:c r="B896" s="8" t="str">
        <x:v>APP000297</x:v>
      </x:c>
      <x:c r="C896" s="8" t="n">
        <x:v>3</x:v>
      </x:c>
      <x:c r="D896" s="8" t="n">
        <x:v>1</x:v>
      </x:c>
      <x:c r="E896" s="8" t="n">
        <x:v>2</x:v>
      </x:c>
    </x:row>
    <x:row r="897" ht="23" customHeight="1">
      <x:c r="B897" s="8" t="str">
        <x:v>APP000298</x:v>
      </x:c>
      <x:c r="C897" s="8" t="n">
        <x:v>1</x:v>
      </x:c>
      <x:c r="D897" s="8" t="n">
        <x:v>1</x:v>
      </x:c>
      <x:c r="E897" s="8" t="n">
        <x:v>2</x:v>
      </x:c>
    </x:row>
    <x:row r="898" ht="23" customHeight="1">
      <x:c r="B898" s="8" t="str">
        <x:v>APP000298</x:v>
      </x:c>
      <x:c r="C898" s="8" t="n">
        <x:v>2</x:v>
      </x:c>
      <x:c r="D898" s="8" t="n">
        <x:v>1</x:v>
      </x:c>
      <x:c r="E898" s="8" t="n">
        <x:v>2</x:v>
      </x:c>
    </x:row>
    <x:row r="899" ht="23" customHeight="1">
      <x:c r="B899" s="8" t="str">
        <x:v>APP000298</x:v>
      </x:c>
      <x:c r="C899" s="8" t="n">
        <x:v>3</x:v>
      </x:c>
      <x:c r="D899" s="8" t="n">
        <x:v>0</x:v>
      </x:c>
      <x:c r="E899" s="8" t="n">
        <x:v>2</x:v>
      </x:c>
    </x:row>
    <x:row r="900" ht="23" customHeight="1">
      <x:c r="B900" s="8" t="str">
        <x:v>APP000299</x:v>
      </x:c>
      <x:c r="C900" s="8" t="n">
        <x:v>1</x:v>
      </x:c>
      <x:c r="D900" s="8" t="n">
        <x:v>1</x:v>
      </x:c>
      <x:c r="E900" s="8" t="n">
        <x:v>2</x:v>
      </x:c>
    </x:row>
    <x:row r="901" ht="23" customHeight="1">
      <x:c r="B901" s="8" t="str">
        <x:v>APP000299</x:v>
      </x:c>
      <x:c r="C901" s="8" t="n">
        <x:v>2</x:v>
      </x:c>
      <x:c r="D901" s="8" t="n">
        <x:v>1</x:v>
      </x:c>
      <x:c r="E901" s="8" t="n">
        <x:v>2</x:v>
      </x:c>
    </x:row>
    <x:row r="902" ht="23" customHeight="1">
      <x:c r="B902" s="8" t="str">
        <x:v>APP000299</x:v>
      </x:c>
      <x:c r="C902" s="8" t="n">
        <x:v>3</x:v>
      </x:c>
      <x:c r="D902" s="8" t="n">
        <x:v>1</x:v>
      </x:c>
      <x:c r="E902" s="8" t="n">
        <x:v>2</x:v>
      </x:c>
    </x:row>
    <x:row r="903" ht="23" customHeight="1">
      <x:c r="B903" s="8" t="str">
        <x:v>APP000300</x:v>
      </x:c>
      <x:c r="C903" s="8" t="n">
        <x:v>1</x:v>
      </x:c>
      <x:c r="D903" s="8" t="n">
        <x:v>1</x:v>
      </x:c>
      <x:c r="E903" s="8" t="n">
        <x:v>2</x:v>
      </x:c>
    </x:row>
    <x:row r="904" ht="23" customHeight="1">
      <x:c r="B904" s="8" t="str">
        <x:v>APP000300</x:v>
      </x:c>
      <x:c r="C904" s="8" t="n">
        <x:v>2</x:v>
      </x:c>
      <x:c r="D904" s="8" t="n">
        <x:v>0</x:v>
      </x:c>
      <x:c r="E904" s="8" t="n">
        <x:v>2</x:v>
      </x:c>
    </x:row>
    <x:row r="905" ht="23" customHeight="1">
      <x:c r="B905" s="8" t="str">
        <x:v>APP000300</x:v>
      </x:c>
      <x:c r="C905" s="8" t="n">
        <x:v>3</x:v>
      </x:c>
      <x:c r="D905" s="8" t="n">
        <x:v>1</x:v>
      </x:c>
      <x:c r="E905" s="8" t="n">
        <x:v>2</x:v>
      </x:c>
    </x:row>
    <x:row r="906" ht="23" customHeight="1">
      <x:c r="B906" s="8" t="str">
        <x:v>APP000301</x:v>
      </x:c>
      <x:c r="C906" s="8" t="n">
        <x:v>1</x:v>
      </x:c>
      <x:c r="D906" s="8" t="n">
        <x:v>1</x:v>
      </x:c>
      <x:c r="E906" s="8" t="n">
        <x:v>2</x:v>
      </x:c>
    </x:row>
    <x:row r="907" ht="23" customHeight="1">
      <x:c r="B907" s="8" t="str">
        <x:v>APP000301</x:v>
      </x:c>
      <x:c r="C907" s="8" t="n">
        <x:v>2</x:v>
      </x:c>
      <x:c r="D907" s="8" t="n">
        <x:v>1</x:v>
      </x:c>
      <x:c r="E907" s="8" t="n">
        <x:v>2</x:v>
      </x:c>
    </x:row>
    <x:row r="908" ht="23" customHeight="1">
      <x:c r="B908" s="8" t="str">
        <x:v>APP000301</x:v>
      </x:c>
      <x:c r="C908" s="8" t="n">
        <x:v>3</x:v>
      </x:c>
      <x:c r="D908" s="8" t="n">
        <x:v>1</x:v>
      </x:c>
      <x:c r="E908" s="8" t="n">
        <x:v>2</x:v>
      </x:c>
    </x:row>
    <x:row r="909" ht="23" customHeight="1">
      <x:c r="B909" s="8" t="str">
        <x:v>APP000302</x:v>
      </x:c>
      <x:c r="C909" s="8" t="n">
        <x:v>1</x:v>
      </x:c>
      <x:c r="D909" s="8" t="n">
        <x:v>1</x:v>
      </x:c>
      <x:c r="E909" s="8" t="n">
        <x:v>2</x:v>
      </x:c>
    </x:row>
    <x:row r="910" ht="23" customHeight="1">
      <x:c r="B910" s="8" t="str">
        <x:v>APP000302</x:v>
      </x:c>
      <x:c r="C910" s="8" t="n">
        <x:v>2</x:v>
      </x:c>
      <x:c r="D910" s="8" t="n">
        <x:v>1</x:v>
      </x:c>
      <x:c r="E910" s="8" t="n">
        <x:v>2</x:v>
      </x:c>
    </x:row>
    <x:row r="911" ht="23" customHeight="1">
      <x:c r="B911" s="8" t="str">
        <x:v>APP000302</x:v>
      </x:c>
      <x:c r="C911" s="8" t="n">
        <x:v>3</x:v>
      </x:c>
      <x:c r="D911" s="8" t="n">
        <x:v>1</x:v>
      </x:c>
      <x:c r="E911" s="8" t="n">
        <x:v>2</x:v>
      </x:c>
    </x:row>
    <x:row r="912" ht="23" customHeight="1">
      <x:c r="B912" s="8" t="str">
        <x:v>APP000303</x:v>
      </x:c>
      <x:c r="C912" s="8" t="n">
        <x:v>1</x:v>
      </x:c>
      <x:c r="D912" s="8" t="n">
        <x:v>1</x:v>
      </x:c>
      <x:c r="E912" s="8" t="n">
        <x:v>2</x:v>
      </x:c>
    </x:row>
    <x:row r="913" ht="23" customHeight="1">
      <x:c r="B913" s="8" t="str">
        <x:v>APP000303</x:v>
      </x:c>
      <x:c r="C913" s="8" t="n">
        <x:v>2</x:v>
      </x:c>
      <x:c r="D913" s="8" t="n">
        <x:v>1</x:v>
      </x:c>
      <x:c r="E913" s="8" t="n">
        <x:v>2</x:v>
      </x:c>
    </x:row>
    <x:row r="914" ht="23" customHeight="1">
      <x:c r="B914" s="8" t="str">
        <x:v>APP000303</x:v>
      </x:c>
      <x:c r="C914" s="8" t="n">
        <x:v>3</x:v>
      </x:c>
      <x:c r="D914" s="8" t="n">
        <x:v>1</x:v>
      </x:c>
      <x:c r="E914" s="8" t="n">
        <x:v>2</x:v>
      </x:c>
    </x:row>
    <x:row r="915" ht="23" customHeight="1">
      <x:c r="B915" s="8" t="str">
        <x:v>APP000304</x:v>
      </x:c>
      <x:c r="C915" s="8" t="n">
        <x:v>1</x:v>
      </x:c>
      <x:c r="D915" s="8" t="n">
        <x:v>1</x:v>
      </x:c>
      <x:c r="E915" s="8" t="n">
        <x:v>2</x:v>
      </x:c>
    </x:row>
    <x:row r="916" ht="23" customHeight="1">
      <x:c r="B916" s="8" t="str">
        <x:v>APP000304</x:v>
      </x:c>
      <x:c r="C916" s="8" t="n">
        <x:v>2</x:v>
      </x:c>
      <x:c r="D916" s="8" t="n">
        <x:v>1</x:v>
      </x:c>
      <x:c r="E916" s="8" t="n">
        <x:v>2</x:v>
      </x:c>
    </x:row>
    <x:row r="917" ht="23" customHeight="1">
      <x:c r="B917" s="8" t="str">
        <x:v>APP000304</x:v>
      </x:c>
      <x:c r="C917" s="8" t="n">
        <x:v>3</x:v>
      </x:c>
      <x:c r="D917" s="8" t="n">
        <x:v>1</x:v>
      </x:c>
      <x:c r="E917" s="8" t="n">
        <x:v>2</x:v>
      </x:c>
    </x:row>
    <x:row r="918" ht="23" customHeight="1">
      <x:c r="B918" s="8" t="str">
        <x:v>APP000305</x:v>
      </x:c>
      <x:c r="C918" s="8" t="n">
        <x:v>1</x:v>
      </x:c>
      <x:c r="D918" s="8" t="n">
        <x:v>1</x:v>
      </x:c>
      <x:c r="E918" s="8" t="n">
        <x:v>2</x:v>
      </x:c>
    </x:row>
    <x:row r="919" ht="23" customHeight="1">
      <x:c r="B919" s="8" t="str">
        <x:v>APP000305</x:v>
      </x:c>
      <x:c r="C919" s="8" t="n">
        <x:v>2</x:v>
      </x:c>
      <x:c r="D919" s="8" t="n">
        <x:v>1</x:v>
      </x:c>
      <x:c r="E919" s="8" t="n">
        <x:v>2</x:v>
      </x:c>
    </x:row>
    <x:row r="920" ht="23" customHeight="1">
      <x:c r="B920" s="8" t="str">
        <x:v>APP000305</x:v>
      </x:c>
      <x:c r="C920" s="8" t="n">
        <x:v>3</x:v>
      </x:c>
      <x:c r="D920" s="8" t="n">
        <x:v>1</x:v>
      </x:c>
      <x:c r="E920" s="8" t="n">
        <x:v>2</x:v>
      </x:c>
    </x:row>
    <x:row r="921" ht="23" customHeight="1">
      <x:c r="B921" s="8" t="str">
        <x:v>APP000306</x:v>
      </x:c>
      <x:c r="C921" s="8" t="n">
        <x:v>1</x:v>
      </x:c>
      <x:c r="D921" s="8" t="n">
        <x:v>1</x:v>
      </x:c>
      <x:c r="E921" s="8" t="n">
        <x:v>2</x:v>
      </x:c>
    </x:row>
    <x:row r="922" ht="23" customHeight="1">
      <x:c r="B922" s="8" t="str">
        <x:v>APP000306</x:v>
      </x:c>
      <x:c r="C922" s="8" t="n">
        <x:v>2</x:v>
      </x:c>
      <x:c r="D922" s="8" t="n">
        <x:v>1</x:v>
      </x:c>
      <x:c r="E922" s="8" t="n">
        <x:v>2</x:v>
      </x:c>
    </x:row>
    <x:row r="923" ht="23" customHeight="1">
      <x:c r="B923" s="8" t="str">
        <x:v>APP000306</x:v>
      </x:c>
      <x:c r="C923" s="8" t="n">
        <x:v>3</x:v>
      </x:c>
      <x:c r="D923" s="8" t="n">
        <x:v>1</x:v>
      </x:c>
      <x:c r="E923" s="8" t="n">
        <x:v>2</x:v>
      </x:c>
    </x:row>
    <x:row r="924" ht="23" customHeight="1">
      <x:c r="B924" s="8" t="str">
        <x:v>APP000307</x:v>
      </x:c>
      <x:c r="C924" s="8" t="n">
        <x:v>1</x:v>
      </x:c>
      <x:c r="D924" s="8" t="n">
        <x:v>1</x:v>
      </x:c>
      <x:c r="E924" s="8" t="n">
        <x:v>2</x:v>
      </x:c>
    </x:row>
    <x:row r="925" ht="23" customHeight="1">
      <x:c r="B925" s="8" t="str">
        <x:v>APP000307</x:v>
      </x:c>
      <x:c r="C925" s="8" t="n">
        <x:v>2</x:v>
      </x:c>
      <x:c r="D925" s="8" t="n">
        <x:v>1</x:v>
      </x:c>
      <x:c r="E925" s="8" t="n">
        <x:v>2</x:v>
      </x:c>
    </x:row>
    <x:row r="926" ht="23" customHeight="1">
      <x:c r="B926" s="8" t="str">
        <x:v>APP000307</x:v>
      </x:c>
      <x:c r="C926" s="8" t="n">
        <x:v>3</x:v>
      </x:c>
      <x:c r="D926" s="8" t="n">
        <x:v>0</x:v>
      </x:c>
      <x:c r="E926" s="8" t="n">
        <x:v>2</x:v>
      </x:c>
    </x:row>
    <x:row r="927" ht="23" customHeight="1">
      <x:c r="B927" s="8" t="str">
        <x:v>APP000308</x:v>
      </x:c>
      <x:c r="C927" s="8" t="n">
        <x:v>1</x:v>
      </x:c>
      <x:c r="D927" s="8" t="n">
        <x:v>1</x:v>
      </x:c>
      <x:c r="E927" s="8" t="n">
        <x:v>2</x:v>
      </x:c>
    </x:row>
    <x:row r="928" ht="23" customHeight="1">
      <x:c r="B928" s="8" t="str">
        <x:v>APP000308</x:v>
      </x:c>
      <x:c r="C928" s="8" t="n">
        <x:v>2</x:v>
      </x:c>
      <x:c r="D928" s="8" t="n">
        <x:v>1</x:v>
      </x:c>
      <x:c r="E928" s="8" t="n">
        <x:v>2</x:v>
      </x:c>
    </x:row>
    <x:row r="929" ht="23" customHeight="1">
      <x:c r="B929" s="8" t="str">
        <x:v>APP000308</x:v>
      </x:c>
      <x:c r="C929" s="8" t="n">
        <x:v>3</x:v>
      </x:c>
      <x:c r="D929" s="8" t="n">
        <x:v>1</x:v>
      </x:c>
      <x:c r="E929" s="8" t="n">
        <x:v>2</x:v>
      </x:c>
    </x:row>
    <x:row r="930" ht="23" customHeight="1">
      <x:c r="B930" s="8" t="str">
        <x:v>APP000309</x:v>
      </x:c>
      <x:c r="C930" s="8" t="n">
        <x:v>1</x:v>
      </x:c>
      <x:c r="D930" s="8" t="n">
        <x:v>1</x:v>
      </x:c>
      <x:c r="E930" s="8" t="n">
        <x:v>2</x:v>
      </x:c>
    </x:row>
    <x:row r="931" ht="23" customHeight="1">
      <x:c r="B931" s="8" t="str">
        <x:v>APP000309</x:v>
      </x:c>
      <x:c r="C931" s="8" t="n">
        <x:v>2</x:v>
      </x:c>
      <x:c r="D931" s="8" t="n">
        <x:v>1</x:v>
      </x:c>
      <x:c r="E931" s="8" t="n">
        <x:v>2</x:v>
      </x:c>
    </x:row>
    <x:row r="932" ht="23" customHeight="1">
      <x:c r="B932" s="8" t="str">
        <x:v>APP000309</x:v>
      </x:c>
      <x:c r="C932" s="8" t="n">
        <x:v>3</x:v>
      </x:c>
      <x:c r="D932" s="8" t="n">
        <x:v>1</x:v>
      </x:c>
      <x:c r="E932" s="8" t="n">
        <x:v>2</x:v>
      </x:c>
    </x:row>
    <x:row r="933" ht="23" customHeight="1">
      <x:c r="B933" s="8" t="str">
        <x:v>APP000310</x:v>
      </x:c>
      <x:c r="C933" s="8" t="n">
        <x:v>1</x:v>
      </x:c>
      <x:c r="D933" s="8" t="n">
        <x:v>1</x:v>
      </x:c>
      <x:c r="E933" s="8" t="n">
        <x:v>2</x:v>
      </x:c>
    </x:row>
    <x:row r="934" ht="23" customHeight="1">
      <x:c r="B934" s="8" t="str">
        <x:v>APP000310</x:v>
      </x:c>
      <x:c r="C934" s="8" t="n">
        <x:v>2</x:v>
      </x:c>
      <x:c r="D934" s="8" t="n">
        <x:v>1</x:v>
      </x:c>
      <x:c r="E934" s="8" t="n">
        <x:v>2</x:v>
      </x:c>
    </x:row>
    <x:row r="935" ht="23" customHeight="1">
      <x:c r="B935" s="8" t="str">
        <x:v>APP000310</x:v>
      </x:c>
      <x:c r="C935" s="8" t="n">
        <x:v>3</x:v>
      </x:c>
      <x:c r="D935" s="8" t="n">
        <x:v>1</x:v>
      </x:c>
      <x:c r="E935" s="8" t="n">
        <x:v>2</x:v>
      </x:c>
    </x:row>
    <x:row r="936" ht="23" customHeight="1">
      <x:c r="B936" s="8" t="str">
        <x:v>APP000311</x:v>
      </x:c>
      <x:c r="C936" s="8" t="n">
        <x:v>1</x:v>
      </x:c>
      <x:c r="D936" s="8" t="n">
        <x:v>1</x:v>
      </x:c>
      <x:c r="E936" s="8" t="n">
        <x:v>2</x:v>
      </x:c>
    </x:row>
    <x:row r="937" ht="23" customHeight="1">
      <x:c r="B937" s="8" t="str">
        <x:v>APP000311</x:v>
      </x:c>
      <x:c r="C937" s="8" t="n">
        <x:v>2</x:v>
      </x:c>
      <x:c r="D937" s="8" t="n">
        <x:v>1</x:v>
      </x:c>
      <x:c r="E937" s="8" t="n">
        <x:v>2</x:v>
      </x:c>
    </x:row>
    <x:row r="938" ht="23" customHeight="1">
      <x:c r="B938" s="8" t="str">
        <x:v>APP000311</x:v>
      </x:c>
      <x:c r="C938" s="8" t="n">
        <x:v>3</x:v>
      </x:c>
      <x:c r="D938" s="8" t="n">
        <x:v>1</x:v>
      </x:c>
      <x:c r="E938" s="8" t="n">
        <x:v>2</x:v>
      </x:c>
    </x:row>
    <x:row r="939" ht="23" customHeight="1">
      <x:c r="B939" s="8" t="str">
        <x:v>APP000312</x:v>
      </x:c>
      <x:c r="C939" s="8" t="n">
        <x:v>1</x:v>
      </x:c>
      <x:c r="D939" s="8" t="n">
        <x:v>1</x:v>
      </x:c>
      <x:c r="E939" s="8" t="n">
        <x:v>2</x:v>
      </x:c>
    </x:row>
    <x:row r="940" ht="23" customHeight="1">
      <x:c r="B940" s="8" t="str">
        <x:v>APP000312</x:v>
      </x:c>
      <x:c r="C940" s="8" t="n">
        <x:v>2</x:v>
      </x:c>
      <x:c r="D940" s="8" t="n">
        <x:v>1</x:v>
      </x:c>
      <x:c r="E940" s="8" t="n">
        <x:v>2</x:v>
      </x:c>
    </x:row>
    <x:row r="941" ht="23" customHeight="1">
      <x:c r="B941" s="8" t="str">
        <x:v>APP000312</x:v>
      </x:c>
      <x:c r="C941" s="8" t="n">
        <x:v>3</x:v>
      </x:c>
      <x:c r="D941" s="8" t="n">
        <x:v>1</x:v>
      </x:c>
      <x:c r="E941" s="8" t="n">
        <x:v>2</x:v>
      </x:c>
    </x:row>
    <x:row r="942" ht="23" customHeight="1">
      <x:c r="B942" s="8" t="str">
        <x:v>APP000313</x:v>
      </x:c>
      <x:c r="C942" s="8" t="n">
        <x:v>1</x:v>
      </x:c>
      <x:c r="D942" s="8" t="n">
        <x:v>1</x:v>
      </x:c>
      <x:c r="E942" s="8" t="n">
        <x:v>2</x:v>
      </x:c>
    </x:row>
    <x:row r="943" ht="23" customHeight="1">
      <x:c r="B943" s="8" t="str">
        <x:v>APP000313</x:v>
      </x:c>
      <x:c r="C943" s="8" t="n">
        <x:v>2</x:v>
      </x:c>
      <x:c r="D943" s="8" t="n">
        <x:v>0</x:v>
      </x:c>
      <x:c r="E943" s="8" t="n">
        <x:v>2</x:v>
      </x:c>
    </x:row>
    <x:row r="944" ht="23" customHeight="1">
      <x:c r="B944" s="8" t="str">
        <x:v>APP000313</x:v>
      </x:c>
      <x:c r="C944" s="8" t="n">
        <x:v>3</x:v>
      </x:c>
      <x:c r="D944" s="8" t="n">
        <x:v>1</x:v>
      </x:c>
      <x:c r="E944" s="8" t="n">
        <x:v>2</x:v>
      </x:c>
    </x:row>
    <x:row r="945" ht="23" customHeight="1">
      <x:c r="B945" s="8" t="str">
        <x:v>APP000314</x:v>
      </x:c>
      <x:c r="C945" s="8" t="n">
        <x:v>1</x:v>
      </x:c>
      <x:c r="D945" s="8" t="n">
        <x:v>1</x:v>
      </x:c>
      <x:c r="E945" s="8" t="n">
        <x:v>2</x:v>
      </x:c>
    </x:row>
    <x:row r="946" ht="23" customHeight="1">
      <x:c r="B946" s="8" t="str">
        <x:v>APP000314</x:v>
      </x:c>
      <x:c r="C946" s="8" t="n">
        <x:v>2</x:v>
      </x:c>
      <x:c r="D946" s="8" t="n">
        <x:v>1</x:v>
      </x:c>
      <x:c r="E946" s="8" t="n">
        <x:v>2</x:v>
      </x:c>
    </x:row>
    <x:row r="947" ht="23" customHeight="1">
      <x:c r="B947" s="8" t="str">
        <x:v>APP000314</x:v>
      </x:c>
      <x:c r="C947" s="8" t="n">
        <x:v>3</x:v>
      </x:c>
      <x:c r="D947" s="8" t="n">
        <x:v>1</x:v>
      </x:c>
      <x:c r="E947" s="8" t="n">
        <x:v>2</x:v>
      </x:c>
    </x:row>
    <x:row r="948" ht="23" customHeight="1">
      <x:c r="B948" s="8" t="str">
        <x:v>APP000315</x:v>
      </x:c>
      <x:c r="C948" s="8" t="n">
        <x:v>1</x:v>
      </x:c>
      <x:c r="D948" s="8" t="n">
        <x:v>1</x:v>
      </x:c>
      <x:c r="E948" s="8" t="n">
        <x:v>2</x:v>
      </x:c>
    </x:row>
    <x:row r="949" ht="23" customHeight="1">
      <x:c r="B949" s="8" t="str">
        <x:v>APP000315</x:v>
      </x:c>
      <x:c r="C949" s="8" t="n">
        <x:v>2</x:v>
      </x:c>
      <x:c r="D949" s="8" t="n">
        <x:v>1</x:v>
      </x:c>
      <x:c r="E949" s="8" t="n">
        <x:v>2</x:v>
      </x:c>
    </x:row>
    <x:row r="950" ht="23" customHeight="1">
      <x:c r="B950" s="8" t="str">
        <x:v>APP000315</x:v>
      </x:c>
      <x:c r="C950" s="8" t="n">
        <x:v>3</x:v>
      </x:c>
      <x:c r="D950" s="8" t="n">
        <x:v>1</x:v>
      </x:c>
      <x:c r="E950" s="8" t="n">
        <x:v>2</x:v>
      </x:c>
    </x:row>
    <x:row r="951" ht="23" customHeight="1">
      <x:c r="B951" s="8" t="str">
        <x:v>APP000316</x:v>
      </x:c>
      <x:c r="C951" s="8" t="n">
        <x:v>1</x:v>
      </x:c>
      <x:c r="D951" s="8" t="n">
        <x:v>1</x:v>
      </x:c>
      <x:c r="E951" s="8" t="n">
        <x:v>2</x:v>
      </x:c>
    </x:row>
    <x:row r="952" ht="23" customHeight="1">
      <x:c r="B952" s="8" t="str">
        <x:v>APP000316</x:v>
      </x:c>
      <x:c r="C952" s="8" t="n">
        <x:v>2</x:v>
      </x:c>
      <x:c r="D952" s="8" t="n">
        <x:v>1</x:v>
      </x:c>
      <x:c r="E952" s="8" t="n">
        <x:v>2</x:v>
      </x:c>
    </x:row>
    <x:row r="953" ht="23" customHeight="1">
      <x:c r="B953" s="8" t="str">
        <x:v>APP000316</x:v>
      </x:c>
      <x:c r="C953" s="8" t="n">
        <x:v>3</x:v>
      </x:c>
      <x:c r="D953" s="8" t="n">
        <x:v>0</x:v>
      </x:c>
      <x:c r="E953" s="8" t="n">
        <x:v>2</x:v>
      </x:c>
    </x:row>
    <x:row r="954" ht="23" customHeight="1">
      <x:c r="B954" s="8" t="str">
        <x:v>APP000317</x:v>
      </x:c>
      <x:c r="C954" s="8" t="n">
        <x:v>1</x:v>
      </x:c>
      <x:c r="D954" s="8" t="n">
        <x:v>1</x:v>
      </x:c>
      <x:c r="E954" s="8" t="n">
        <x:v>2</x:v>
      </x:c>
    </x:row>
    <x:row r="955" ht="23" customHeight="1">
      <x:c r="B955" s="8" t="str">
        <x:v>APP000317</x:v>
      </x:c>
      <x:c r="C955" s="8" t="n">
        <x:v>2</x:v>
      </x:c>
      <x:c r="D955" s="8" t="n">
        <x:v>1</x:v>
      </x:c>
      <x:c r="E955" s="8" t="n">
        <x:v>2</x:v>
      </x:c>
    </x:row>
    <x:row r="956" ht="23" customHeight="1">
      <x:c r="B956" s="8" t="str">
        <x:v>APP000317</x:v>
      </x:c>
      <x:c r="C956" s="8" t="n">
        <x:v>3</x:v>
      </x:c>
      <x:c r="D956" s="8" t="n">
        <x:v>1</x:v>
      </x:c>
      <x:c r="E956" s="8" t="n">
        <x:v>2</x:v>
      </x:c>
    </x:row>
    <x:row r="957" ht="23" customHeight="1">
      <x:c r="B957" s="8" t="str">
        <x:v>APP000318</x:v>
      </x:c>
      <x:c r="C957" s="8" t="n">
        <x:v>1</x:v>
      </x:c>
      <x:c r="D957" s="8" t="n">
        <x:v>1</x:v>
      </x:c>
      <x:c r="E957" s="8" t="n">
        <x:v>2</x:v>
      </x:c>
    </x:row>
    <x:row r="958" ht="23" customHeight="1">
      <x:c r="B958" s="8" t="str">
        <x:v>APP000318</x:v>
      </x:c>
      <x:c r="C958" s="8" t="n">
        <x:v>2</x:v>
      </x:c>
      <x:c r="D958" s="8" t="n">
        <x:v>1</x:v>
      </x:c>
      <x:c r="E958" s="8" t="n">
        <x:v>2</x:v>
      </x:c>
    </x:row>
    <x:row r="959" ht="23" customHeight="1">
      <x:c r="B959" s="8" t="str">
        <x:v>APP000318</x:v>
      </x:c>
      <x:c r="C959" s="8" t="n">
        <x:v>3</x:v>
      </x:c>
      <x:c r="D959" s="8" t="n">
        <x:v>1</x:v>
      </x:c>
      <x:c r="E959" s="8" t="n">
        <x:v>2</x:v>
      </x:c>
    </x:row>
    <x:row r="960" ht="23" customHeight="1">
      <x:c r="B960" s="8" t="str">
        <x:v>APP000319</x:v>
      </x:c>
      <x:c r="C960" s="8" t="n">
        <x:v>1</x:v>
      </x:c>
      <x:c r="D960" s="8" t="n">
        <x:v>1</x:v>
      </x:c>
      <x:c r="E960" s="8" t="n">
        <x:v>2</x:v>
      </x:c>
    </x:row>
    <x:row r="961" ht="23" customHeight="1">
      <x:c r="B961" s="8" t="str">
        <x:v>APP000319</x:v>
      </x:c>
      <x:c r="C961" s="8" t="n">
        <x:v>2</x:v>
      </x:c>
      <x:c r="D961" s="8" t="n">
        <x:v>1</x:v>
      </x:c>
      <x:c r="E961" s="8" t="n">
        <x:v>2</x:v>
      </x:c>
    </x:row>
    <x:row r="962" ht="23" customHeight="1">
      <x:c r="B962" s="8" t="str">
        <x:v>APP000319</x:v>
      </x:c>
      <x:c r="C962" s="8" t="n">
        <x:v>3</x:v>
      </x:c>
      <x:c r="D962" s="8" t="n">
        <x:v>1</x:v>
      </x:c>
      <x:c r="E962" s="8" t="n">
        <x:v>2</x:v>
      </x:c>
    </x:row>
    <x:row r="963" ht="23" customHeight="1">
      <x:c r="B963" s="8" t="str">
        <x:v>APP000320</x:v>
      </x:c>
      <x:c r="C963" s="8" t="n">
        <x:v>1</x:v>
      </x:c>
      <x:c r="D963" s="8" t="n">
        <x:v>1</x:v>
      </x:c>
      <x:c r="E963" s="8" t="n">
        <x:v>2</x:v>
      </x:c>
    </x:row>
    <x:row r="964" ht="23" customHeight="1">
      <x:c r="B964" s="8" t="str">
        <x:v>APP000320</x:v>
      </x:c>
      <x:c r="C964" s="8" t="n">
        <x:v>2</x:v>
      </x:c>
      <x:c r="D964" s="8" t="n">
        <x:v>1</x:v>
      </x:c>
      <x:c r="E964" s="8" t="n">
        <x:v>2</x:v>
      </x:c>
    </x:row>
    <x:row r="965" ht="23" customHeight="1">
      <x:c r="B965" s="8" t="str">
        <x:v>APP000320</x:v>
      </x:c>
      <x:c r="C965" s="8" t="n">
        <x:v>3</x:v>
      </x:c>
      <x:c r="D965" s="8" t="n">
        <x:v>1</x:v>
      </x:c>
      <x:c r="E965" s="8" t="n">
        <x:v>2</x:v>
      </x:c>
    </x:row>
    <x:row r="966" ht="23" customHeight="1">
      <x:c r="B966" s="8" t="str">
        <x:v>APP000321</x:v>
      </x:c>
      <x:c r="C966" s="8" t="n">
        <x:v>1</x:v>
      </x:c>
      <x:c r="D966" s="8" t="n">
        <x:v>1</x:v>
      </x:c>
      <x:c r="E966" s="8" t="n">
        <x:v>2</x:v>
      </x:c>
    </x:row>
    <x:row r="967" ht="23" customHeight="1">
      <x:c r="B967" s="8" t="str">
        <x:v>APP000321</x:v>
      </x:c>
      <x:c r="C967" s="8" t="n">
        <x:v>2</x:v>
      </x:c>
      <x:c r="D967" s="8" t="n">
        <x:v>1</x:v>
      </x:c>
      <x:c r="E967" s="8" t="n">
        <x:v>2</x:v>
      </x:c>
    </x:row>
    <x:row r="968" ht="23" customHeight="1">
      <x:c r="B968" s="8" t="str">
        <x:v>APP000321</x:v>
      </x:c>
      <x:c r="C968" s="8" t="n">
        <x:v>3</x:v>
      </x:c>
      <x:c r="D968" s="8" t="n">
        <x:v>1</x:v>
      </x:c>
      <x:c r="E968" s="8" t="n">
        <x:v>2</x:v>
      </x:c>
    </x:row>
    <x:row r="969" ht="23" customHeight="1">
      <x:c r="B969" s="8" t="str">
        <x:v>APP000322</x:v>
      </x:c>
      <x:c r="C969" s="8" t="n">
        <x:v>1</x:v>
      </x:c>
      <x:c r="D969" s="8" t="n">
        <x:v>1</x:v>
      </x:c>
      <x:c r="E969" s="8" t="n">
        <x:v>2</x:v>
      </x:c>
    </x:row>
    <x:row r="970" ht="23" customHeight="1">
      <x:c r="B970" s="8" t="str">
        <x:v>APP000322</x:v>
      </x:c>
      <x:c r="C970" s="8" t="n">
        <x:v>2</x:v>
      </x:c>
      <x:c r="D970" s="8" t="n">
        <x:v>1</x:v>
      </x:c>
      <x:c r="E970" s="8" t="n">
        <x:v>2</x:v>
      </x:c>
    </x:row>
    <x:row r="971" ht="23" customHeight="1">
      <x:c r="B971" s="8" t="str">
        <x:v>APP000322</x:v>
      </x:c>
      <x:c r="C971" s="8" t="n">
        <x:v>3</x:v>
      </x:c>
      <x:c r="D971" s="8" t="n">
        <x:v>1</x:v>
      </x:c>
      <x:c r="E971" s="8" t="n">
        <x:v>2</x:v>
      </x:c>
    </x:row>
    <x:row r="972" ht="23" customHeight="1">
      <x:c r="B972" s="8" t="str">
        <x:v>APP000323</x:v>
      </x:c>
      <x:c r="C972" s="8" t="n">
        <x:v>1</x:v>
      </x:c>
      <x:c r="D972" s="8" t="n">
        <x:v>1</x:v>
      </x:c>
      <x:c r="E972" s="8" t="n">
        <x:v>2</x:v>
      </x:c>
    </x:row>
    <x:row r="973" ht="23" customHeight="1">
      <x:c r="B973" s="8" t="str">
        <x:v>APP000323</x:v>
      </x:c>
      <x:c r="C973" s="8" t="n">
        <x:v>2</x:v>
      </x:c>
      <x:c r="D973" s="8" t="n">
        <x:v>1</x:v>
      </x:c>
      <x:c r="E973" s="8" t="n">
        <x:v>2</x:v>
      </x:c>
    </x:row>
    <x:row r="974" ht="23" customHeight="1">
      <x:c r="B974" s="8" t="str">
        <x:v>APP000323</x:v>
      </x:c>
      <x:c r="C974" s="8" t="n">
        <x:v>3</x:v>
      </x:c>
      <x:c r="D974" s="8" t="n">
        <x:v>1</x:v>
      </x:c>
      <x:c r="E974" s="8" t="n">
        <x:v>2</x:v>
      </x:c>
    </x:row>
    <x:row r="975" ht="23" customHeight="1">
      <x:c r="B975" s="8" t="str">
        <x:v>APP000324</x:v>
      </x:c>
      <x:c r="C975" s="8" t="n">
        <x:v>1</x:v>
      </x:c>
      <x:c r="D975" s="8" t="n">
        <x:v>1</x:v>
      </x:c>
      <x:c r="E975" s="8" t="n">
        <x:v>2</x:v>
      </x:c>
    </x:row>
    <x:row r="976" ht="23" customHeight="1">
      <x:c r="B976" s="8" t="str">
        <x:v>APP000324</x:v>
      </x:c>
      <x:c r="C976" s="8" t="n">
        <x:v>2</x:v>
      </x:c>
      <x:c r="D976" s="8" t="n">
        <x:v>1</x:v>
      </x:c>
      <x:c r="E976" s="8" t="n">
        <x:v>2</x:v>
      </x:c>
    </x:row>
    <x:row r="977" ht="23" customHeight="1">
      <x:c r="B977" s="8" t="str">
        <x:v>APP000324</x:v>
      </x:c>
      <x:c r="C977" s="8" t="n">
        <x:v>3</x:v>
      </x:c>
      <x:c r="D977" s="8" t="n">
        <x:v>1</x:v>
      </x:c>
      <x:c r="E977" s="8" t="n">
        <x:v>2</x:v>
      </x:c>
    </x:row>
    <x:row r="978" ht="23" customHeight="1">
      <x:c r="B978" s="8" t="str">
        <x:v>APP000325</x:v>
      </x:c>
      <x:c r="C978" s="8" t="n">
        <x:v>1</x:v>
      </x:c>
      <x:c r="D978" s="8" t="n">
        <x:v>1</x:v>
      </x:c>
      <x:c r="E978" s="8" t="n">
        <x:v>2</x:v>
      </x:c>
    </x:row>
    <x:row r="979" ht="23" customHeight="1">
      <x:c r="B979" s="8" t="str">
        <x:v>APP000325</x:v>
      </x:c>
      <x:c r="C979" s="8" t="n">
        <x:v>2</x:v>
      </x:c>
      <x:c r="D979" s="8" t="n">
        <x:v>1</x:v>
      </x:c>
      <x:c r="E979" s="8" t="n">
        <x:v>2</x:v>
      </x:c>
    </x:row>
    <x:row r="980" ht="23" customHeight="1">
      <x:c r="B980" s="8" t="str">
        <x:v>APP000325</x:v>
      </x:c>
      <x:c r="C980" s="8" t="n">
        <x:v>3</x:v>
      </x:c>
      <x:c r="D980" s="8" t="n">
        <x:v>0</x:v>
      </x:c>
      <x:c r="E980" s="8" t="n">
        <x:v>2</x:v>
      </x:c>
    </x:row>
    <x:row r="981" ht="23" customHeight="1">
      <x:c r="B981" s="8" t="str">
        <x:v>APP000326</x:v>
      </x:c>
      <x:c r="C981" s="8" t="n">
        <x:v>1</x:v>
      </x:c>
      <x:c r="D981" s="8" t="n">
        <x:v>1</x:v>
      </x:c>
      <x:c r="E981" s="8" t="n">
        <x:v>2</x:v>
      </x:c>
    </x:row>
    <x:row r="982" ht="23" customHeight="1">
      <x:c r="B982" s="8" t="str">
        <x:v>APP000326</x:v>
      </x:c>
      <x:c r="C982" s="8" t="n">
        <x:v>2</x:v>
      </x:c>
      <x:c r="D982" s="8" t="n">
        <x:v>0</x:v>
      </x:c>
      <x:c r="E982" s="8" t="n">
        <x:v>2</x:v>
      </x:c>
    </x:row>
    <x:row r="983" ht="23" customHeight="1">
      <x:c r="B983" s="8" t="str">
        <x:v>APP000326</x:v>
      </x:c>
      <x:c r="C983" s="8" t="n">
        <x:v>3</x:v>
      </x:c>
      <x:c r="D983" s="8" t="n">
        <x:v>1</x:v>
      </x:c>
      <x:c r="E983" s="8" t="n">
        <x:v>2</x:v>
      </x:c>
    </x:row>
    <x:row r="984" ht="23" customHeight="1">
      <x:c r="B984" s="8" t="str">
        <x:v>APP000327</x:v>
      </x:c>
      <x:c r="C984" s="8" t="n">
        <x:v>1</x:v>
      </x:c>
      <x:c r="D984" s="8" t="n">
        <x:v>1</x:v>
      </x:c>
      <x:c r="E984" s="8" t="n">
        <x:v>2</x:v>
      </x:c>
    </x:row>
    <x:row r="985" ht="23" customHeight="1">
      <x:c r="B985" s="8" t="str">
        <x:v>APP000327</x:v>
      </x:c>
      <x:c r="C985" s="8" t="n">
        <x:v>2</x:v>
      </x:c>
      <x:c r="D985" s="8" t="n">
        <x:v>1</x:v>
      </x:c>
      <x:c r="E985" s="8" t="n">
        <x:v>2</x:v>
      </x:c>
    </x:row>
    <x:row r="986" ht="23" customHeight="1">
      <x:c r="B986" s="8" t="str">
        <x:v>APP000327</x:v>
      </x:c>
      <x:c r="C986" s="8" t="n">
        <x:v>3</x:v>
      </x:c>
      <x:c r="D986" s="8" t="n">
        <x:v>1</x:v>
      </x:c>
      <x:c r="E986" s="8" t="n">
        <x:v>2</x:v>
      </x:c>
    </x:row>
    <x:row r="987" ht="23" customHeight="1">
      <x:c r="B987" s="8" t="str">
        <x:v>APP000328</x:v>
      </x:c>
      <x:c r="C987" s="8" t="n">
        <x:v>1</x:v>
      </x:c>
      <x:c r="D987" s="8" t="n">
        <x:v>1</x:v>
      </x:c>
      <x:c r="E987" s="8" t="n">
        <x:v>2</x:v>
      </x:c>
    </x:row>
    <x:row r="988" ht="23" customHeight="1">
      <x:c r="B988" s="8" t="str">
        <x:v>APP000328</x:v>
      </x:c>
      <x:c r="C988" s="8" t="n">
        <x:v>2</x:v>
      </x:c>
      <x:c r="D988" s="8" t="n">
        <x:v>1</x:v>
      </x:c>
      <x:c r="E988" s="8" t="n">
        <x:v>2</x:v>
      </x:c>
    </x:row>
    <x:row r="989" ht="23" customHeight="1">
      <x:c r="B989" s="8" t="str">
        <x:v>APP000328</x:v>
      </x:c>
      <x:c r="C989" s="8" t="n">
        <x:v>3</x:v>
      </x:c>
      <x:c r="D989" s="8" t="n">
        <x:v>1</x:v>
      </x:c>
      <x:c r="E989" s="8" t="n">
        <x:v>2</x:v>
      </x:c>
    </x:row>
    <x:row r="990" ht="23" customHeight="1">
      <x:c r="B990" s="8" t="str">
        <x:v>APP000329</x:v>
      </x:c>
      <x:c r="C990" s="8" t="n">
        <x:v>1</x:v>
      </x:c>
      <x:c r="D990" s="8" t="n">
        <x:v>1</x:v>
      </x:c>
      <x:c r="E990" s="8" t="n">
        <x:v>2</x:v>
      </x:c>
    </x:row>
    <x:row r="991" ht="23" customHeight="1">
      <x:c r="B991" s="8" t="str">
        <x:v>APP000329</x:v>
      </x:c>
      <x:c r="C991" s="8" t="n">
        <x:v>2</x:v>
      </x:c>
      <x:c r="D991" s="8" t="n">
        <x:v>1</x:v>
      </x:c>
      <x:c r="E991" s="8" t="n">
        <x:v>2</x:v>
      </x:c>
    </x:row>
    <x:row r="992" ht="23" customHeight="1">
      <x:c r="B992" s="8" t="str">
        <x:v>APP000329</x:v>
      </x:c>
      <x:c r="C992" s="8" t="n">
        <x:v>3</x:v>
      </x:c>
      <x:c r="D992" s="8" t="n">
        <x:v>1</x:v>
      </x:c>
      <x:c r="E992" s="8" t="n">
        <x:v>2</x:v>
      </x:c>
    </x:row>
    <x:row r="993" ht="23" customHeight="1">
      <x:c r="B993" s="8" t="str">
        <x:v>APP000330</x:v>
      </x:c>
      <x:c r="C993" s="8" t="n">
        <x:v>1</x:v>
      </x:c>
      <x:c r="D993" s="8" t="n">
        <x:v>1</x:v>
      </x:c>
      <x:c r="E993" s="8" t="n">
        <x:v>2</x:v>
      </x:c>
    </x:row>
    <x:row r="994" ht="23" customHeight="1">
      <x:c r="B994" s="8" t="str">
        <x:v>APP000330</x:v>
      </x:c>
      <x:c r="C994" s="8" t="n">
        <x:v>2</x:v>
      </x:c>
      <x:c r="D994" s="8" t="n">
        <x:v>1</x:v>
      </x:c>
      <x:c r="E994" s="8" t="n">
        <x:v>2</x:v>
      </x:c>
    </x:row>
    <x:row r="995" ht="23" customHeight="1">
      <x:c r="B995" s="8" t="str">
        <x:v>APP000330</x:v>
      </x:c>
      <x:c r="C995" s="8" t="n">
        <x:v>3</x:v>
      </x:c>
      <x:c r="D995" s="8" t="n">
        <x:v>1</x:v>
      </x:c>
      <x:c r="E995" s="8" t="n">
        <x:v>2</x:v>
      </x:c>
    </x:row>
    <x:row r="996" ht="23" customHeight="1">
      <x:c r="B996" s="8" t="str">
        <x:v>APP000331</x:v>
      </x:c>
      <x:c r="C996" s="8" t="n">
        <x:v>1</x:v>
      </x:c>
      <x:c r="D996" s="8" t="n">
        <x:v>1</x:v>
      </x:c>
      <x:c r="E996" s="8" t="n">
        <x:v>2</x:v>
      </x:c>
    </x:row>
    <x:row r="997" ht="23" customHeight="1">
      <x:c r="B997" s="8" t="str">
        <x:v>APP000331</x:v>
      </x:c>
      <x:c r="C997" s="8" t="n">
        <x:v>2</x:v>
      </x:c>
      <x:c r="D997" s="8" t="n">
        <x:v>1</x:v>
      </x:c>
      <x:c r="E997" s="8" t="n">
        <x:v>2</x:v>
      </x:c>
    </x:row>
    <x:row r="998" ht="23" customHeight="1">
      <x:c r="B998" s="8" t="str">
        <x:v>APP000331</x:v>
      </x:c>
      <x:c r="C998" s="8" t="n">
        <x:v>3</x:v>
      </x:c>
      <x:c r="D998" s="8" t="n">
        <x:v>1</x:v>
      </x:c>
      <x:c r="E998" s="8" t="n">
        <x:v>2</x:v>
      </x:c>
    </x:row>
    <x:row r="999" ht="23" customHeight="1">
      <x:c r="B999" s="8" t="str">
        <x:v>APP000332</x:v>
      </x:c>
      <x:c r="C999" s="8" t="n">
        <x:v>1</x:v>
      </x:c>
      <x:c r="D999" s="8" t="n">
        <x:v>1</x:v>
      </x:c>
      <x:c r="E999" s="8" t="n">
        <x:v>2</x:v>
      </x:c>
    </x:row>
    <x:row r="1000" ht="23" customHeight="1">
      <x:c r="B1000" s="8" t="str">
        <x:v>APP000332</x:v>
      </x:c>
      <x:c r="C1000" s="8" t="n">
        <x:v>2</x:v>
      </x:c>
      <x:c r="D1000" s="8" t="n">
        <x:v>1</x:v>
      </x:c>
      <x:c r="E1000" s="8" t="n">
        <x:v>2</x:v>
      </x:c>
    </x:row>
    <x:row r="1001" ht="23" customHeight="1">
      <x:c r="B1001" s="8" t="str">
        <x:v>APP000332</x:v>
      </x:c>
      <x:c r="C1001" s="8" t="n">
        <x:v>3</x:v>
      </x:c>
      <x:c r="D1001" s="8" t="n">
        <x:v>1</x:v>
      </x:c>
      <x:c r="E1001" s="8" t="n">
        <x:v>2</x:v>
      </x:c>
    </x:row>
    <x:row r="1002" ht="23" customHeight="1">
      <x:c r="B1002" s="8" t="str">
        <x:v>APP000333</x:v>
      </x:c>
      <x:c r="C1002" s="8" t="n">
        <x:v>1</x:v>
      </x:c>
      <x:c r="D1002" s="8" t="n">
        <x:v>1</x:v>
      </x:c>
      <x:c r="E1002" s="8" t="n">
        <x:v>2</x:v>
      </x:c>
    </x:row>
    <x:row r="1003" ht="23" customHeight="1">
      <x:c r="B1003" s="8" t="str">
        <x:v>APP000333</x:v>
      </x:c>
      <x:c r="C1003" s="8" t="n">
        <x:v>2</x:v>
      </x:c>
      <x:c r="D1003" s="8" t="n">
        <x:v>1</x:v>
      </x:c>
      <x:c r="E1003" s="8" t="n">
        <x:v>2</x:v>
      </x:c>
    </x:row>
    <x:row r="1004" ht="23" customHeight="1">
      <x:c r="B1004" s="8" t="str">
        <x:v>APP000333</x:v>
      </x:c>
      <x:c r="C1004" s="8" t="n">
        <x:v>3</x:v>
      </x:c>
      <x:c r="D1004" s="8" t="n">
        <x:v>1</x:v>
      </x:c>
      <x:c r="E1004" s="8" t="n">
        <x:v>2</x:v>
      </x:c>
    </x:row>
    <x:row r="1005" ht="23" customHeight="1">
      <x:c r="B1005" s="8" t="str">
        <x:v>APP000334</x:v>
      </x:c>
      <x:c r="C1005" s="8" t="n">
        <x:v>1</x:v>
      </x:c>
      <x:c r="D1005" s="8" t="n">
        <x:v>1</x:v>
      </x:c>
      <x:c r="E1005" s="8" t="n">
        <x:v>2</x:v>
      </x:c>
    </x:row>
    <x:row r="1006" ht="23" customHeight="1">
      <x:c r="B1006" s="8" t="str">
        <x:v>APP000334</x:v>
      </x:c>
      <x:c r="C1006" s="8" t="n">
        <x:v>2</x:v>
      </x:c>
      <x:c r="D1006" s="8" t="n">
        <x:v>1</x:v>
      </x:c>
      <x:c r="E1006" s="8" t="n">
        <x:v>2</x:v>
      </x:c>
    </x:row>
    <x:row r="1007" ht="23" customHeight="1">
      <x:c r="B1007" s="8" t="str">
        <x:v>APP000334</x:v>
      </x:c>
      <x:c r="C1007" s="8" t="n">
        <x:v>3</x:v>
      </x:c>
      <x:c r="D1007" s="8" t="n">
        <x:v>0</x:v>
      </x:c>
      <x:c r="E1007" s="8" t="n">
        <x:v>2</x:v>
      </x:c>
    </x:row>
    <x:row r="1008" ht="23" customHeight="1">
      <x:c r="B1008" s="8" t="str">
        <x:v>APP000335</x:v>
      </x:c>
      <x:c r="C1008" s="8" t="n">
        <x:v>1</x:v>
      </x:c>
      <x:c r="D1008" s="8" t="n">
        <x:v>1</x:v>
      </x:c>
      <x:c r="E1008" s="8" t="n">
        <x:v>2</x:v>
      </x:c>
    </x:row>
    <x:row r="1009" ht="23" customHeight="1">
      <x:c r="B1009" s="8" t="str">
        <x:v>APP000335</x:v>
      </x:c>
      <x:c r="C1009" s="8" t="n">
        <x:v>2</x:v>
      </x:c>
      <x:c r="D1009" s="8" t="n">
        <x:v>1</x:v>
      </x:c>
      <x:c r="E1009" s="8" t="n">
        <x:v>2</x:v>
      </x:c>
    </x:row>
    <x:row r="1010" ht="23" customHeight="1">
      <x:c r="B1010" s="8" t="str">
        <x:v>APP000335</x:v>
      </x:c>
      <x:c r="C1010" s="8" t="n">
        <x:v>3</x:v>
      </x:c>
      <x:c r="D1010" s="8" t="n">
        <x:v>1</x:v>
      </x:c>
      <x:c r="E1010" s="8" t="n">
        <x:v>2</x:v>
      </x:c>
    </x:row>
    <x:row r="1011" ht="23" customHeight="1">
      <x:c r="B1011" s="8" t="str">
        <x:v>APP000336</x:v>
      </x:c>
      <x:c r="C1011" s="8" t="n">
        <x:v>1</x:v>
      </x:c>
      <x:c r="D1011" s="8" t="n">
        <x:v>1</x:v>
      </x:c>
      <x:c r="E1011" s="8" t="n">
        <x:v>2</x:v>
      </x:c>
    </x:row>
    <x:row r="1012" ht="23" customHeight="1">
      <x:c r="B1012" s="8" t="str">
        <x:v>APP000336</x:v>
      </x:c>
      <x:c r="C1012" s="8" t="n">
        <x:v>2</x:v>
      </x:c>
      <x:c r="D1012" s="8" t="n">
        <x:v>1</x:v>
      </x:c>
      <x:c r="E1012" s="8" t="n">
        <x:v>2</x:v>
      </x:c>
    </x:row>
    <x:row r="1013" ht="23" customHeight="1">
      <x:c r="B1013" s="8" t="str">
        <x:v>APP000336</x:v>
      </x:c>
      <x:c r="C1013" s="8" t="n">
        <x:v>3</x:v>
      </x:c>
      <x:c r="D1013" s="8" t="n">
        <x:v>1</x:v>
      </x:c>
      <x:c r="E1013" s="8" t="n">
        <x:v>2</x:v>
      </x:c>
    </x:row>
    <x:row r="1014" ht="23" customHeight="1">
      <x:c r="B1014" s="8" t="str">
        <x:v>APP000337</x:v>
      </x:c>
      <x:c r="C1014" s="8" t="n">
        <x:v>1</x:v>
      </x:c>
      <x:c r="D1014" s="8" t="n">
        <x:v>1</x:v>
      </x:c>
      <x:c r="E1014" s="8" t="n">
        <x:v>2</x:v>
      </x:c>
    </x:row>
    <x:row r="1015" ht="23" customHeight="1">
      <x:c r="B1015" s="8" t="str">
        <x:v>APP000337</x:v>
      </x:c>
      <x:c r="C1015" s="8" t="n">
        <x:v>2</x:v>
      </x:c>
      <x:c r="D1015" s="8" t="n">
        <x:v>1</x:v>
      </x:c>
      <x:c r="E1015" s="8" t="n">
        <x:v>2</x:v>
      </x:c>
    </x:row>
    <x:row r="1016" ht="23" customHeight="1">
      <x:c r="B1016" s="8" t="str">
        <x:v>APP000337</x:v>
      </x:c>
      <x:c r="C1016" s="8" t="n">
        <x:v>3</x:v>
      </x:c>
      <x:c r="D1016" s="8" t="n">
        <x:v>1</x:v>
      </x:c>
      <x:c r="E1016" s="8" t="n">
        <x:v>2</x:v>
      </x:c>
    </x:row>
    <x:row r="1017" ht="23" customHeight="1">
      <x:c r="B1017" s="8" t="str">
        <x:v>APP000338</x:v>
      </x:c>
      <x:c r="C1017" s="8" t="n">
        <x:v>1</x:v>
      </x:c>
      <x:c r="D1017" s="8" t="n">
        <x:v>1</x:v>
      </x:c>
      <x:c r="E1017" s="8" t="n">
        <x:v>2</x:v>
      </x:c>
    </x:row>
    <x:row r="1018" ht="23" customHeight="1">
      <x:c r="B1018" s="8" t="str">
        <x:v>APP000338</x:v>
      </x:c>
      <x:c r="C1018" s="8" t="n">
        <x:v>2</x:v>
      </x:c>
      <x:c r="D1018" s="8" t="n">
        <x:v>1</x:v>
      </x:c>
      <x:c r="E1018" s="8" t="n">
        <x:v>2</x:v>
      </x:c>
    </x:row>
    <x:row r="1019" ht="23" customHeight="1">
      <x:c r="B1019" s="8" t="str">
        <x:v>APP000338</x:v>
      </x:c>
      <x:c r="C1019" s="8" t="n">
        <x:v>3</x:v>
      </x:c>
      <x:c r="D1019" s="8" t="n">
        <x:v>1</x:v>
      </x:c>
      <x:c r="E1019" s="8" t="n">
        <x:v>2</x:v>
      </x:c>
    </x:row>
    <x:row r="1020" ht="23" customHeight="1">
      <x:c r="B1020" s="8" t="str">
        <x:v>APP000339</x:v>
      </x:c>
      <x:c r="C1020" s="8" t="n">
        <x:v>1</x:v>
      </x:c>
      <x:c r="D1020" s="8" t="n">
        <x:v>1</x:v>
      </x:c>
      <x:c r="E1020" s="8" t="n">
        <x:v>2</x:v>
      </x:c>
    </x:row>
    <x:row r="1021" ht="23" customHeight="1">
      <x:c r="B1021" s="8" t="str">
        <x:v>APP000339</x:v>
      </x:c>
      <x:c r="C1021" s="8" t="n">
        <x:v>2</x:v>
      </x:c>
      <x:c r="D1021" s="8" t="n">
        <x:v>0</x:v>
      </x:c>
      <x:c r="E1021" s="8" t="n">
        <x:v>2</x:v>
      </x:c>
    </x:row>
    <x:row r="1022" ht="23" customHeight="1">
      <x:c r="B1022" s="8" t="str">
        <x:v>APP000339</x:v>
      </x:c>
      <x:c r="C1022" s="8" t="n">
        <x:v>3</x:v>
      </x:c>
      <x:c r="D1022" s="8" t="n">
        <x:v>1</x:v>
      </x:c>
      <x:c r="E1022" s="8" t="n">
        <x:v>2</x:v>
      </x:c>
    </x:row>
    <x:row r="1023" ht="23" customHeight="1">
      <x:c r="B1023" s="8" t="str">
        <x:v>APP000340</x:v>
      </x:c>
      <x:c r="C1023" s="8" t="n">
        <x:v>1</x:v>
      </x:c>
      <x:c r="D1023" s="8" t="n">
        <x:v>1</x:v>
      </x:c>
      <x:c r="E1023" s="8" t="n">
        <x:v>2</x:v>
      </x:c>
    </x:row>
    <x:row r="1024" ht="23" customHeight="1">
      <x:c r="B1024" s="8" t="str">
        <x:v>APP000340</x:v>
      </x:c>
      <x:c r="C1024" s="8" t="n">
        <x:v>2</x:v>
      </x:c>
      <x:c r="D1024" s="8" t="n">
        <x:v>1</x:v>
      </x:c>
      <x:c r="E1024" s="8" t="n">
        <x:v>2</x:v>
      </x:c>
    </x:row>
    <x:row r="1025" ht="23" customHeight="1">
      <x:c r="B1025" s="8" t="str">
        <x:v>APP000340</x:v>
      </x:c>
      <x:c r="C1025" s="8" t="n">
        <x:v>3</x:v>
      </x:c>
      <x:c r="D1025" s="8" t="n">
        <x:v>1</x:v>
      </x:c>
      <x:c r="E1025" s="8" t="n">
        <x:v>2</x:v>
      </x:c>
    </x:row>
    <x:row r="1026" ht="23" customHeight="1">
      <x:c r="B1026" s="8" t="str">
        <x:v>APP000341</x:v>
      </x:c>
      <x:c r="C1026" s="8" t="n">
        <x:v>1</x:v>
      </x:c>
      <x:c r="D1026" s="8" t="n">
        <x:v>1</x:v>
      </x:c>
      <x:c r="E1026" s="8" t="n">
        <x:v>2</x:v>
      </x:c>
    </x:row>
    <x:row r="1027" ht="23" customHeight="1">
      <x:c r="B1027" s="8" t="str">
        <x:v>APP000341</x:v>
      </x:c>
      <x:c r="C1027" s="8" t="n">
        <x:v>2</x:v>
      </x:c>
      <x:c r="D1027" s="8" t="n">
        <x:v>1</x:v>
      </x:c>
      <x:c r="E1027" s="8" t="n">
        <x:v>2</x:v>
      </x:c>
    </x:row>
    <x:row r="1028" ht="23" customHeight="1">
      <x:c r="B1028" s="8" t="str">
        <x:v>APP000341</x:v>
      </x:c>
      <x:c r="C1028" s="8" t="n">
        <x:v>3</x:v>
      </x:c>
      <x:c r="D1028" s="8" t="n">
        <x:v>1</x:v>
      </x:c>
      <x:c r="E1028" s="8" t="n">
        <x:v>2</x:v>
      </x:c>
    </x:row>
    <x:row r="1029" ht="23" customHeight="1">
      <x:c r="B1029" s="8" t="str">
        <x:v>APP000342</x:v>
      </x:c>
      <x:c r="C1029" s="8" t="n">
        <x:v>1</x:v>
      </x:c>
      <x:c r="D1029" s="8" t="n">
        <x:v>1</x:v>
      </x:c>
      <x:c r="E1029" s="8" t="n">
        <x:v>2</x:v>
      </x:c>
    </x:row>
    <x:row r="1030" ht="23" customHeight="1">
      <x:c r="B1030" s="8" t="str">
        <x:v>APP000342</x:v>
      </x:c>
      <x:c r="C1030" s="8" t="n">
        <x:v>2</x:v>
      </x:c>
      <x:c r="D1030" s="8" t="n">
        <x:v>1</x:v>
      </x:c>
      <x:c r="E1030" s="8" t="n">
        <x:v>2</x:v>
      </x:c>
    </x:row>
    <x:row r="1031" ht="23" customHeight="1">
      <x:c r="B1031" s="8" t="str">
        <x:v>APP000342</x:v>
      </x:c>
      <x:c r="C1031" s="8" t="n">
        <x:v>3</x:v>
      </x:c>
      <x:c r="D1031" s="8" t="n">
        <x:v>1</x:v>
      </x:c>
      <x:c r="E1031" s="8" t="n">
        <x:v>2</x:v>
      </x:c>
    </x:row>
    <x:row r="1032" ht="23" customHeight="1">
      <x:c r="B1032" s="8" t="str">
        <x:v>APP000343</x:v>
      </x:c>
      <x:c r="C1032" s="8" t="n">
        <x:v>1</x:v>
      </x:c>
      <x:c r="D1032" s="8" t="n">
        <x:v>1</x:v>
      </x:c>
      <x:c r="E1032" s="8" t="n">
        <x:v>2</x:v>
      </x:c>
    </x:row>
    <x:row r="1033" ht="23" customHeight="1">
      <x:c r="B1033" s="8" t="str">
        <x:v>APP000343</x:v>
      </x:c>
      <x:c r="C1033" s="8" t="n">
        <x:v>2</x:v>
      </x:c>
      <x:c r="D1033" s="8" t="n">
        <x:v>1</x:v>
      </x:c>
      <x:c r="E1033" s="8" t="n">
        <x:v>2</x:v>
      </x:c>
    </x:row>
    <x:row r="1034" ht="23" customHeight="1">
      <x:c r="B1034" s="8" t="str">
        <x:v>APP000343</x:v>
      </x:c>
      <x:c r="C1034" s="8" t="n">
        <x:v>3</x:v>
      </x:c>
      <x:c r="D1034" s="8" t="n">
        <x:v>0</x:v>
      </x:c>
      <x:c r="E1034" s="8" t="n">
        <x:v>2</x:v>
      </x:c>
    </x:row>
    <x:row r="1035" ht="23" customHeight="1">
      <x:c r="B1035" s="8" t="str">
        <x:v>APP000344</x:v>
      </x:c>
      <x:c r="C1035" s="8" t="n">
        <x:v>1</x:v>
      </x:c>
      <x:c r="D1035" s="8" t="n">
        <x:v>1</x:v>
      </x:c>
      <x:c r="E1035" s="8" t="n">
        <x:v>2</x:v>
      </x:c>
    </x:row>
    <x:row r="1036" ht="23" customHeight="1">
      <x:c r="B1036" s="8" t="str">
        <x:v>APP000344</x:v>
      </x:c>
      <x:c r="C1036" s="8" t="n">
        <x:v>2</x:v>
      </x:c>
      <x:c r="D1036" s="8" t="n">
        <x:v>1</x:v>
      </x:c>
      <x:c r="E1036" s="8" t="n">
        <x:v>2</x:v>
      </x:c>
    </x:row>
    <x:row r="1037" ht="23" customHeight="1">
      <x:c r="B1037" s="8" t="str">
        <x:v>APP000344</x:v>
      </x:c>
      <x:c r="C1037" s="8" t="n">
        <x:v>3</x:v>
      </x:c>
      <x:c r="D1037" s="8" t="n">
        <x:v>1</x:v>
      </x:c>
      <x:c r="E1037" s="8" t="n">
        <x:v>2</x:v>
      </x:c>
    </x:row>
    <x:row r="1038" ht="23" customHeight="1">
      <x:c r="B1038" s="8" t="str">
        <x:v>APP000345</x:v>
      </x:c>
      <x:c r="C1038" s="8" t="n">
        <x:v>1</x:v>
      </x:c>
      <x:c r="D1038" s="8" t="n">
        <x:v>1</x:v>
      </x:c>
      <x:c r="E1038" s="8" t="n">
        <x:v>2</x:v>
      </x:c>
    </x:row>
    <x:row r="1039" ht="23" customHeight="1">
      <x:c r="B1039" s="8" t="str">
        <x:v>APP000345</x:v>
      </x:c>
      <x:c r="C1039" s="8" t="n">
        <x:v>2</x:v>
      </x:c>
      <x:c r="D1039" s="8" t="n">
        <x:v>1</x:v>
      </x:c>
      <x:c r="E1039" s="8" t="n">
        <x:v>2</x:v>
      </x:c>
    </x:row>
    <x:row r="1040" ht="23" customHeight="1">
      <x:c r="B1040" s="8" t="str">
        <x:v>APP000345</x:v>
      </x:c>
      <x:c r="C1040" s="8" t="n">
        <x:v>3</x:v>
      </x:c>
      <x:c r="D1040" s="8" t="n">
        <x:v>1</x:v>
      </x:c>
      <x:c r="E1040" s="8" t="n">
        <x:v>2</x:v>
      </x:c>
    </x:row>
    <x:row r="1041" ht="23" customHeight="1">
      <x:c r="B1041" s="8" t="str">
        <x:v>APP000346</x:v>
      </x:c>
      <x:c r="C1041" s="8" t="n">
        <x:v>1</x:v>
      </x:c>
      <x:c r="D1041" s="8" t="n">
        <x:v>1</x:v>
      </x:c>
      <x:c r="E1041" s="8" t="n">
        <x:v>2</x:v>
      </x:c>
    </x:row>
    <x:row r="1042" ht="23" customHeight="1">
      <x:c r="B1042" s="8" t="str">
        <x:v>APP000346</x:v>
      </x:c>
      <x:c r="C1042" s="8" t="n">
        <x:v>2</x:v>
      </x:c>
      <x:c r="D1042" s="8" t="n">
        <x:v>1</x:v>
      </x:c>
      <x:c r="E1042" s="8" t="n">
        <x:v>2</x:v>
      </x:c>
    </x:row>
    <x:row r="1043" ht="23" customHeight="1">
      <x:c r="B1043" s="8" t="str">
        <x:v>APP000346</x:v>
      </x:c>
      <x:c r="C1043" s="8" t="n">
        <x:v>3</x:v>
      </x:c>
      <x:c r="D1043" s="8" t="n">
        <x:v>1</x:v>
      </x:c>
      <x:c r="E1043" s="8" t="n">
        <x:v>2</x:v>
      </x:c>
    </x:row>
    <x:row r="1044" ht="23" customHeight="1">
      <x:c r="B1044" s="8" t="str">
        <x:v>APP000347</x:v>
      </x:c>
      <x:c r="C1044" s="8" t="n">
        <x:v>1</x:v>
      </x:c>
      <x:c r="D1044" s="8" t="n">
        <x:v>1</x:v>
      </x:c>
      <x:c r="E1044" s="8" t="n">
        <x:v>2</x:v>
      </x:c>
    </x:row>
    <x:row r="1045" ht="23" customHeight="1">
      <x:c r="B1045" s="8" t="str">
        <x:v>APP000347</x:v>
      </x:c>
      <x:c r="C1045" s="8" t="n">
        <x:v>2</x:v>
      </x:c>
      <x:c r="D1045" s="8" t="n">
        <x:v>1</x:v>
      </x:c>
      <x:c r="E1045" s="8" t="n">
        <x:v>2</x:v>
      </x:c>
    </x:row>
    <x:row r="1046" ht="23" customHeight="1">
      <x:c r="B1046" s="8" t="str">
        <x:v>APP000347</x:v>
      </x:c>
      <x:c r="C1046" s="8" t="n">
        <x:v>3</x:v>
      </x:c>
      <x:c r="D1046" s="8" t="n">
        <x:v>1</x:v>
      </x:c>
      <x:c r="E1046" s="8" t="n">
        <x:v>2</x:v>
      </x:c>
    </x:row>
    <x:row r="1047" ht="23" customHeight="1">
      <x:c r="B1047" s="8" t="str">
        <x:v>APP000348</x:v>
      </x:c>
      <x:c r="C1047" s="8" t="n">
        <x:v>1</x:v>
      </x:c>
      <x:c r="D1047" s="8" t="n">
        <x:v>1</x:v>
      </x:c>
      <x:c r="E1047" s="8" t="n">
        <x:v>2</x:v>
      </x:c>
    </x:row>
    <x:row r="1048" ht="23" customHeight="1">
      <x:c r="B1048" s="8" t="str">
        <x:v>APP000348</x:v>
      </x:c>
      <x:c r="C1048" s="8" t="n">
        <x:v>2</x:v>
      </x:c>
      <x:c r="D1048" s="8" t="n">
        <x:v>1</x:v>
      </x:c>
      <x:c r="E1048" s="8" t="n">
        <x:v>2</x:v>
      </x:c>
    </x:row>
    <x:row r="1049" ht="23" customHeight="1">
      <x:c r="B1049" s="8" t="str">
        <x:v>APP000348</x:v>
      </x:c>
      <x:c r="C1049" s="8" t="n">
        <x:v>3</x:v>
      </x:c>
      <x:c r="D1049" s="8" t="n">
        <x:v>1</x:v>
      </x:c>
      <x:c r="E1049" s="8" t="n">
        <x:v>2</x:v>
      </x:c>
    </x:row>
    <x:row r="1050" ht="23" customHeight="1">
      <x:c r="B1050" s="8" t="str">
        <x:v>APP000349</x:v>
      </x:c>
      <x:c r="C1050" s="8" t="n">
        <x:v>1</x:v>
      </x:c>
      <x:c r="D1050" s="8" t="n">
        <x:v>1</x:v>
      </x:c>
      <x:c r="E1050" s="8" t="n">
        <x:v>2</x:v>
      </x:c>
    </x:row>
    <x:row r="1051" ht="23" customHeight="1">
      <x:c r="B1051" s="8" t="str">
        <x:v>APP000349</x:v>
      </x:c>
      <x:c r="C1051" s="8" t="n">
        <x:v>2</x:v>
      </x:c>
      <x:c r="D1051" s="8" t="n">
        <x:v>1</x:v>
      </x:c>
      <x:c r="E1051" s="8" t="n">
        <x:v>2</x:v>
      </x:c>
    </x:row>
    <x:row r="1052" ht="23" customHeight="1">
      <x:c r="B1052" s="8" t="str">
        <x:v>APP000349</x:v>
      </x:c>
      <x:c r="C1052" s="8" t="n">
        <x:v>3</x:v>
      </x:c>
      <x:c r="D1052" s="8" t="n">
        <x:v>1</x:v>
      </x:c>
      <x:c r="E1052" s="8" t="n">
        <x:v>2</x:v>
      </x:c>
    </x:row>
    <x:row r="1053" ht="23" customHeight="1">
      <x:c r="B1053" s="8" t="str">
        <x:v>APP000350</x:v>
      </x:c>
      <x:c r="C1053" s="8" t="n">
        <x:v>1</x:v>
      </x:c>
      <x:c r="D1053" s="8" t="n">
        <x:v>1</x:v>
      </x:c>
      <x:c r="E1053" s="8" t="n">
        <x:v>2</x:v>
      </x:c>
    </x:row>
    <x:row r="1054" ht="23" customHeight="1">
      <x:c r="B1054" s="8" t="str">
        <x:v>APP000350</x:v>
      </x:c>
      <x:c r="C1054" s="8" t="n">
        <x:v>2</x:v>
      </x:c>
      <x:c r="D1054" s="8" t="n">
        <x:v>1</x:v>
      </x:c>
      <x:c r="E1054" s="8" t="n">
        <x:v>2</x:v>
      </x:c>
    </x:row>
    <x:row r="1055" ht="23" customHeight="1">
      <x:c r="B1055" s="8" t="str">
        <x:v>APP000350</x:v>
      </x:c>
      <x:c r="C1055" s="8" t="n">
        <x:v>3</x:v>
      </x:c>
      <x:c r="D1055" s="8" t="n">
        <x:v>1</x:v>
      </x:c>
      <x:c r="E1055" s="8" t="n">
        <x:v>2</x:v>
      </x:c>
    </x:row>
    <x:row r="1056" ht="23" customHeight="1">
      <x:c r="B1056" s="8" t="str">
        <x:v>APP000351</x:v>
      </x:c>
      <x:c r="C1056" s="8" t="n">
        <x:v>1</x:v>
      </x:c>
      <x:c r="D1056" s="8" t="n">
        <x:v>1</x:v>
      </x:c>
      <x:c r="E1056" s="8" t="n">
        <x:v>2</x:v>
      </x:c>
    </x:row>
    <x:row r="1057" ht="23" customHeight="1">
      <x:c r="B1057" s="8" t="str">
        <x:v>APP000351</x:v>
      </x:c>
      <x:c r="C1057" s="8" t="n">
        <x:v>2</x:v>
      </x:c>
      <x:c r="D1057" s="8" t="n">
        <x:v>1</x:v>
      </x:c>
      <x:c r="E1057" s="8" t="n">
        <x:v>2</x:v>
      </x:c>
    </x:row>
    <x:row r="1058" ht="23" customHeight="1">
      <x:c r="B1058" s="8" t="str">
        <x:v>APP000351</x:v>
      </x:c>
      <x:c r="C1058" s="8" t="n">
        <x:v>3</x:v>
      </x:c>
      <x:c r="D1058" s="8" t="n">
        <x:v>1</x:v>
      </x:c>
      <x:c r="E1058" s="8" t="n">
        <x:v>2</x:v>
      </x:c>
    </x:row>
    <x:row r="1059" ht="23" customHeight="1">
      <x:c r="B1059" s="8" t="str">
        <x:v>APP000352</x:v>
      </x:c>
      <x:c r="C1059" s="8" t="n">
        <x:v>1</x:v>
      </x:c>
      <x:c r="D1059" s="8" t="n">
        <x:v>1</x:v>
      </x:c>
      <x:c r="E1059" s="8" t="n">
        <x:v>2</x:v>
      </x:c>
    </x:row>
    <x:row r="1060" ht="23" customHeight="1">
      <x:c r="B1060" s="8" t="str">
        <x:v>APP000352</x:v>
      </x:c>
      <x:c r="C1060" s="8" t="n">
        <x:v>2</x:v>
      </x:c>
      <x:c r="D1060" s="8" t="n">
        <x:v>0</x:v>
      </x:c>
      <x:c r="E1060" s="8" t="n">
        <x:v>2</x:v>
      </x:c>
    </x:row>
    <x:row r="1061" ht="23" customHeight="1">
      <x:c r="B1061" s="8" t="str">
        <x:v>APP000352</x:v>
      </x:c>
      <x:c r="C1061" s="8" t="n">
        <x:v>3</x:v>
      </x:c>
      <x:c r="D1061" s="8" t="n">
        <x:v>0</x:v>
      </x:c>
      <x:c r="E1061" s="8" t="n">
        <x:v>2</x:v>
      </x:c>
    </x:row>
    <x:row r="1062" ht="23" customHeight="1">
      <x:c r="B1062" s="8" t="str">
        <x:v>APP000353</x:v>
      </x:c>
      <x:c r="C1062" s="8" t="n">
        <x:v>1</x:v>
      </x:c>
      <x:c r="D1062" s="8" t="n">
        <x:v>1</x:v>
      </x:c>
      <x:c r="E1062" s="8" t="n">
        <x:v>2</x:v>
      </x:c>
    </x:row>
    <x:row r="1063" ht="23" customHeight="1">
      <x:c r="B1063" s="8" t="str">
        <x:v>APP000353</x:v>
      </x:c>
      <x:c r="C1063" s="8" t="n">
        <x:v>2</x:v>
      </x:c>
      <x:c r="D1063" s="8" t="n">
        <x:v>1</x:v>
      </x:c>
      <x:c r="E1063" s="8" t="n">
        <x:v>2</x:v>
      </x:c>
    </x:row>
    <x:row r="1064" ht="23" customHeight="1">
      <x:c r="B1064" s="8" t="str">
        <x:v>APP000353</x:v>
      </x:c>
      <x:c r="C1064" s="8" t="n">
        <x:v>3</x:v>
      </x:c>
      <x:c r="D1064" s="8" t="n">
        <x:v>1</x:v>
      </x:c>
      <x:c r="E1064" s="8" t="n">
        <x:v>2</x:v>
      </x:c>
    </x:row>
    <x:row r="1065" ht="23" customHeight="1">
      <x:c r="B1065" s="8" t="str">
        <x:v>APP000354</x:v>
      </x:c>
      <x:c r="C1065" s="8" t="n">
        <x:v>1</x:v>
      </x:c>
      <x:c r="D1065" s="8" t="n">
        <x:v>1</x:v>
      </x:c>
      <x:c r="E1065" s="8" t="n">
        <x:v>2</x:v>
      </x:c>
    </x:row>
    <x:row r="1066" ht="23" customHeight="1">
      <x:c r="B1066" s="8" t="str">
        <x:v>APP000354</x:v>
      </x:c>
      <x:c r="C1066" s="8" t="n">
        <x:v>2</x:v>
      </x:c>
      <x:c r="D1066" s="8" t="n">
        <x:v>1</x:v>
      </x:c>
      <x:c r="E1066" s="8" t="n">
        <x:v>2</x:v>
      </x:c>
    </x:row>
    <x:row r="1067" ht="23" customHeight="1">
      <x:c r="B1067" s="8" t="str">
        <x:v>APP000354</x:v>
      </x:c>
      <x:c r="C1067" s="8" t="n">
        <x:v>3</x:v>
      </x:c>
      <x:c r="D1067" s="8" t="n">
        <x:v>1</x:v>
      </x:c>
      <x:c r="E1067" s="8" t="n">
        <x:v>2</x:v>
      </x:c>
    </x:row>
    <x:row r="1068" ht="23" customHeight="1">
      <x:c r="B1068" s="8" t="str">
        <x:v>APP000355</x:v>
      </x:c>
      <x:c r="C1068" s="8" t="n">
        <x:v>1</x:v>
      </x:c>
      <x:c r="D1068" s="8" t="n">
        <x:v>1</x:v>
      </x:c>
      <x:c r="E1068" s="8" t="n">
        <x:v>2</x:v>
      </x:c>
    </x:row>
    <x:row r="1069" ht="23" customHeight="1">
      <x:c r="B1069" s="8" t="str">
        <x:v>APP000355</x:v>
      </x:c>
      <x:c r="C1069" s="8" t="n">
        <x:v>2</x:v>
      </x:c>
      <x:c r="D1069" s="8" t="n">
        <x:v>1</x:v>
      </x:c>
      <x:c r="E1069" s="8" t="n">
        <x:v>2</x:v>
      </x:c>
    </x:row>
    <x:row r="1070" ht="23" customHeight="1">
      <x:c r="B1070" s="8" t="str">
        <x:v>APP000355</x:v>
      </x:c>
      <x:c r="C1070" s="8" t="n">
        <x:v>3</x:v>
      </x:c>
      <x:c r="D1070" s="8" t="n">
        <x:v>1</x:v>
      </x:c>
      <x:c r="E1070" s="8" t="n">
        <x:v>2</x:v>
      </x:c>
    </x:row>
    <x:row r="1071" ht="23" customHeight="1">
      <x:c r="B1071" s="8" t="str">
        <x:v>APP000356</x:v>
      </x:c>
      <x:c r="C1071" s="8" t="n">
        <x:v>1</x:v>
      </x:c>
      <x:c r="D1071" s="8" t="n">
        <x:v>1</x:v>
      </x:c>
      <x:c r="E1071" s="8" t="n">
        <x:v>2</x:v>
      </x:c>
    </x:row>
    <x:row r="1072" ht="23" customHeight="1">
      <x:c r="B1072" s="8" t="str">
        <x:v>APP000356</x:v>
      </x:c>
      <x:c r="C1072" s="8" t="n">
        <x:v>2</x:v>
      </x:c>
      <x:c r="D1072" s="8" t="n">
        <x:v>1</x:v>
      </x:c>
      <x:c r="E1072" s="8" t="n">
        <x:v>2</x:v>
      </x:c>
    </x:row>
    <x:row r="1073" ht="23" customHeight="1">
      <x:c r="B1073" s="8" t="str">
        <x:v>APP000356</x:v>
      </x:c>
      <x:c r="C1073" s="8" t="n">
        <x:v>3</x:v>
      </x:c>
      <x:c r="D1073" s="8" t="n">
        <x:v>1</x:v>
      </x:c>
      <x:c r="E1073" s="8" t="n">
        <x:v>2</x:v>
      </x:c>
    </x:row>
    <x:row r="1074" ht="23" customHeight="1">
      <x:c r="B1074" s="8" t="str">
        <x:v>APP000357</x:v>
      </x:c>
      <x:c r="C1074" s="8" t="n">
        <x:v>1</x:v>
      </x:c>
      <x:c r="D1074" s="8" t="n">
        <x:v>1</x:v>
      </x:c>
      <x:c r="E1074" s="8" t="n">
        <x:v>2</x:v>
      </x:c>
    </x:row>
    <x:row r="1075" ht="23" customHeight="1">
      <x:c r="B1075" s="8" t="str">
        <x:v>APP000357</x:v>
      </x:c>
      <x:c r="C1075" s="8" t="n">
        <x:v>2</x:v>
      </x:c>
      <x:c r="D1075" s="8" t="n">
        <x:v>1</x:v>
      </x:c>
      <x:c r="E1075" s="8" t="n">
        <x:v>2</x:v>
      </x:c>
    </x:row>
    <x:row r="1076" ht="23" customHeight="1">
      <x:c r="B1076" s="8" t="str">
        <x:v>APP000357</x:v>
      </x:c>
      <x:c r="C1076" s="8" t="n">
        <x:v>3</x:v>
      </x:c>
      <x:c r="D1076" s="8" t="n">
        <x:v>1</x:v>
      </x:c>
      <x:c r="E1076" s="8" t="n">
        <x:v>2</x:v>
      </x:c>
    </x:row>
    <x:row r="1077" ht="23" customHeight="1">
      <x:c r="B1077" s="8" t="str">
        <x:v>APP000358</x:v>
      </x:c>
      <x:c r="C1077" s="8" t="n">
        <x:v>1</x:v>
      </x:c>
      <x:c r="D1077" s="8" t="n">
        <x:v>1</x:v>
      </x:c>
      <x:c r="E1077" s="8" t="n">
        <x:v>2</x:v>
      </x:c>
    </x:row>
    <x:row r="1078" ht="23" customHeight="1">
      <x:c r="B1078" s="8" t="str">
        <x:v>APP000358</x:v>
      </x:c>
      <x:c r="C1078" s="8" t="n">
        <x:v>2</x:v>
      </x:c>
      <x:c r="D1078" s="8" t="n">
        <x:v>1</x:v>
      </x:c>
      <x:c r="E1078" s="8" t="n">
        <x:v>2</x:v>
      </x:c>
    </x:row>
    <x:row r="1079" ht="23" customHeight="1">
      <x:c r="B1079" s="8" t="str">
        <x:v>APP000358</x:v>
      </x:c>
      <x:c r="C1079" s="8" t="n">
        <x:v>3</x:v>
      </x:c>
      <x:c r="D1079" s="8" t="n">
        <x:v>1</x:v>
      </x:c>
      <x:c r="E1079" s="8" t="n">
        <x:v>2</x:v>
      </x:c>
    </x:row>
    <x:row r="1080" ht="23" customHeight="1">
      <x:c r="B1080" s="8" t="str">
        <x:v>APP000359</x:v>
      </x:c>
      <x:c r="C1080" s="8" t="n">
        <x:v>1</x:v>
      </x:c>
      <x:c r="D1080" s="8" t="n">
        <x:v>1</x:v>
      </x:c>
      <x:c r="E1080" s="8" t="n">
        <x:v>2</x:v>
      </x:c>
    </x:row>
    <x:row r="1081" ht="23" customHeight="1">
      <x:c r="B1081" s="8" t="str">
        <x:v>APP000359</x:v>
      </x:c>
      <x:c r="C1081" s="8" t="n">
        <x:v>2</x:v>
      </x:c>
      <x:c r="D1081" s="8" t="n">
        <x:v>1</x:v>
      </x:c>
      <x:c r="E1081" s="8" t="n">
        <x:v>2</x:v>
      </x:c>
    </x:row>
    <x:row r="1082" ht="23" customHeight="1">
      <x:c r="B1082" s="8" t="str">
        <x:v>APP000359</x:v>
      </x:c>
      <x:c r="C1082" s="8" t="n">
        <x:v>3</x:v>
      </x:c>
      <x:c r="D1082" s="8" t="n">
        <x:v>1</x:v>
      </x:c>
      <x:c r="E1082" s="8" t="n">
        <x:v>2</x:v>
      </x:c>
    </x:row>
    <x:row r="1083" ht="23" customHeight="1">
      <x:c r="B1083" s="8" t="str">
        <x:v>APP000360</x:v>
      </x:c>
      <x:c r="C1083" s="8" t="n">
        <x:v>1</x:v>
      </x:c>
      <x:c r="D1083" s="8" t="n">
        <x:v>1</x:v>
      </x:c>
      <x:c r="E1083" s="8" t="n">
        <x:v>2</x:v>
      </x:c>
    </x:row>
    <x:row r="1084" ht="23" customHeight="1">
      <x:c r="B1084" s="8" t="str">
        <x:v>APP000360</x:v>
      </x:c>
      <x:c r="C1084" s="8" t="n">
        <x:v>2</x:v>
      </x:c>
      <x:c r="D1084" s="8" t="n">
        <x:v>1</x:v>
      </x:c>
      <x:c r="E1084" s="8" t="n">
        <x:v>2</x:v>
      </x:c>
    </x:row>
    <x:row r="1085" ht="23" customHeight="1">
      <x:c r="B1085" s="8" t="str">
        <x:v>APP000360</x:v>
      </x:c>
      <x:c r="C1085" s="8" t="n">
        <x:v>3</x:v>
      </x:c>
      <x:c r="D1085" s="8" t="n">
        <x:v>1</x:v>
      </x:c>
      <x:c r="E1085" s="8" t="n">
        <x:v>2</x:v>
      </x:c>
    </x:row>
    <x:row r="1086" ht="23" customHeight="1">
      <x:c r="B1086" s="8" t="str">
        <x:v>APP000361</x:v>
      </x:c>
      <x:c r="C1086" s="8" t="n">
        <x:v>1</x:v>
      </x:c>
      <x:c r="D1086" s="8" t="n">
        <x:v>1</x:v>
      </x:c>
      <x:c r="E1086" s="8" t="n">
        <x:v>2</x:v>
      </x:c>
    </x:row>
    <x:row r="1087" ht="23" customHeight="1">
      <x:c r="B1087" s="8" t="str">
        <x:v>APP000361</x:v>
      </x:c>
      <x:c r="C1087" s="8" t="n">
        <x:v>2</x:v>
      </x:c>
      <x:c r="D1087" s="8" t="n">
        <x:v>1</x:v>
      </x:c>
      <x:c r="E1087" s="8" t="n">
        <x:v>2</x:v>
      </x:c>
    </x:row>
    <x:row r="1088" ht="23" customHeight="1">
      <x:c r="B1088" s="8" t="str">
        <x:v>APP000361</x:v>
      </x:c>
      <x:c r="C1088" s="8" t="n">
        <x:v>3</x:v>
      </x:c>
      <x:c r="D1088" s="8" t="n">
        <x:v>0</x:v>
      </x:c>
      <x:c r="E1088" s="8" t="n">
        <x:v>2</x:v>
      </x:c>
    </x:row>
    <x:row r="1089" ht="23" customHeight="1">
      <x:c r="B1089" s="8" t="str">
        <x:v>APP000362</x:v>
      </x:c>
      <x:c r="C1089" s="8" t="n">
        <x:v>1</x:v>
      </x:c>
      <x:c r="D1089" s="8" t="n">
        <x:v>1</x:v>
      </x:c>
      <x:c r="E1089" s="8" t="n">
        <x:v>2</x:v>
      </x:c>
    </x:row>
    <x:row r="1090" ht="23" customHeight="1">
      <x:c r="B1090" s="8" t="str">
        <x:v>APP000362</x:v>
      </x:c>
      <x:c r="C1090" s="8" t="n">
        <x:v>2</x:v>
      </x:c>
      <x:c r="D1090" s="8" t="n">
        <x:v>1</x:v>
      </x:c>
      <x:c r="E1090" s="8" t="n">
        <x:v>2</x:v>
      </x:c>
    </x:row>
    <x:row r="1091" ht="23" customHeight="1">
      <x:c r="B1091" s="8" t="str">
        <x:v>APP000362</x:v>
      </x:c>
      <x:c r="C1091" s="8" t="n">
        <x:v>3</x:v>
      </x:c>
      <x:c r="D1091" s="8" t="n">
        <x:v>1</x:v>
      </x:c>
      <x:c r="E1091" s="8" t="n">
        <x:v>2</x:v>
      </x:c>
    </x:row>
    <x:row r="1092" ht="23" customHeight="1">
      <x:c r="B1092" s="8" t="str">
        <x:v>APP000363</x:v>
      </x:c>
      <x:c r="C1092" s="8" t="n">
        <x:v>1</x:v>
      </x:c>
      <x:c r="D1092" s="8" t="n">
        <x:v>1</x:v>
      </x:c>
      <x:c r="E1092" s="8" t="n">
        <x:v>2</x:v>
      </x:c>
    </x:row>
    <x:row r="1093" ht="23" customHeight="1">
      <x:c r="B1093" s="8" t="str">
        <x:v>APP000363</x:v>
      </x:c>
      <x:c r="C1093" s="8" t="n">
        <x:v>2</x:v>
      </x:c>
      <x:c r="D1093" s="8" t="n">
        <x:v>1</x:v>
      </x:c>
      <x:c r="E1093" s="8" t="n">
        <x:v>2</x:v>
      </x:c>
    </x:row>
    <x:row r="1094" ht="23" customHeight="1">
      <x:c r="B1094" s="8" t="str">
        <x:v>APP000363</x:v>
      </x:c>
      <x:c r="C1094" s="8" t="n">
        <x:v>3</x:v>
      </x:c>
      <x:c r="D1094" s="8" t="n">
        <x:v>1</x:v>
      </x:c>
      <x:c r="E1094" s="8" t="n">
        <x:v>2</x:v>
      </x:c>
    </x:row>
    <x:row r="1095" ht="23" customHeight="1">
      <x:c r="B1095" s="8" t="str">
        <x:v>APP000364</x:v>
      </x:c>
      <x:c r="C1095" s="8" t="n">
        <x:v>1</x:v>
      </x:c>
      <x:c r="D1095" s="8" t="n">
        <x:v>1</x:v>
      </x:c>
      <x:c r="E1095" s="8" t="n">
        <x:v>2</x:v>
      </x:c>
    </x:row>
    <x:row r="1096" ht="23" customHeight="1">
      <x:c r="B1096" s="8" t="str">
        <x:v>APP000364</x:v>
      </x:c>
      <x:c r="C1096" s="8" t="n">
        <x:v>2</x:v>
      </x:c>
      <x:c r="D1096" s="8" t="n">
        <x:v>1</x:v>
      </x:c>
      <x:c r="E1096" s="8" t="n">
        <x:v>2</x:v>
      </x:c>
    </x:row>
    <x:row r="1097" ht="23" customHeight="1">
      <x:c r="B1097" s="8" t="str">
        <x:v>APP000364</x:v>
      </x:c>
      <x:c r="C1097" s="8" t="n">
        <x:v>3</x:v>
      </x:c>
      <x:c r="D1097" s="8" t="n">
        <x:v>1</x:v>
      </x:c>
      <x:c r="E1097" s="8" t="n">
        <x:v>2</x:v>
      </x:c>
    </x:row>
    <x:row r="1098" ht="23" customHeight="1">
      <x:c r="B1098" s="8" t="str">
        <x:v>APP000365</x:v>
      </x:c>
      <x:c r="C1098" s="8" t="n">
        <x:v>1</x:v>
      </x:c>
      <x:c r="D1098" s="8" t="n">
        <x:v>1</x:v>
      </x:c>
      <x:c r="E1098" s="8" t="n">
        <x:v>2</x:v>
      </x:c>
    </x:row>
    <x:row r="1099" ht="23" customHeight="1">
      <x:c r="B1099" s="8" t="str">
        <x:v>APP000365</x:v>
      </x:c>
      <x:c r="C1099" s="8" t="n">
        <x:v>2</x:v>
      </x:c>
      <x:c r="D1099" s="8" t="n">
        <x:v>0</x:v>
      </x:c>
      <x:c r="E1099" s="8" t="n">
        <x:v>2</x:v>
      </x:c>
    </x:row>
    <x:row r="1100" ht="23" customHeight="1">
      <x:c r="B1100" s="8" t="str">
        <x:v>APP000365</x:v>
      </x:c>
      <x:c r="C1100" s="8" t="n">
        <x:v>3</x:v>
      </x:c>
      <x:c r="D1100" s="8" t="n">
        <x:v>1</x:v>
      </x:c>
      <x:c r="E1100" s="8" t="n">
        <x:v>2</x:v>
      </x:c>
    </x:row>
    <x:row r="1101" ht="23" customHeight="1">
      <x:c r="B1101" s="8" t="str">
        <x:v>APP000366</x:v>
      </x:c>
      <x:c r="C1101" s="8" t="n">
        <x:v>1</x:v>
      </x:c>
      <x:c r="D1101" s="8" t="n">
        <x:v>1</x:v>
      </x:c>
      <x:c r="E1101" s="8" t="n">
        <x:v>2</x:v>
      </x:c>
    </x:row>
    <x:row r="1102" ht="23" customHeight="1">
      <x:c r="B1102" s="8" t="str">
        <x:v>APP000366</x:v>
      </x:c>
      <x:c r="C1102" s="8" t="n">
        <x:v>2</x:v>
      </x:c>
      <x:c r="D1102" s="8" t="n">
        <x:v>1</x:v>
      </x:c>
      <x:c r="E1102" s="8" t="n">
        <x:v>2</x:v>
      </x:c>
    </x:row>
    <x:row r="1103" ht="23" customHeight="1">
      <x:c r="B1103" s="8" t="str">
        <x:v>APP000366</x:v>
      </x:c>
      <x:c r="C1103" s="8" t="n">
        <x:v>3</x:v>
      </x:c>
      <x:c r="D1103" s="8" t="n">
        <x:v>1</x:v>
      </x:c>
      <x:c r="E1103" s="8" t="n">
        <x:v>2</x:v>
      </x:c>
    </x:row>
    <x:row r="1104" ht="23" customHeight="1">
      <x:c r="B1104" s="8" t="str">
        <x:v>APP000367</x:v>
      </x:c>
      <x:c r="C1104" s="8" t="n">
        <x:v>1</x:v>
      </x:c>
      <x:c r="D1104" s="8" t="n">
        <x:v>1</x:v>
      </x:c>
      <x:c r="E1104" s="8" t="n">
        <x:v>2</x:v>
      </x:c>
    </x:row>
    <x:row r="1105" ht="23" customHeight="1">
      <x:c r="B1105" s="8" t="str">
        <x:v>APP000367</x:v>
      </x:c>
      <x:c r="C1105" s="8" t="n">
        <x:v>2</x:v>
      </x:c>
      <x:c r="D1105" s="8" t="n">
        <x:v>1</x:v>
      </x:c>
      <x:c r="E1105" s="8" t="n">
        <x:v>2</x:v>
      </x:c>
    </x:row>
    <x:row r="1106" ht="23" customHeight="1">
      <x:c r="B1106" s="8" t="str">
        <x:v>APP000367</x:v>
      </x:c>
      <x:c r="C1106" s="8" t="n">
        <x:v>3</x:v>
      </x:c>
      <x:c r="D1106" s="8" t="n">
        <x:v>1</x:v>
      </x:c>
      <x:c r="E1106" s="8" t="n">
        <x:v>2</x:v>
      </x:c>
    </x:row>
    <x:row r="1107" ht="23" customHeight="1">
      <x:c r="B1107" s="8" t="str">
        <x:v>APP000368</x:v>
      </x:c>
      <x:c r="C1107" s="8" t="n">
        <x:v>1</x:v>
      </x:c>
      <x:c r="D1107" s="8" t="n">
        <x:v>1</x:v>
      </x:c>
      <x:c r="E1107" s="8" t="n">
        <x:v>2</x:v>
      </x:c>
    </x:row>
    <x:row r="1108" ht="23" customHeight="1">
      <x:c r="B1108" s="8" t="str">
        <x:v>APP000368</x:v>
      </x:c>
      <x:c r="C1108" s="8" t="n">
        <x:v>2</x:v>
      </x:c>
      <x:c r="D1108" s="8" t="n">
        <x:v>1</x:v>
      </x:c>
      <x:c r="E1108" s="8" t="n">
        <x:v>2</x:v>
      </x:c>
    </x:row>
    <x:row r="1109" ht="23" customHeight="1">
      <x:c r="B1109" s="8" t="str">
        <x:v>APP000368</x:v>
      </x:c>
      <x:c r="C1109" s="8" t="n">
        <x:v>3</x:v>
      </x:c>
      <x:c r="D1109" s="8" t="n">
        <x:v>1</x:v>
      </x:c>
      <x:c r="E1109" s="8" t="n">
        <x:v>2</x:v>
      </x:c>
    </x:row>
    <x:row r="1110" ht="23" customHeight="1">
      <x:c r="B1110" s="8" t="str">
        <x:v>APP000369</x:v>
      </x:c>
      <x:c r="C1110" s="8" t="n">
        <x:v>1</x:v>
      </x:c>
      <x:c r="D1110" s="8" t="n">
        <x:v>1</x:v>
      </x:c>
      <x:c r="E1110" s="8" t="n">
        <x:v>2</x:v>
      </x:c>
    </x:row>
    <x:row r="1111" ht="23" customHeight="1">
      <x:c r="B1111" s="8" t="str">
        <x:v>APP000369</x:v>
      </x:c>
      <x:c r="C1111" s="8" t="n">
        <x:v>2</x:v>
      </x:c>
      <x:c r="D1111" s="8" t="n">
        <x:v>1</x:v>
      </x:c>
      <x:c r="E1111" s="8" t="n">
        <x:v>2</x:v>
      </x:c>
    </x:row>
    <x:row r="1112" ht="23" customHeight="1">
      <x:c r="B1112" s="8" t="str">
        <x:v>APP000369</x:v>
      </x:c>
      <x:c r="C1112" s="8" t="n">
        <x:v>3</x:v>
      </x:c>
      <x:c r="D1112" s="8" t="n">
        <x:v>1</x:v>
      </x:c>
      <x:c r="E1112" s="8" t="n">
        <x:v>2</x:v>
      </x:c>
    </x:row>
    <x:row r="1113" ht="23" customHeight="1">
      <x:c r="B1113" s="8" t="str">
        <x:v>APP000370</x:v>
      </x:c>
      <x:c r="C1113" s="8" t="n">
        <x:v>1</x:v>
      </x:c>
      <x:c r="D1113" s="8" t="n">
        <x:v>1</x:v>
      </x:c>
      <x:c r="E1113" s="8" t="n">
        <x:v>2</x:v>
      </x:c>
    </x:row>
    <x:row r="1114" ht="23" customHeight="1">
      <x:c r="B1114" s="8" t="str">
        <x:v>APP000370</x:v>
      </x:c>
      <x:c r="C1114" s="8" t="n">
        <x:v>2</x:v>
      </x:c>
      <x:c r="D1114" s="8" t="n">
        <x:v>1</x:v>
      </x:c>
      <x:c r="E1114" s="8" t="n">
        <x:v>2</x:v>
      </x:c>
    </x:row>
    <x:row r="1115" ht="23" customHeight="1">
      <x:c r="B1115" s="8" t="str">
        <x:v>APP000370</x:v>
      </x:c>
      <x:c r="C1115" s="8" t="n">
        <x:v>3</x:v>
      </x:c>
      <x:c r="D1115" s="8" t="n">
        <x:v>0</x:v>
      </x:c>
      <x:c r="E1115" s="8" t="n">
        <x:v>2</x:v>
      </x:c>
    </x:row>
    <x:row r="1116" ht="23" customHeight="1">
      <x:c r="B1116" s="8" t="str">
        <x:v>APP000371</x:v>
      </x:c>
      <x:c r="C1116" s="8" t="n">
        <x:v>1</x:v>
      </x:c>
      <x:c r="D1116" s="8" t="n">
        <x:v>1</x:v>
      </x:c>
      <x:c r="E1116" s="8" t="n">
        <x:v>2</x:v>
      </x:c>
    </x:row>
    <x:row r="1117" ht="23" customHeight="1">
      <x:c r="B1117" s="8" t="str">
        <x:v>APP000371</x:v>
      </x:c>
      <x:c r="C1117" s="8" t="n">
        <x:v>2</x:v>
      </x:c>
      <x:c r="D1117" s="8" t="n">
        <x:v>1</x:v>
      </x:c>
      <x:c r="E1117" s="8" t="n">
        <x:v>2</x:v>
      </x:c>
    </x:row>
    <x:row r="1118" ht="23" customHeight="1">
      <x:c r="B1118" s="8" t="str">
        <x:v>APP000371</x:v>
      </x:c>
      <x:c r="C1118" s="8" t="n">
        <x:v>3</x:v>
      </x:c>
      <x:c r="D1118" s="8" t="n">
        <x:v>1</x:v>
      </x:c>
      <x:c r="E1118" s="8" t="n">
        <x:v>2</x:v>
      </x:c>
    </x:row>
    <x:row r="1119" ht="23" customHeight="1">
      <x:c r="B1119" s="8" t="str">
        <x:v>APP000372</x:v>
      </x:c>
      <x:c r="C1119" s="8" t="n">
        <x:v>1</x:v>
      </x:c>
      <x:c r="D1119" s="8" t="n">
        <x:v>1</x:v>
      </x:c>
      <x:c r="E1119" s="8" t="n">
        <x:v>2</x:v>
      </x:c>
    </x:row>
    <x:row r="1120" ht="23" customHeight="1">
      <x:c r="B1120" s="8" t="str">
        <x:v>APP000372</x:v>
      </x:c>
      <x:c r="C1120" s="8" t="n">
        <x:v>2</x:v>
      </x:c>
      <x:c r="D1120" s="8" t="n">
        <x:v>1</x:v>
      </x:c>
      <x:c r="E1120" s="8" t="n">
        <x:v>2</x:v>
      </x:c>
    </x:row>
    <x:row r="1121" ht="23" customHeight="1">
      <x:c r="B1121" s="8" t="str">
        <x:v>APP000372</x:v>
      </x:c>
      <x:c r="C1121" s="8" t="n">
        <x:v>3</x:v>
      </x:c>
      <x:c r="D1121" s="8" t="n">
        <x:v>1</x:v>
      </x:c>
      <x:c r="E1121" s="8" t="n">
        <x:v>2</x:v>
      </x:c>
    </x:row>
    <x:row r="1122" ht="23" customHeight="1">
      <x:c r="B1122" s="8" t="str">
        <x:v>APP000373</x:v>
      </x:c>
      <x:c r="C1122" s="8" t="n">
        <x:v>1</x:v>
      </x:c>
      <x:c r="D1122" s="8" t="n">
        <x:v>1</x:v>
      </x:c>
      <x:c r="E1122" s="8" t="n">
        <x:v>2</x:v>
      </x:c>
    </x:row>
    <x:row r="1123" ht="23" customHeight="1">
      <x:c r="B1123" s="8" t="str">
        <x:v>APP000373</x:v>
      </x:c>
      <x:c r="C1123" s="8" t="n">
        <x:v>2</x:v>
      </x:c>
      <x:c r="D1123" s="8" t="n">
        <x:v>1</x:v>
      </x:c>
      <x:c r="E1123" s="8" t="n">
        <x:v>2</x:v>
      </x:c>
    </x:row>
    <x:row r="1124" ht="23" customHeight="1">
      <x:c r="B1124" s="8" t="str">
        <x:v>APP000373</x:v>
      </x:c>
      <x:c r="C1124" s="8" t="n">
        <x:v>3</x:v>
      </x:c>
      <x:c r="D1124" s="8" t="n">
        <x:v>1</x:v>
      </x:c>
      <x:c r="E1124" s="8" t="n">
        <x:v>2</x:v>
      </x:c>
    </x:row>
    <x:row r="1125" ht="23" customHeight="1">
      <x:c r="B1125" s="8" t="str">
        <x:v>APP000374</x:v>
      </x:c>
      <x:c r="C1125" s="8" t="n">
        <x:v>1</x:v>
      </x:c>
      <x:c r="D1125" s="8" t="n">
        <x:v>1</x:v>
      </x:c>
      <x:c r="E1125" s="8" t="n">
        <x:v>2</x:v>
      </x:c>
    </x:row>
    <x:row r="1126" ht="23" customHeight="1">
      <x:c r="B1126" s="8" t="str">
        <x:v>APP000374</x:v>
      </x:c>
      <x:c r="C1126" s="8" t="n">
        <x:v>2</x:v>
      </x:c>
      <x:c r="D1126" s="8" t="n">
        <x:v>1</x:v>
      </x:c>
      <x:c r="E1126" s="8" t="n">
        <x:v>2</x:v>
      </x:c>
    </x:row>
    <x:row r="1127" ht="23" customHeight="1">
      <x:c r="B1127" s="8" t="str">
        <x:v>APP000374</x:v>
      </x:c>
      <x:c r="C1127" s="8" t="n">
        <x:v>3</x:v>
      </x:c>
      <x:c r="D1127" s="8" t="n">
        <x:v>1</x:v>
      </x:c>
      <x:c r="E1127" s="8" t="n">
        <x:v>2</x:v>
      </x:c>
    </x:row>
    <x:row r="1128" ht="23" customHeight="1">
      <x:c r="B1128" s="8" t="str">
        <x:v>APP000375</x:v>
      </x:c>
      <x:c r="C1128" s="8" t="n">
        <x:v>1</x:v>
      </x:c>
      <x:c r="D1128" s="8" t="n">
        <x:v>1</x:v>
      </x:c>
      <x:c r="E1128" s="8" t="n">
        <x:v>2</x:v>
      </x:c>
    </x:row>
    <x:row r="1129" ht="23" customHeight="1">
      <x:c r="B1129" s="8" t="str">
        <x:v>APP000375</x:v>
      </x:c>
      <x:c r="C1129" s="8" t="n">
        <x:v>2</x:v>
      </x:c>
      <x:c r="D1129" s="8" t="n">
        <x:v>1</x:v>
      </x:c>
      <x:c r="E1129" s="8" t="n">
        <x:v>2</x:v>
      </x:c>
    </x:row>
    <x:row r="1130" ht="23" customHeight="1">
      <x:c r="B1130" s="8" t="str">
        <x:v>APP000375</x:v>
      </x:c>
      <x:c r="C1130" s="8" t="n">
        <x:v>3</x:v>
      </x:c>
      <x:c r="D1130" s="8" t="n">
        <x:v>1</x:v>
      </x:c>
      <x:c r="E1130" s="8" t="n">
        <x:v>2</x:v>
      </x:c>
    </x:row>
    <x:row r="1131" ht="23" customHeight="1">
      <x:c r="B1131" s="8" t="str">
        <x:v>APP000376</x:v>
      </x:c>
      <x:c r="C1131" s="8" t="n">
        <x:v>1</x:v>
      </x:c>
      <x:c r="D1131" s="8" t="n">
        <x:v>1</x:v>
      </x:c>
      <x:c r="E1131" s="8" t="n">
        <x:v>2</x:v>
      </x:c>
    </x:row>
    <x:row r="1132" ht="23" customHeight="1">
      <x:c r="B1132" s="8" t="str">
        <x:v>APP000376</x:v>
      </x:c>
      <x:c r="C1132" s="8" t="n">
        <x:v>2</x:v>
      </x:c>
      <x:c r="D1132" s="8" t="n">
        <x:v>1</x:v>
      </x:c>
      <x:c r="E1132" s="8" t="n">
        <x:v>2</x:v>
      </x:c>
    </x:row>
    <x:row r="1133" ht="23" customHeight="1">
      <x:c r="B1133" s="8" t="str">
        <x:v>APP000376</x:v>
      </x:c>
      <x:c r="C1133" s="8" t="n">
        <x:v>3</x:v>
      </x:c>
      <x:c r="D1133" s="8" t="n">
        <x:v>1</x:v>
      </x:c>
      <x:c r="E1133" s="8" t="n">
        <x:v>2</x:v>
      </x:c>
    </x:row>
    <x:row r="1134" ht="23" customHeight="1">
      <x:c r="B1134" s="8" t="str">
        <x:v>APP000377</x:v>
      </x:c>
      <x:c r="C1134" s="8" t="n">
        <x:v>1</x:v>
      </x:c>
      <x:c r="D1134" s="8" t="n">
        <x:v>1</x:v>
      </x:c>
      <x:c r="E1134" s="8" t="n">
        <x:v>2</x:v>
      </x:c>
    </x:row>
    <x:row r="1135" ht="23" customHeight="1">
      <x:c r="B1135" s="8" t="str">
        <x:v>APP000377</x:v>
      </x:c>
      <x:c r="C1135" s="8" t="n">
        <x:v>2</x:v>
      </x:c>
      <x:c r="D1135" s="8" t="n">
        <x:v>1</x:v>
      </x:c>
      <x:c r="E1135" s="8" t="n">
        <x:v>2</x:v>
      </x:c>
    </x:row>
    <x:row r="1136" ht="23" customHeight="1">
      <x:c r="B1136" s="8" t="str">
        <x:v>APP000377</x:v>
      </x:c>
      <x:c r="C1136" s="8" t="n">
        <x:v>3</x:v>
      </x:c>
      <x:c r="D1136" s="8" t="n">
        <x:v>1</x:v>
      </x:c>
      <x:c r="E1136" s="8" t="n">
        <x:v>2</x:v>
      </x:c>
    </x:row>
    <x:row r="1137" ht="23" customHeight="1">
      <x:c r="B1137" s="8" t="str">
        <x:v>APP000378</x:v>
      </x:c>
      <x:c r="C1137" s="8" t="n">
        <x:v>1</x:v>
      </x:c>
      <x:c r="D1137" s="8" t="n">
        <x:v>1</x:v>
      </x:c>
      <x:c r="E1137" s="8" t="n">
        <x:v>2</x:v>
      </x:c>
    </x:row>
    <x:row r="1138" ht="23" customHeight="1">
      <x:c r="B1138" s="8" t="str">
        <x:v>APP000378</x:v>
      </x:c>
      <x:c r="C1138" s="8" t="n">
        <x:v>2</x:v>
      </x:c>
      <x:c r="D1138" s="8" t="n">
        <x:v>0</x:v>
      </x:c>
      <x:c r="E1138" s="8" t="n">
        <x:v>2</x:v>
      </x:c>
    </x:row>
    <x:row r="1139" ht="23" customHeight="1">
      <x:c r="B1139" s="8" t="str">
        <x:v>APP000378</x:v>
      </x:c>
      <x:c r="C1139" s="8" t="n">
        <x:v>3</x:v>
      </x:c>
      <x:c r="D1139" s="8" t="n">
        <x:v>1</x:v>
      </x:c>
      <x:c r="E1139" s="8" t="n">
        <x:v>2</x:v>
      </x:c>
    </x:row>
    <x:row r="1140" ht="23" customHeight="1">
      <x:c r="B1140" s="8" t="str">
        <x:v>APP000379</x:v>
      </x:c>
      <x:c r="C1140" s="8" t="n">
        <x:v>1</x:v>
      </x:c>
      <x:c r="D1140" s="8" t="n">
        <x:v>1</x:v>
      </x:c>
      <x:c r="E1140" s="8" t="n">
        <x:v>2</x:v>
      </x:c>
    </x:row>
    <x:row r="1141" ht="23" customHeight="1">
      <x:c r="B1141" s="8" t="str">
        <x:v>APP000379</x:v>
      </x:c>
      <x:c r="C1141" s="8" t="n">
        <x:v>2</x:v>
      </x:c>
      <x:c r="D1141" s="8" t="n">
        <x:v>1</x:v>
      </x:c>
      <x:c r="E1141" s="8" t="n">
        <x:v>2</x:v>
      </x:c>
    </x:row>
    <x:row r="1142" ht="23" customHeight="1">
      <x:c r="B1142" s="8" t="str">
        <x:v>APP000379</x:v>
      </x:c>
      <x:c r="C1142" s="8" t="n">
        <x:v>3</x:v>
      </x:c>
      <x:c r="D1142" s="8" t="n">
        <x:v>0</x:v>
      </x:c>
      <x:c r="E1142" s="8" t="n">
        <x:v>2</x:v>
      </x:c>
    </x:row>
    <x:row r="1143" ht="23" customHeight="1">
      <x:c r="B1143" s="8" t="str">
        <x:v>APP000380</x:v>
      </x:c>
      <x:c r="C1143" s="8" t="n">
        <x:v>1</x:v>
      </x:c>
      <x:c r="D1143" s="8" t="n">
        <x:v>1</x:v>
      </x:c>
      <x:c r="E1143" s="8" t="n">
        <x:v>2</x:v>
      </x:c>
    </x:row>
    <x:row r="1144" ht="23" customHeight="1">
      <x:c r="B1144" s="8" t="str">
        <x:v>APP000380</x:v>
      </x:c>
      <x:c r="C1144" s="8" t="n">
        <x:v>2</x:v>
      </x:c>
      <x:c r="D1144" s="8" t="n">
        <x:v>1</x:v>
      </x:c>
      <x:c r="E1144" s="8" t="n">
        <x:v>2</x:v>
      </x:c>
    </x:row>
    <x:row r="1145" ht="23" customHeight="1">
      <x:c r="B1145" s="8" t="str">
        <x:v>APP000380</x:v>
      </x:c>
      <x:c r="C1145" s="8" t="n">
        <x:v>3</x:v>
      </x:c>
      <x:c r="D1145" s="8" t="n">
        <x:v>1</x:v>
      </x:c>
      <x:c r="E1145" s="8" t="n">
        <x:v>2</x:v>
      </x:c>
    </x:row>
    <x:row r="1146" ht="23" customHeight="1">
      <x:c r="B1146" s="8" t="str">
        <x:v>APP000381</x:v>
      </x:c>
      <x:c r="C1146" s="8" t="n">
        <x:v>1</x:v>
      </x:c>
      <x:c r="D1146" s="8" t="n">
        <x:v>1</x:v>
      </x:c>
      <x:c r="E1146" s="8" t="n">
        <x:v>2</x:v>
      </x:c>
    </x:row>
    <x:row r="1147" ht="23" customHeight="1">
      <x:c r="B1147" s="8" t="str">
        <x:v>APP000381</x:v>
      </x:c>
      <x:c r="C1147" s="8" t="n">
        <x:v>2</x:v>
      </x:c>
      <x:c r="D1147" s="8" t="n">
        <x:v>1</x:v>
      </x:c>
      <x:c r="E1147" s="8" t="n">
        <x:v>2</x:v>
      </x:c>
    </x:row>
    <x:row r="1148" ht="23" customHeight="1">
      <x:c r="B1148" s="8" t="str">
        <x:v>APP000381</x:v>
      </x:c>
      <x:c r="C1148" s="8" t="n">
        <x:v>3</x:v>
      </x:c>
      <x:c r="D1148" s="8" t="n">
        <x:v>1</x:v>
      </x:c>
      <x:c r="E1148" s="8" t="n">
        <x:v>2</x:v>
      </x:c>
    </x:row>
    <x:row r="1149" ht="23" customHeight="1">
      <x:c r="B1149" s="8" t="str">
        <x:v>APP000382</x:v>
      </x:c>
      <x:c r="C1149" s="8" t="n">
        <x:v>1</x:v>
      </x:c>
      <x:c r="D1149" s="8" t="n">
        <x:v>1</x:v>
      </x:c>
      <x:c r="E1149" s="8" t="n">
        <x:v>2</x:v>
      </x:c>
    </x:row>
    <x:row r="1150" ht="23" customHeight="1">
      <x:c r="B1150" s="8" t="str">
        <x:v>APP000382</x:v>
      </x:c>
      <x:c r="C1150" s="8" t="n">
        <x:v>2</x:v>
      </x:c>
      <x:c r="D1150" s="8" t="n">
        <x:v>1</x:v>
      </x:c>
      <x:c r="E1150" s="8" t="n">
        <x:v>2</x:v>
      </x:c>
    </x:row>
    <x:row r="1151" ht="23" customHeight="1">
      <x:c r="B1151" s="8" t="str">
        <x:v>APP000382</x:v>
      </x:c>
      <x:c r="C1151" s="8" t="n">
        <x:v>3</x:v>
      </x:c>
      <x:c r="D1151" s="8" t="n">
        <x:v>1</x:v>
      </x:c>
      <x:c r="E1151" s="8" t="n">
        <x:v>2</x:v>
      </x:c>
    </x:row>
    <x:row r="1152" ht="23" customHeight="1">
      <x:c r="B1152" s="8" t="str">
        <x:v>APP000383</x:v>
      </x:c>
      <x:c r="C1152" s="8" t="n">
        <x:v>1</x:v>
      </x:c>
      <x:c r="D1152" s="8" t="n">
        <x:v>1</x:v>
      </x:c>
      <x:c r="E1152" s="8" t="n">
        <x:v>2</x:v>
      </x:c>
    </x:row>
    <x:row r="1153" ht="23" customHeight="1">
      <x:c r="B1153" s="8" t="str">
        <x:v>APP000383</x:v>
      </x:c>
      <x:c r="C1153" s="8" t="n">
        <x:v>2</x:v>
      </x:c>
      <x:c r="D1153" s="8" t="n">
        <x:v>1</x:v>
      </x:c>
      <x:c r="E1153" s="8" t="n">
        <x:v>2</x:v>
      </x:c>
    </x:row>
    <x:row r="1154" ht="23" customHeight="1">
      <x:c r="B1154" s="8" t="str">
        <x:v>APP000383</x:v>
      </x:c>
      <x:c r="C1154" s="8" t="n">
        <x:v>3</x:v>
      </x:c>
      <x:c r="D1154" s="8" t="n">
        <x:v>1</x:v>
      </x:c>
      <x:c r="E1154" s="8" t="n">
        <x:v>2</x:v>
      </x:c>
    </x:row>
    <x:row r="1155" ht="23" customHeight="1">
      <x:c r="B1155" s="8" t="str">
        <x:v>APP000384</x:v>
      </x:c>
      <x:c r="C1155" s="8" t="n">
        <x:v>1</x:v>
      </x:c>
      <x:c r="D1155" s="8" t="n">
        <x:v>1</x:v>
      </x:c>
      <x:c r="E1155" s="8" t="n">
        <x:v>2</x:v>
      </x:c>
    </x:row>
    <x:row r="1156" ht="23" customHeight="1">
      <x:c r="B1156" s="8" t="str">
        <x:v>APP000384</x:v>
      </x:c>
      <x:c r="C1156" s="8" t="n">
        <x:v>2</x:v>
      </x:c>
      <x:c r="D1156" s="8" t="n">
        <x:v>1</x:v>
      </x:c>
      <x:c r="E1156" s="8" t="n">
        <x:v>2</x:v>
      </x:c>
    </x:row>
    <x:row r="1157" ht="23" customHeight="1">
      <x:c r="B1157" s="8" t="str">
        <x:v>APP000384</x:v>
      </x:c>
      <x:c r="C1157" s="8" t="n">
        <x:v>3</x:v>
      </x:c>
      <x:c r="D1157" s="8" t="n">
        <x:v>1</x:v>
      </x:c>
      <x:c r="E1157" s="8" t="n">
        <x:v>2</x:v>
      </x:c>
    </x:row>
    <x:row r="1158" ht="23" customHeight="1">
      <x:c r="B1158" s="8" t="str">
        <x:v>APP000385</x:v>
      </x:c>
      <x:c r="C1158" s="8" t="n">
        <x:v>1</x:v>
      </x:c>
      <x:c r="D1158" s="8" t="n">
        <x:v>1</x:v>
      </x:c>
      <x:c r="E1158" s="8" t="n">
        <x:v>2</x:v>
      </x:c>
    </x:row>
    <x:row r="1159" ht="23" customHeight="1">
      <x:c r="B1159" s="8" t="str">
        <x:v>APP000385</x:v>
      </x:c>
      <x:c r="C1159" s="8" t="n">
        <x:v>2</x:v>
      </x:c>
      <x:c r="D1159" s="8" t="n">
        <x:v>1</x:v>
      </x:c>
      <x:c r="E1159" s="8" t="n">
        <x:v>2</x:v>
      </x:c>
    </x:row>
    <x:row r="1160" ht="23" customHeight="1">
      <x:c r="B1160" s="8" t="str">
        <x:v>APP000385</x:v>
      </x:c>
      <x:c r="C1160" s="8" t="n">
        <x:v>3</x:v>
      </x:c>
      <x:c r="D1160" s="8" t="n">
        <x:v>1</x:v>
      </x:c>
      <x:c r="E1160" s="8" t="n">
        <x:v>2</x:v>
      </x:c>
    </x:row>
    <x:row r="1161" ht="23" customHeight="1">
      <x:c r="B1161" s="8" t="str">
        <x:v>APP000386</x:v>
      </x:c>
      <x:c r="C1161" s="8" t="n">
        <x:v>1</x:v>
      </x:c>
      <x:c r="D1161" s="8" t="n">
        <x:v>1</x:v>
      </x:c>
      <x:c r="E1161" s="8" t="n">
        <x:v>2</x:v>
      </x:c>
    </x:row>
    <x:row r="1162" ht="23" customHeight="1">
      <x:c r="B1162" s="8" t="str">
        <x:v>APP000386</x:v>
      </x:c>
      <x:c r="C1162" s="8" t="n">
        <x:v>2</x:v>
      </x:c>
      <x:c r="D1162" s="8" t="n">
        <x:v>1</x:v>
      </x:c>
      <x:c r="E1162" s="8" t="n">
        <x:v>2</x:v>
      </x:c>
    </x:row>
    <x:row r="1163" ht="23" customHeight="1">
      <x:c r="B1163" s="8" t="str">
        <x:v>APP000386</x:v>
      </x:c>
      <x:c r="C1163" s="8" t="n">
        <x:v>3</x:v>
      </x:c>
      <x:c r="D1163" s="8" t="n">
        <x:v>1</x:v>
      </x:c>
      <x:c r="E1163" s="8" t="n">
        <x:v>2</x:v>
      </x:c>
    </x:row>
    <x:row r="1164" ht="23" customHeight="1">
      <x:c r="B1164" s="8" t="str">
        <x:v>APP000387</x:v>
      </x:c>
      <x:c r="C1164" s="8" t="n">
        <x:v>1</x:v>
      </x:c>
      <x:c r="D1164" s="8" t="n">
        <x:v>1</x:v>
      </x:c>
      <x:c r="E1164" s="8" t="n">
        <x:v>2</x:v>
      </x:c>
    </x:row>
    <x:row r="1165" ht="23" customHeight="1">
      <x:c r="B1165" s="8" t="str">
        <x:v>APP000387</x:v>
      </x:c>
      <x:c r="C1165" s="8" t="n">
        <x:v>2</x:v>
      </x:c>
      <x:c r="D1165" s="8" t="n">
        <x:v>1</x:v>
      </x:c>
      <x:c r="E1165" s="8" t="n">
        <x:v>2</x:v>
      </x:c>
    </x:row>
    <x:row r="1166" ht="23" customHeight="1">
      <x:c r="B1166" s="8" t="str">
        <x:v>APP000387</x:v>
      </x:c>
      <x:c r="C1166" s="8" t="n">
        <x:v>3</x:v>
      </x:c>
      <x:c r="D1166" s="8" t="n">
        <x:v>1</x:v>
      </x:c>
      <x:c r="E1166" s="8" t="n">
        <x:v>2</x:v>
      </x:c>
    </x:row>
    <x:row r="1167" ht="23" customHeight="1">
      <x:c r="B1167" s="8" t="str">
        <x:v>APP000388</x:v>
      </x:c>
      <x:c r="C1167" s="8" t="n">
        <x:v>1</x:v>
      </x:c>
      <x:c r="D1167" s="8" t="n">
        <x:v>1</x:v>
      </x:c>
      <x:c r="E1167" s="8" t="n">
        <x:v>2</x:v>
      </x:c>
    </x:row>
    <x:row r="1168" ht="23" customHeight="1">
      <x:c r="B1168" s="8" t="str">
        <x:v>APP000388</x:v>
      </x:c>
      <x:c r="C1168" s="8" t="n">
        <x:v>2</x:v>
      </x:c>
      <x:c r="D1168" s="8" t="n">
        <x:v>1</x:v>
      </x:c>
      <x:c r="E1168" s="8" t="n">
        <x:v>2</x:v>
      </x:c>
    </x:row>
    <x:row r="1169" ht="23" customHeight="1">
      <x:c r="B1169" s="8" t="str">
        <x:v>APP000388</x:v>
      </x:c>
      <x:c r="C1169" s="8" t="n">
        <x:v>3</x:v>
      </x:c>
      <x:c r="D1169" s="8" t="n">
        <x:v>0</x:v>
      </x:c>
      <x:c r="E1169" s="8" t="n">
        <x:v>2</x:v>
      </x:c>
    </x:row>
    <x:row r="1170" ht="23" customHeight="1">
      <x:c r="B1170" s="8" t="str">
        <x:v>APP000389</x:v>
      </x:c>
      <x:c r="C1170" s="8" t="n">
        <x:v>1</x:v>
      </x:c>
      <x:c r="D1170" s="8" t="n">
        <x:v>1</x:v>
      </x:c>
      <x:c r="E1170" s="8" t="n">
        <x:v>2</x:v>
      </x:c>
    </x:row>
    <x:row r="1171" ht="23" customHeight="1">
      <x:c r="B1171" s="8" t="str">
        <x:v>APP000389</x:v>
      </x:c>
      <x:c r="C1171" s="8" t="n">
        <x:v>2</x:v>
      </x:c>
      <x:c r="D1171" s="8" t="n">
        <x:v>1</x:v>
      </x:c>
      <x:c r="E1171" s="8" t="n">
        <x:v>2</x:v>
      </x:c>
    </x:row>
    <x:row r="1172" ht="23" customHeight="1">
      <x:c r="B1172" s="8" t="str">
        <x:v>APP000389</x:v>
      </x:c>
      <x:c r="C1172" s="8" t="n">
        <x:v>3</x:v>
      </x:c>
      <x:c r="D1172" s="8" t="n">
        <x:v>1</x:v>
      </x:c>
      <x:c r="E1172" s="8" t="n">
        <x:v>2</x:v>
      </x:c>
    </x:row>
    <x:row r="1173" ht="23" customHeight="1">
      <x:c r="B1173" s="8" t="str">
        <x:v>APP000390</x:v>
      </x:c>
      <x:c r="C1173" s="8" t="n">
        <x:v>1</x:v>
      </x:c>
      <x:c r="D1173" s="8" t="n">
        <x:v>1</x:v>
      </x:c>
      <x:c r="E1173" s="8" t="n">
        <x:v>2</x:v>
      </x:c>
    </x:row>
    <x:row r="1174" ht="23" customHeight="1">
      <x:c r="B1174" s="8" t="str">
        <x:v>APP000390</x:v>
      </x:c>
      <x:c r="C1174" s="8" t="n">
        <x:v>2</x:v>
      </x:c>
      <x:c r="D1174" s="8" t="n">
        <x:v>1</x:v>
      </x:c>
      <x:c r="E1174" s="8" t="n">
        <x:v>2</x:v>
      </x:c>
    </x:row>
    <x:row r="1175" ht="23" customHeight="1">
      <x:c r="B1175" s="8" t="str">
        <x:v>APP000390</x:v>
      </x:c>
      <x:c r="C1175" s="8" t="n">
        <x:v>3</x:v>
      </x:c>
      <x:c r="D1175" s="8" t="n">
        <x:v>1</x:v>
      </x:c>
      <x:c r="E1175" s="8" t="n">
        <x:v>2</x:v>
      </x:c>
    </x:row>
    <x:row r="1176" ht="23" customHeight="1">
      <x:c r="B1176" s="8" t="str">
        <x:v>APP000391</x:v>
      </x:c>
      <x:c r="C1176" s="8" t="n">
        <x:v>1</x:v>
      </x:c>
      <x:c r="D1176" s="8" t="n">
        <x:v>1</x:v>
      </x:c>
      <x:c r="E1176" s="8" t="n">
        <x:v>2</x:v>
      </x:c>
    </x:row>
    <x:row r="1177" ht="23" customHeight="1">
      <x:c r="B1177" s="8" t="str">
        <x:v>APP000391</x:v>
      </x:c>
      <x:c r="C1177" s="8" t="n">
        <x:v>2</x:v>
      </x:c>
      <x:c r="D1177" s="8" t="n">
        <x:v>0</x:v>
      </x:c>
      <x:c r="E1177" s="8" t="n">
        <x:v>2</x:v>
      </x:c>
    </x:row>
    <x:row r="1178" ht="23" customHeight="1">
      <x:c r="B1178" s="8" t="str">
        <x:v>APP000391</x:v>
      </x:c>
      <x:c r="C1178" s="8" t="n">
        <x:v>3</x:v>
      </x:c>
      <x:c r="D1178" s="8" t="n">
        <x:v>1</x:v>
      </x:c>
      <x:c r="E1178" s="8" t="n">
        <x:v>2</x:v>
      </x:c>
    </x:row>
    <x:row r="1179" ht="23" customHeight="1">
      <x:c r="B1179" s="8" t="str">
        <x:v>APP000392</x:v>
      </x:c>
      <x:c r="C1179" s="8" t="n">
        <x:v>1</x:v>
      </x:c>
      <x:c r="D1179" s="8" t="n">
        <x:v>1</x:v>
      </x:c>
      <x:c r="E1179" s="8" t="n">
        <x:v>2</x:v>
      </x:c>
    </x:row>
    <x:row r="1180" ht="23" customHeight="1">
      <x:c r="B1180" s="8" t="str">
        <x:v>APP000392</x:v>
      </x:c>
      <x:c r="C1180" s="8" t="n">
        <x:v>2</x:v>
      </x:c>
      <x:c r="D1180" s="8" t="n">
        <x:v>1</x:v>
      </x:c>
      <x:c r="E1180" s="8" t="n">
        <x:v>2</x:v>
      </x:c>
    </x:row>
    <x:row r="1181" ht="23" customHeight="1">
      <x:c r="B1181" s="8" t="str">
        <x:v>APP000392</x:v>
      </x:c>
      <x:c r="C1181" s="8" t="n">
        <x:v>3</x:v>
      </x:c>
      <x:c r="D1181" s="8" t="n">
        <x:v>1</x:v>
      </x:c>
      <x:c r="E1181" s="8" t="n">
        <x:v>2</x:v>
      </x:c>
    </x:row>
    <x:row r="1182" ht="23" customHeight="1">
      <x:c r="B1182" s="8" t="str">
        <x:v>APP000393</x:v>
      </x:c>
      <x:c r="C1182" s="8" t="n">
        <x:v>1</x:v>
      </x:c>
      <x:c r="D1182" s="8" t="n">
        <x:v>1</x:v>
      </x:c>
      <x:c r="E1182" s="8" t="n">
        <x:v>2</x:v>
      </x:c>
    </x:row>
    <x:row r="1183" ht="23" customHeight="1">
      <x:c r="B1183" s="8" t="str">
        <x:v>APP000393</x:v>
      </x:c>
      <x:c r="C1183" s="8" t="n">
        <x:v>2</x:v>
      </x:c>
      <x:c r="D1183" s="8" t="n">
        <x:v>1</x:v>
      </x:c>
      <x:c r="E1183" s="8" t="n">
        <x:v>2</x:v>
      </x:c>
    </x:row>
    <x:row r="1184" ht="23" customHeight="1">
      <x:c r="B1184" s="8" t="str">
        <x:v>APP000393</x:v>
      </x:c>
      <x:c r="C1184" s="8" t="n">
        <x:v>3</x:v>
      </x:c>
      <x:c r="D1184" s="8" t="n">
        <x:v>1</x:v>
      </x:c>
      <x:c r="E1184" s="8" t="n">
        <x:v>2</x:v>
      </x:c>
    </x:row>
    <x:row r="1185" ht="23" customHeight="1">
      <x:c r="B1185" s="8" t="str">
        <x:v>APP000394</x:v>
      </x:c>
      <x:c r="C1185" s="8" t="n">
        <x:v>1</x:v>
      </x:c>
      <x:c r="D1185" s="8" t="n">
        <x:v>1</x:v>
      </x:c>
      <x:c r="E1185" s="8" t="n">
        <x:v>2</x:v>
      </x:c>
    </x:row>
    <x:row r="1186" ht="23" customHeight="1">
      <x:c r="B1186" s="8" t="str">
        <x:v>APP000394</x:v>
      </x:c>
      <x:c r="C1186" s="8" t="n">
        <x:v>2</x:v>
      </x:c>
      <x:c r="D1186" s="8" t="n">
        <x:v>1</x:v>
      </x:c>
      <x:c r="E1186" s="8" t="n">
        <x:v>2</x:v>
      </x:c>
    </x:row>
    <x:row r="1187" ht="23" customHeight="1">
      <x:c r="B1187" s="8" t="str">
        <x:v>APP000394</x:v>
      </x:c>
      <x:c r="C1187" s="8" t="n">
        <x:v>3</x:v>
      </x:c>
      <x:c r="D1187" s="8" t="n">
        <x:v>1</x:v>
      </x:c>
      <x:c r="E1187" s="8" t="n">
        <x:v>2</x:v>
      </x:c>
    </x:row>
    <x:row r="1188" ht="23" customHeight="1">
      <x:c r="B1188" s="8" t="str">
        <x:v>APP000395</x:v>
      </x:c>
      <x:c r="C1188" s="8" t="n">
        <x:v>1</x:v>
      </x:c>
      <x:c r="D1188" s="8" t="n">
        <x:v>1</x:v>
      </x:c>
      <x:c r="E1188" s="8" t="n">
        <x:v>2</x:v>
      </x:c>
    </x:row>
    <x:row r="1189" ht="23" customHeight="1">
      <x:c r="B1189" s="8" t="str">
        <x:v>APP000395</x:v>
      </x:c>
      <x:c r="C1189" s="8" t="n">
        <x:v>2</x:v>
      </x:c>
      <x:c r="D1189" s="8" t="n">
        <x:v>1</x:v>
      </x:c>
      <x:c r="E1189" s="8" t="n">
        <x:v>2</x:v>
      </x:c>
    </x:row>
    <x:row r="1190" ht="23" customHeight="1">
      <x:c r="B1190" s="8" t="str">
        <x:v>APP000395</x:v>
      </x:c>
      <x:c r="C1190" s="8" t="n">
        <x:v>3</x:v>
      </x:c>
      <x:c r="D1190" s="8" t="n">
        <x:v>1</x:v>
      </x:c>
      <x:c r="E1190" s="8" t="n">
        <x:v>2</x:v>
      </x:c>
    </x:row>
    <x:row r="1191" ht="23" customHeight="1">
      <x:c r="B1191" s="8" t="str">
        <x:v>APP000396</x:v>
      </x:c>
      <x:c r="C1191" s="8" t="n">
        <x:v>1</x:v>
      </x:c>
      <x:c r="D1191" s="8" t="n">
        <x:v>1</x:v>
      </x:c>
      <x:c r="E1191" s="8" t="n">
        <x:v>2</x:v>
      </x:c>
    </x:row>
    <x:row r="1192" ht="23" customHeight="1">
      <x:c r="B1192" s="8" t="str">
        <x:v>APP000396</x:v>
      </x:c>
      <x:c r="C1192" s="8" t="n">
        <x:v>2</x:v>
      </x:c>
      <x:c r="D1192" s="8" t="n">
        <x:v>1</x:v>
      </x:c>
      <x:c r="E1192" s="8" t="n">
        <x:v>2</x:v>
      </x:c>
    </x:row>
    <x:row r="1193" ht="23" customHeight="1">
      <x:c r="B1193" s="8" t="str">
        <x:v>APP000396</x:v>
      </x:c>
      <x:c r="C1193" s="8" t="n">
        <x:v>3</x:v>
      </x:c>
      <x:c r="D1193" s="8" t="n">
        <x:v>1</x:v>
      </x:c>
      <x:c r="E1193" s="8" t="n">
        <x:v>2</x:v>
      </x:c>
    </x:row>
    <x:row r="1194" ht="23" customHeight="1">
      <x:c r="B1194" s="8" t="str">
        <x:v>APP000397</x:v>
      </x:c>
      <x:c r="C1194" s="8" t="n">
        <x:v>1</x:v>
      </x:c>
      <x:c r="D1194" s="8" t="n">
        <x:v>1</x:v>
      </x:c>
      <x:c r="E1194" s="8" t="n">
        <x:v>2</x:v>
      </x:c>
    </x:row>
    <x:row r="1195" ht="23" customHeight="1">
      <x:c r="B1195" s="8" t="str">
        <x:v>APP000397</x:v>
      </x:c>
      <x:c r="C1195" s="8" t="n">
        <x:v>2</x:v>
      </x:c>
      <x:c r="D1195" s="8" t="n">
        <x:v>1</x:v>
      </x:c>
      <x:c r="E1195" s="8" t="n">
        <x:v>2</x:v>
      </x:c>
    </x:row>
    <x:row r="1196" ht="23" customHeight="1">
      <x:c r="B1196" s="8" t="str">
        <x:v>APP000397</x:v>
      </x:c>
      <x:c r="C1196" s="8" t="n">
        <x:v>3</x:v>
      </x:c>
      <x:c r="D1196" s="8" t="n">
        <x:v>0</x:v>
      </x:c>
      <x:c r="E1196" s="8" t="n">
        <x:v>2</x:v>
      </x:c>
    </x:row>
    <x:row r="1197" ht="23" customHeight="1">
      <x:c r="B1197" s="8" t="str">
        <x:v>APP000398</x:v>
      </x:c>
      <x:c r="C1197" s="8" t="n">
        <x:v>1</x:v>
      </x:c>
      <x:c r="D1197" s="8" t="n">
        <x:v>1</x:v>
      </x:c>
      <x:c r="E1197" s="8" t="n">
        <x:v>2</x:v>
      </x:c>
    </x:row>
    <x:row r="1198" ht="23" customHeight="1">
      <x:c r="B1198" s="8" t="str">
        <x:v>APP000398</x:v>
      </x:c>
      <x:c r="C1198" s="8" t="n">
        <x:v>2</x:v>
      </x:c>
      <x:c r="D1198" s="8" t="n">
        <x:v>1</x:v>
      </x:c>
      <x:c r="E1198" s="8" t="n">
        <x:v>2</x:v>
      </x:c>
    </x:row>
    <x:row r="1199" ht="23" customHeight="1">
      <x:c r="B1199" s="8" t="str">
        <x:v>APP000398</x:v>
      </x:c>
      <x:c r="C1199" s="8" t="n">
        <x:v>3</x:v>
      </x:c>
      <x:c r="D1199" s="8" t="n">
        <x:v>1</x:v>
      </x:c>
      <x:c r="E1199" s="8" t="n">
        <x:v>2</x:v>
      </x:c>
    </x:row>
    <x:row r="1200" ht="23" customHeight="1">
      <x:c r="B1200" s="8" t="str">
        <x:v>APP000399</x:v>
      </x:c>
      <x:c r="C1200" s="8" t="n">
        <x:v>1</x:v>
      </x:c>
      <x:c r="D1200" s="8" t="n">
        <x:v>1</x:v>
      </x:c>
      <x:c r="E1200" s="8" t="n">
        <x:v>2</x:v>
      </x:c>
    </x:row>
    <x:row r="1201" ht="23" customHeight="1">
      <x:c r="B1201" s="8" t="str">
        <x:v>APP000399</x:v>
      </x:c>
      <x:c r="C1201" s="8" t="n">
        <x:v>2</x:v>
      </x:c>
      <x:c r="D1201" s="8" t="n">
        <x:v>1</x:v>
      </x:c>
      <x:c r="E1201" s="8" t="n">
        <x:v>2</x:v>
      </x:c>
    </x:row>
    <x:row r="1202" ht="23" customHeight="1">
      <x:c r="B1202" s="8" t="str">
        <x:v>APP000399</x:v>
      </x:c>
      <x:c r="C1202" s="8" t="n">
        <x:v>3</x:v>
      </x:c>
      <x:c r="D1202" s="8" t="n">
        <x:v>1</x:v>
      </x:c>
      <x:c r="E1202" s="8" t="n">
        <x:v>2</x:v>
      </x:c>
    </x:row>
    <x:row r="1203" ht="23" customHeight="1">
      <x:c r="B1203" s="8" t="str">
        <x:v>APP000400</x:v>
      </x:c>
      <x:c r="C1203" s="8" t="n">
        <x:v>1</x:v>
      </x:c>
      <x:c r="D1203" s="8" t="n">
        <x:v>1</x:v>
      </x:c>
      <x:c r="E1203" s="8" t="n">
        <x:v>2</x:v>
      </x:c>
    </x:row>
    <x:row r="1204" ht="23" customHeight="1">
      <x:c r="B1204" s="8" t="str">
        <x:v>APP000400</x:v>
      </x:c>
      <x:c r="C1204" s="8" t="n">
        <x:v>2</x:v>
      </x:c>
      <x:c r="D1204" s="8" t="n">
        <x:v>1</x:v>
      </x:c>
      <x:c r="E1204" s="8" t="n">
        <x:v>2</x:v>
      </x:c>
    </x:row>
    <x:row r="1205" ht="23" customHeight="1">
      <x:c r="B1205" s="8" t="str">
        <x:v>APP000400</x:v>
      </x:c>
      <x:c r="C1205" s="8" t="n">
        <x:v>3</x:v>
      </x:c>
      <x:c r="D1205" s="8" t="n">
        <x:v>1</x:v>
      </x:c>
      <x:c r="E1205" s="8" t="n">
        <x:v>2</x:v>
      </x:c>
    </x:row>
    <x:row r="1206" ht="23" customHeight="1">
      <x:c r="B1206" s="8" t="str">
        <x:v>APP000401</x:v>
      </x:c>
      <x:c r="C1206" s="8" t="n">
        <x:v>1</x:v>
      </x:c>
      <x:c r="D1206" s="8" t="n">
        <x:v>1</x:v>
      </x:c>
      <x:c r="E1206" s="8" t="n">
        <x:v>2</x:v>
      </x:c>
    </x:row>
    <x:row r="1207" ht="23" customHeight="1">
      <x:c r="B1207" s="8" t="str">
        <x:v>APP000401</x:v>
      </x:c>
      <x:c r="C1207" s="8" t="n">
        <x:v>2</x:v>
      </x:c>
      <x:c r="D1207" s="8" t="n">
        <x:v>1</x:v>
      </x:c>
      <x:c r="E1207" s="8" t="n">
        <x:v>2</x:v>
      </x:c>
    </x:row>
    <x:row r="1208" ht="23" customHeight="1">
      <x:c r="B1208" s="8" t="str">
        <x:v>APP000401</x:v>
      </x:c>
      <x:c r="C1208" s="8" t="n">
        <x:v>3</x:v>
      </x:c>
      <x:c r="D1208" s="8" t="n">
        <x:v>1</x:v>
      </x:c>
      <x:c r="E1208" s="8" t="n">
        <x:v>2</x:v>
      </x:c>
    </x:row>
    <x:row r="1209" ht="23" customHeight="1">
      <x:c r="B1209" s="8" t="str">
        <x:v>APP000402</x:v>
      </x:c>
      <x:c r="C1209" s="8" t="n">
        <x:v>1</x:v>
      </x:c>
      <x:c r="D1209" s="8" t="n">
        <x:v>1</x:v>
      </x:c>
      <x:c r="E1209" s="8" t="n">
        <x:v>2</x:v>
      </x:c>
    </x:row>
    <x:row r="1210" ht="23" customHeight="1">
      <x:c r="B1210" s="8" t="str">
        <x:v>APP000402</x:v>
      </x:c>
      <x:c r="C1210" s="8" t="n">
        <x:v>2</x:v>
      </x:c>
      <x:c r="D1210" s="8" t="n">
        <x:v>1</x:v>
      </x:c>
      <x:c r="E1210" s="8" t="n">
        <x:v>2</x:v>
      </x:c>
    </x:row>
    <x:row r="1211" ht="23" customHeight="1">
      <x:c r="B1211" s="8" t="str">
        <x:v>APP000402</x:v>
      </x:c>
      <x:c r="C1211" s="8" t="n">
        <x:v>3</x:v>
      </x:c>
      <x:c r="D1211" s="8" t="n">
        <x:v>1</x:v>
      </x:c>
      <x:c r="E1211" s="8" t="n">
        <x:v>2</x:v>
      </x:c>
    </x:row>
    <x:row r="1212" ht="23" customHeight="1">
      <x:c r="B1212" s="8" t="str">
        <x:v>APP000403</x:v>
      </x:c>
      <x:c r="C1212" s="8" t="n">
        <x:v>1</x:v>
      </x:c>
      <x:c r="D1212" s="8" t="n">
        <x:v>1</x:v>
      </x:c>
      <x:c r="E1212" s="8" t="n">
        <x:v>2</x:v>
      </x:c>
    </x:row>
    <x:row r="1213" ht="23" customHeight="1">
      <x:c r="B1213" s="8" t="str">
        <x:v>APP000403</x:v>
      </x:c>
      <x:c r="C1213" s="8" t="n">
        <x:v>2</x:v>
      </x:c>
      <x:c r="D1213" s="8" t="n">
        <x:v>1</x:v>
      </x:c>
      <x:c r="E1213" s="8" t="n">
        <x:v>2</x:v>
      </x:c>
    </x:row>
    <x:row r="1214" ht="23" customHeight="1">
      <x:c r="B1214" s="8" t="str">
        <x:v>APP000403</x:v>
      </x:c>
      <x:c r="C1214" s="8" t="n">
        <x:v>3</x:v>
      </x:c>
      <x:c r="D1214" s="8" t="n">
        <x:v>1</x:v>
      </x:c>
      <x:c r="E1214" s="8" t="n">
        <x:v>2</x:v>
      </x:c>
    </x:row>
    <x:row r="1215" ht="23" customHeight="1">
      <x:c r="B1215" s="8" t="str">
        <x:v>APP000404</x:v>
      </x:c>
      <x:c r="C1215" s="8" t="n">
        <x:v>1</x:v>
      </x:c>
      <x:c r="D1215" s="8" t="n">
        <x:v>1</x:v>
      </x:c>
      <x:c r="E1215" s="8" t="n">
        <x:v>2</x:v>
      </x:c>
    </x:row>
    <x:row r="1216" ht="23" customHeight="1">
      <x:c r="B1216" s="8" t="str">
        <x:v>APP000404</x:v>
      </x:c>
      <x:c r="C1216" s="8" t="n">
        <x:v>2</x:v>
      </x:c>
      <x:c r="D1216" s="8" t="n">
        <x:v>0</x:v>
      </x:c>
      <x:c r="E1216" s="8" t="n">
        <x:v>2</x:v>
      </x:c>
    </x:row>
    <x:row r="1217" ht="23" customHeight="1">
      <x:c r="B1217" s="8" t="str">
        <x:v>APP000404</x:v>
      </x:c>
      <x:c r="C1217" s="8" t="n">
        <x:v>3</x:v>
      </x:c>
      <x:c r="D1217" s="8" t="n">
        <x:v>1</x:v>
      </x:c>
      <x:c r="E1217" s="8" t="n">
        <x:v>2</x:v>
      </x:c>
    </x:row>
    <x:row r="1218" ht="23" customHeight="1">
      <x:c r="B1218" s="8" t="str">
        <x:v>APP000405</x:v>
      </x:c>
      <x:c r="C1218" s="8" t="n">
        <x:v>1</x:v>
      </x:c>
      <x:c r="D1218" s="8" t="n">
        <x:v>1</x:v>
      </x:c>
      <x:c r="E1218" s="8" t="n">
        <x:v>2</x:v>
      </x:c>
    </x:row>
    <x:row r="1219" ht="23" customHeight="1">
      <x:c r="B1219" s="8" t="str">
        <x:v>APP000405</x:v>
      </x:c>
      <x:c r="C1219" s="8" t="n">
        <x:v>2</x:v>
      </x:c>
      <x:c r="D1219" s="8" t="n">
        <x:v>1</x:v>
      </x:c>
      <x:c r="E1219" s="8" t="n">
        <x:v>2</x:v>
      </x:c>
    </x:row>
    <x:row r="1220" ht="23" customHeight="1">
      <x:c r="B1220" s="8" t="str">
        <x:v>APP000405</x:v>
      </x:c>
      <x:c r="C1220" s="8" t="n">
        <x:v>3</x:v>
      </x:c>
      <x:c r="D1220" s="8" t="n">
        <x:v>1</x:v>
      </x:c>
      <x:c r="E1220" s="8" t="n">
        <x:v>2</x:v>
      </x:c>
    </x:row>
    <x:row r="1221" ht="23" customHeight="1">
      <x:c r="B1221" s="8" t="str">
        <x:v>APP000406</x:v>
      </x:c>
      <x:c r="C1221" s="8" t="n">
        <x:v>1</x:v>
      </x:c>
      <x:c r="D1221" s="8" t="n">
        <x:v>1</x:v>
      </x:c>
      <x:c r="E1221" s="8" t="n">
        <x:v>2</x:v>
      </x:c>
    </x:row>
    <x:row r="1222" ht="23" customHeight="1">
      <x:c r="B1222" s="8" t="str">
        <x:v>APP000406</x:v>
      </x:c>
      <x:c r="C1222" s="8" t="n">
        <x:v>2</x:v>
      </x:c>
      <x:c r="D1222" s="8" t="n">
        <x:v>1</x:v>
      </x:c>
      <x:c r="E1222" s="8" t="n">
        <x:v>2</x:v>
      </x:c>
    </x:row>
    <x:row r="1223" ht="23" customHeight="1">
      <x:c r="B1223" s="8" t="str">
        <x:v>APP000406</x:v>
      </x:c>
      <x:c r="C1223" s="8" t="n">
        <x:v>3</x:v>
      </x:c>
      <x:c r="D1223" s="8" t="n">
        <x:v>0</x:v>
      </x:c>
      <x:c r="E1223" s="8" t="n">
        <x:v>2</x:v>
      </x:c>
    </x:row>
    <x:row r="1224" ht="23" customHeight="1">
      <x:c r="B1224" s="8" t="str">
        <x:v>APP000407</x:v>
      </x:c>
      <x:c r="C1224" s="8" t="n">
        <x:v>1</x:v>
      </x:c>
      <x:c r="D1224" s="8" t="n">
        <x:v>1</x:v>
      </x:c>
      <x:c r="E1224" s="8" t="n">
        <x:v>2</x:v>
      </x:c>
    </x:row>
    <x:row r="1225" ht="23" customHeight="1">
      <x:c r="B1225" s="8" t="str">
        <x:v>APP000407</x:v>
      </x:c>
      <x:c r="C1225" s="8" t="n">
        <x:v>2</x:v>
      </x:c>
      <x:c r="D1225" s="8" t="n">
        <x:v>1</x:v>
      </x:c>
      <x:c r="E1225" s="8" t="n">
        <x:v>2</x:v>
      </x:c>
    </x:row>
    <x:row r="1226" ht="23" customHeight="1">
      <x:c r="B1226" s="8" t="str">
        <x:v>APP000407</x:v>
      </x:c>
      <x:c r="C1226" s="8" t="n">
        <x:v>3</x:v>
      </x:c>
      <x:c r="D1226" s="8" t="n">
        <x:v>1</x:v>
      </x:c>
      <x:c r="E1226" s="8" t="n">
        <x:v>2</x:v>
      </x:c>
    </x:row>
    <x:row r="1227" ht="23" customHeight="1">
      <x:c r="B1227" s="8" t="str">
        <x:v>APP000408</x:v>
      </x:c>
      <x:c r="C1227" s="8" t="n">
        <x:v>1</x:v>
      </x:c>
      <x:c r="D1227" s="8" t="n">
        <x:v>1</x:v>
      </x:c>
      <x:c r="E1227" s="8" t="n">
        <x:v>2</x:v>
      </x:c>
    </x:row>
    <x:row r="1228" ht="23" customHeight="1">
      <x:c r="B1228" s="8" t="str">
        <x:v>APP000408</x:v>
      </x:c>
      <x:c r="C1228" s="8" t="n">
        <x:v>2</x:v>
      </x:c>
      <x:c r="D1228" s="8" t="n">
        <x:v>1</x:v>
      </x:c>
      <x:c r="E1228" s="8" t="n">
        <x:v>2</x:v>
      </x:c>
    </x:row>
    <x:row r="1229" ht="23" customHeight="1">
      <x:c r="B1229" s="8" t="str">
        <x:v>APP000408</x:v>
      </x:c>
      <x:c r="C1229" s="8" t="n">
        <x:v>3</x:v>
      </x:c>
      <x:c r="D1229" s="8" t="n">
        <x:v>1</x:v>
      </x:c>
      <x:c r="E1229" s="8" t="n">
        <x:v>2</x:v>
      </x:c>
    </x:row>
    <x:row r="1230" ht="23" customHeight="1">
      <x:c r="B1230" s="8" t="str">
        <x:v>APP000409</x:v>
      </x:c>
      <x:c r="C1230" s="8" t="n">
        <x:v>1</x:v>
      </x:c>
      <x:c r="D1230" s="8" t="n">
        <x:v>1</x:v>
      </x:c>
      <x:c r="E1230" s="8" t="n">
        <x:v>2</x:v>
      </x:c>
    </x:row>
    <x:row r="1231" ht="23" customHeight="1">
      <x:c r="B1231" s="8" t="str">
        <x:v>APP000409</x:v>
      </x:c>
      <x:c r="C1231" s="8" t="n">
        <x:v>2</x:v>
      </x:c>
      <x:c r="D1231" s="8" t="n">
        <x:v>1</x:v>
      </x:c>
      <x:c r="E1231" s="8" t="n">
        <x:v>2</x:v>
      </x:c>
    </x:row>
    <x:row r="1232" ht="23" customHeight="1">
      <x:c r="B1232" s="8" t="str">
        <x:v>APP000409</x:v>
      </x:c>
      <x:c r="C1232" s="8" t="n">
        <x:v>3</x:v>
      </x:c>
      <x:c r="D1232" s="8" t="n">
        <x:v>1</x:v>
      </x:c>
      <x:c r="E1232" s="8" t="n">
        <x:v>2</x:v>
      </x:c>
    </x:row>
    <x:row r="1233" ht="23" customHeight="1">
      <x:c r="B1233" s="8" t="str">
        <x:v>APP000410</x:v>
      </x:c>
      <x:c r="C1233" s="8" t="n">
        <x:v>1</x:v>
      </x:c>
      <x:c r="D1233" s="8" t="n">
        <x:v>1</x:v>
      </x:c>
      <x:c r="E1233" s="8" t="n">
        <x:v>2</x:v>
      </x:c>
    </x:row>
    <x:row r="1234" ht="23" customHeight="1">
      <x:c r="B1234" s="8" t="str">
        <x:v>APP000410</x:v>
      </x:c>
      <x:c r="C1234" s="8" t="n">
        <x:v>2</x:v>
      </x:c>
      <x:c r="D1234" s="8" t="n">
        <x:v>1</x:v>
      </x:c>
      <x:c r="E1234" s="8" t="n">
        <x:v>2</x:v>
      </x:c>
    </x:row>
    <x:row r="1235" ht="23" customHeight="1">
      <x:c r="B1235" s="8" t="str">
        <x:v>APP000410</x:v>
      </x:c>
      <x:c r="C1235" s="8" t="n">
        <x:v>3</x:v>
      </x:c>
      <x:c r="D1235" s="8" t="n">
        <x:v>1</x:v>
      </x:c>
      <x:c r="E1235" s="8" t="n">
        <x:v>2</x:v>
      </x:c>
    </x:row>
    <x:row r="1236" ht="23" customHeight="1">
      <x:c r="B1236" s="8" t="str">
        <x:v>APP000411</x:v>
      </x:c>
      <x:c r="C1236" s="8" t="n">
        <x:v>1</x:v>
      </x:c>
      <x:c r="D1236" s="8" t="n">
        <x:v>1</x:v>
      </x:c>
      <x:c r="E1236" s="8" t="n">
        <x:v>2</x:v>
      </x:c>
    </x:row>
    <x:row r="1237" ht="23" customHeight="1">
      <x:c r="B1237" s="8" t="str">
        <x:v>APP000411</x:v>
      </x:c>
      <x:c r="C1237" s="8" t="n">
        <x:v>2</x:v>
      </x:c>
      <x:c r="D1237" s="8" t="n">
        <x:v>1</x:v>
      </x:c>
      <x:c r="E1237" s="8" t="n">
        <x:v>2</x:v>
      </x:c>
    </x:row>
    <x:row r="1238" ht="23" customHeight="1">
      <x:c r="B1238" s="8" t="str">
        <x:v>APP000411</x:v>
      </x:c>
      <x:c r="C1238" s="8" t="n">
        <x:v>3</x:v>
      </x:c>
      <x:c r="D1238" s="8" t="n">
        <x:v>1</x:v>
      </x:c>
      <x:c r="E1238" s="8" t="n">
        <x:v>2</x:v>
      </x:c>
    </x:row>
    <x:row r="1239" ht="23" customHeight="1">
      <x:c r="B1239" s="8" t="str">
        <x:v>APP000412</x:v>
      </x:c>
      <x:c r="C1239" s="8" t="n">
        <x:v>1</x:v>
      </x:c>
      <x:c r="D1239" s="8" t="n">
        <x:v>1</x:v>
      </x:c>
      <x:c r="E1239" s="8" t="n">
        <x:v>2</x:v>
      </x:c>
    </x:row>
    <x:row r="1240" ht="23" customHeight="1">
      <x:c r="B1240" s="8" t="str">
        <x:v>APP000412</x:v>
      </x:c>
      <x:c r="C1240" s="8" t="n">
        <x:v>2</x:v>
      </x:c>
      <x:c r="D1240" s="8" t="n">
        <x:v>1</x:v>
      </x:c>
      <x:c r="E1240" s="8" t="n">
        <x:v>2</x:v>
      </x:c>
    </x:row>
    <x:row r="1241" ht="23" customHeight="1">
      <x:c r="B1241" s="8" t="str">
        <x:v>APP000412</x:v>
      </x:c>
      <x:c r="C1241" s="8" t="n">
        <x:v>3</x:v>
      </x:c>
      <x:c r="D1241" s="8" t="n">
        <x:v>1</x:v>
      </x:c>
      <x:c r="E1241" s="8" t="n">
        <x:v>2</x:v>
      </x:c>
    </x:row>
    <x:row r="1242" ht="23" customHeight="1">
      <x:c r="B1242" s="8" t="str">
        <x:v>APP000413</x:v>
      </x:c>
      <x:c r="C1242" s="8" t="n">
        <x:v>1</x:v>
      </x:c>
      <x:c r="D1242" s="8" t="n">
        <x:v>1</x:v>
      </x:c>
      <x:c r="E1242" s="8" t="n">
        <x:v>2</x:v>
      </x:c>
    </x:row>
    <x:row r="1243" ht="23" customHeight="1">
      <x:c r="B1243" s="8" t="str">
        <x:v>APP000413</x:v>
      </x:c>
      <x:c r="C1243" s="8" t="n">
        <x:v>2</x:v>
      </x:c>
      <x:c r="D1243" s="8" t="n">
        <x:v>1</x:v>
      </x:c>
      <x:c r="E1243" s="8" t="n">
        <x:v>2</x:v>
      </x:c>
    </x:row>
    <x:row r="1244" ht="23" customHeight="1">
      <x:c r="B1244" s="8" t="str">
        <x:v>APP000413</x:v>
      </x:c>
      <x:c r="C1244" s="8" t="n">
        <x:v>3</x:v>
      </x:c>
      <x:c r="D1244" s="8" t="n">
        <x:v>1</x:v>
      </x:c>
      <x:c r="E1244" s="8" t="n">
        <x:v>2</x:v>
      </x:c>
    </x:row>
    <x:row r="1245" ht="23" customHeight="1">
      <x:c r="B1245" s="8" t="str">
        <x:v>APP000414</x:v>
      </x:c>
      <x:c r="C1245" s="8" t="n">
        <x:v>1</x:v>
      </x:c>
      <x:c r="D1245" s="8" t="n">
        <x:v>1</x:v>
      </x:c>
      <x:c r="E1245" s="8" t="n">
        <x:v>2</x:v>
      </x:c>
    </x:row>
    <x:row r="1246" ht="23" customHeight="1">
      <x:c r="B1246" s="8" t="str">
        <x:v>APP000414</x:v>
      </x:c>
      <x:c r="C1246" s="8" t="n">
        <x:v>2</x:v>
      </x:c>
      <x:c r="D1246" s="8" t="n">
        <x:v>1</x:v>
      </x:c>
      <x:c r="E1246" s="8" t="n">
        <x:v>2</x:v>
      </x:c>
    </x:row>
    <x:row r="1247" ht="23" customHeight="1">
      <x:c r="B1247" s="8" t="str">
        <x:v>APP000414</x:v>
      </x:c>
      <x:c r="C1247" s="8" t="n">
        <x:v>3</x:v>
      </x:c>
      <x:c r="D1247" s="8" t="n">
        <x:v>1</x:v>
      </x:c>
      <x:c r="E1247" s="8" t="n">
        <x:v>2</x:v>
      </x:c>
    </x:row>
    <x:row r="1248" ht="23" customHeight="1">
      <x:c r="B1248" s="8" t="str">
        <x:v>APP000415</x:v>
      </x:c>
      <x:c r="C1248" s="8" t="n">
        <x:v>1</x:v>
      </x:c>
      <x:c r="D1248" s="8" t="n">
        <x:v>1</x:v>
      </x:c>
      <x:c r="E1248" s="8" t="n">
        <x:v>2</x:v>
      </x:c>
    </x:row>
    <x:row r="1249" ht="23" customHeight="1">
      <x:c r="B1249" s="8" t="str">
        <x:v>APP000415</x:v>
      </x:c>
      <x:c r="C1249" s="8" t="n">
        <x:v>2</x:v>
      </x:c>
      <x:c r="D1249" s="8" t="n">
        <x:v>1</x:v>
      </x:c>
      <x:c r="E1249" s="8" t="n">
        <x:v>2</x:v>
      </x:c>
    </x:row>
    <x:row r="1250" ht="23" customHeight="1">
      <x:c r="B1250" s="8" t="str">
        <x:v>APP000415</x:v>
      </x:c>
      <x:c r="C1250" s="8" t="n">
        <x:v>3</x:v>
      </x:c>
      <x:c r="D1250" s="8" t="n">
        <x:v>0</x:v>
      </x:c>
      <x:c r="E1250" s="8" t="n">
        <x:v>2</x:v>
      </x:c>
    </x:row>
    <x:row r="1251" ht="23" customHeight="1">
      <x:c r="B1251" s="8" t="str">
        <x:v>APP000416</x:v>
      </x:c>
      <x:c r="C1251" s="8" t="n">
        <x:v>1</x:v>
      </x:c>
      <x:c r="D1251" s="8" t="n">
        <x:v>1</x:v>
      </x:c>
      <x:c r="E1251" s="8" t="n">
        <x:v>2</x:v>
      </x:c>
    </x:row>
    <x:row r="1252" ht="23" customHeight="1">
      <x:c r="B1252" s="8" t="str">
        <x:v>APP000416</x:v>
      </x:c>
      <x:c r="C1252" s="8" t="n">
        <x:v>2</x:v>
      </x:c>
      <x:c r="D1252" s="8" t="n">
        <x:v>1</x:v>
      </x:c>
      <x:c r="E1252" s="8" t="n">
        <x:v>2</x:v>
      </x:c>
    </x:row>
    <x:row r="1253" ht="23" customHeight="1">
      <x:c r="B1253" s="8" t="str">
        <x:v>APP000416</x:v>
      </x:c>
      <x:c r="C1253" s="8" t="n">
        <x:v>3</x:v>
      </x:c>
      <x:c r="D1253" s="8" t="n">
        <x:v>1</x:v>
      </x:c>
      <x:c r="E1253" s="8" t="n">
        <x:v>2</x:v>
      </x:c>
    </x:row>
    <x:row r="1254" ht="23" customHeight="1">
      <x:c r="B1254" s="8" t="str">
        <x:v>APP000417</x:v>
      </x:c>
      <x:c r="C1254" s="8" t="n">
        <x:v>1</x:v>
      </x:c>
      <x:c r="D1254" s="8" t="n">
        <x:v>1</x:v>
      </x:c>
      <x:c r="E1254" s="8" t="n">
        <x:v>2</x:v>
      </x:c>
    </x:row>
    <x:row r="1255" ht="23" customHeight="1">
      <x:c r="B1255" s="8" t="str">
        <x:v>APP000417</x:v>
      </x:c>
      <x:c r="C1255" s="8" t="n">
        <x:v>2</x:v>
      </x:c>
      <x:c r="D1255" s="8" t="n">
        <x:v>0</x:v>
      </x:c>
      <x:c r="E1255" s="8" t="n">
        <x:v>2</x:v>
      </x:c>
    </x:row>
    <x:row r="1256" ht="23" customHeight="1">
      <x:c r="B1256" s="8" t="str">
        <x:v>APP000417</x:v>
      </x:c>
      <x:c r="C1256" s="8" t="n">
        <x:v>3</x:v>
      </x:c>
      <x:c r="D1256" s="8" t="n">
        <x:v>1</x:v>
      </x:c>
      <x:c r="E1256" s="8" t="n">
        <x:v>2</x:v>
      </x:c>
    </x:row>
    <x:row r="1257" ht="23" customHeight="1">
      <x:c r="B1257" s="8" t="str">
        <x:v>APP000418</x:v>
      </x:c>
      <x:c r="C1257" s="8" t="n">
        <x:v>1</x:v>
      </x:c>
      <x:c r="D1257" s="8" t="n">
        <x:v>1</x:v>
      </x:c>
      <x:c r="E1257" s="8" t="n">
        <x:v>2</x:v>
      </x:c>
    </x:row>
    <x:row r="1258" ht="23" customHeight="1">
      <x:c r="B1258" s="8" t="str">
        <x:v>APP000418</x:v>
      </x:c>
      <x:c r="C1258" s="8" t="n">
        <x:v>2</x:v>
      </x:c>
      <x:c r="D1258" s="8" t="n">
        <x:v>1</x:v>
      </x:c>
      <x:c r="E1258" s="8" t="n">
        <x:v>2</x:v>
      </x:c>
    </x:row>
    <x:row r="1259" ht="23" customHeight="1">
      <x:c r="B1259" s="8" t="str">
        <x:v>APP000418</x:v>
      </x:c>
      <x:c r="C1259" s="8" t="n">
        <x:v>3</x:v>
      </x:c>
      <x:c r="D1259" s="8" t="n">
        <x:v>1</x:v>
      </x:c>
      <x:c r="E1259" s="8" t="n">
        <x:v>2</x:v>
      </x:c>
    </x:row>
    <x:row r="1260" ht="23" customHeight="1">
      <x:c r="B1260" s="8" t="str">
        <x:v>APP000419</x:v>
      </x:c>
      <x:c r="C1260" s="8" t="n">
        <x:v>1</x:v>
      </x:c>
      <x:c r="D1260" s="8" t="n">
        <x:v>1</x:v>
      </x:c>
      <x:c r="E1260" s="8" t="n">
        <x:v>2</x:v>
      </x:c>
    </x:row>
    <x:row r="1261" ht="23" customHeight="1">
      <x:c r="B1261" s="8" t="str">
        <x:v>APP000419</x:v>
      </x:c>
      <x:c r="C1261" s="8" t="n">
        <x:v>2</x:v>
      </x:c>
      <x:c r="D1261" s="8" t="n">
        <x:v>1</x:v>
      </x:c>
      <x:c r="E1261" s="8" t="n">
        <x:v>2</x:v>
      </x:c>
    </x:row>
    <x:row r="1262" ht="23" customHeight="1">
      <x:c r="B1262" s="8" t="str">
        <x:v>APP000419</x:v>
      </x:c>
      <x:c r="C1262" s="8" t="n">
        <x:v>3</x:v>
      </x:c>
      <x:c r="D1262" s="8" t="n">
        <x:v>1</x:v>
      </x:c>
      <x:c r="E1262" s="8" t="n">
        <x:v>2</x:v>
      </x:c>
    </x:row>
    <x:row r="1263" ht="23" customHeight="1">
      <x:c r="B1263" s="8" t="str">
        <x:v>APP000420</x:v>
      </x:c>
      <x:c r="C1263" s="8" t="n">
        <x:v>1</x:v>
      </x:c>
      <x:c r="D1263" s="8" t="n">
        <x:v>1</x:v>
      </x:c>
      <x:c r="E1263" s="8" t="n">
        <x:v>2</x:v>
      </x:c>
    </x:row>
    <x:row r="1264" ht="23" customHeight="1">
      <x:c r="B1264" s="8" t="str">
        <x:v>APP000420</x:v>
      </x:c>
      <x:c r="C1264" s="8" t="n">
        <x:v>2</x:v>
      </x:c>
      <x:c r="D1264" s="8" t="n">
        <x:v>1</x:v>
      </x:c>
      <x:c r="E1264" s="8" t="n">
        <x:v>2</x:v>
      </x:c>
    </x:row>
    <x:row r="1265" ht="23" customHeight="1">
      <x:c r="B1265" s="8" t="str">
        <x:v>APP000420</x:v>
      </x:c>
      <x:c r="C1265" s="8" t="n">
        <x:v>3</x:v>
      </x:c>
      <x:c r="D1265" s="8" t="n">
        <x:v>1</x:v>
      </x:c>
      <x:c r="E1265" s="8" t="n">
        <x:v>2</x:v>
      </x:c>
    </x:row>
    <x:row r="1266" ht="23" customHeight="1">
      <x:c r="B1266" s="8" t="str">
        <x:v>APP000421</x:v>
      </x:c>
      <x:c r="C1266" s="8" t="n">
        <x:v>1</x:v>
      </x:c>
      <x:c r="D1266" s="8" t="n">
        <x:v>1</x:v>
      </x:c>
      <x:c r="E1266" s="8" t="n">
        <x:v>2</x:v>
      </x:c>
    </x:row>
    <x:row r="1267" ht="23" customHeight="1">
      <x:c r="B1267" s="8" t="str">
        <x:v>APP000421</x:v>
      </x:c>
      <x:c r="C1267" s="8" t="n">
        <x:v>2</x:v>
      </x:c>
      <x:c r="D1267" s="8" t="n">
        <x:v>1</x:v>
      </x:c>
      <x:c r="E1267" s="8" t="n">
        <x:v>2</x:v>
      </x:c>
    </x:row>
    <x:row r="1268" ht="23" customHeight="1">
      <x:c r="B1268" s="8" t="str">
        <x:v>APP000421</x:v>
      </x:c>
      <x:c r="C1268" s="8" t="n">
        <x:v>3</x:v>
      </x:c>
      <x:c r="D1268" s="8" t="n">
        <x:v>1</x:v>
      </x:c>
      <x:c r="E1268" s="8" t="n">
        <x:v>2</x:v>
      </x:c>
    </x:row>
    <x:row r="1269" ht="23" customHeight="1">
      <x:c r="B1269" s="8" t="str">
        <x:v>APP000422</x:v>
      </x:c>
      <x:c r="C1269" s="8" t="n">
        <x:v>1</x:v>
      </x:c>
      <x:c r="D1269" s="8" t="n">
        <x:v>1</x:v>
      </x:c>
      <x:c r="E1269" s="8" t="n">
        <x:v>2</x:v>
      </x:c>
    </x:row>
    <x:row r="1270" ht="23" customHeight="1">
      <x:c r="B1270" s="8" t="str">
        <x:v>APP000422</x:v>
      </x:c>
      <x:c r="C1270" s="8" t="n">
        <x:v>2</x:v>
      </x:c>
      <x:c r="D1270" s="8" t="n">
        <x:v>1</x:v>
      </x:c>
      <x:c r="E1270" s="8" t="n">
        <x:v>2</x:v>
      </x:c>
    </x:row>
    <x:row r="1271" ht="23" customHeight="1">
      <x:c r="B1271" s="8" t="str">
        <x:v>APP000422</x:v>
      </x:c>
      <x:c r="C1271" s="8" t="n">
        <x:v>3</x:v>
      </x:c>
      <x:c r="D1271" s="8" t="n">
        <x:v>1</x:v>
      </x:c>
      <x:c r="E1271" s="8" t="n">
        <x:v>2</x:v>
      </x:c>
    </x:row>
    <x:row r="1272" ht="23" customHeight="1">
      <x:c r="B1272" s="8" t="str">
        <x:v>APP000423</x:v>
      </x:c>
      <x:c r="C1272" s="8" t="n">
        <x:v>1</x:v>
      </x:c>
      <x:c r="D1272" s="8" t="n">
        <x:v>1</x:v>
      </x:c>
      <x:c r="E1272" s="8" t="n">
        <x:v>2</x:v>
      </x:c>
    </x:row>
    <x:row r="1273" ht="23" customHeight="1">
      <x:c r="B1273" s="8" t="str">
        <x:v>APP000423</x:v>
      </x:c>
      <x:c r="C1273" s="8" t="n">
        <x:v>2</x:v>
      </x:c>
      <x:c r="D1273" s="8" t="n">
        <x:v>1</x:v>
      </x:c>
      <x:c r="E1273" s="8" t="n">
        <x:v>2</x:v>
      </x:c>
    </x:row>
    <x:row r="1274" ht="23" customHeight="1">
      <x:c r="B1274" s="8" t="str">
        <x:v>APP000423</x:v>
      </x:c>
      <x:c r="C1274" s="8" t="n">
        <x:v>3</x:v>
      </x:c>
      <x:c r="D1274" s="8" t="n">
        <x:v>1</x:v>
      </x:c>
      <x:c r="E1274" s="8" t="n">
        <x:v>2</x:v>
      </x:c>
    </x:row>
    <x:row r="1275" ht="23" customHeight="1">
      <x:c r="B1275" s="8" t="str">
        <x:v>APP000424</x:v>
      </x:c>
      <x:c r="C1275" s="8" t="n">
        <x:v>1</x:v>
      </x:c>
      <x:c r="D1275" s="8" t="n">
        <x:v>1</x:v>
      </x:c>
      <x:c r="E1275" s="8" t="n">
        <x:v>2</x:v>
      </x:c>
    </x:row>
    <x:row r="1276" ht="23" customHeight="1">
      <x:c r="B1276" s="8" t="str">
        <x:v>APP000424</x:v>
      </x:c>
      <x:c r="C1276" s="8" t="n">
        <x:v>2</x:v>
      </x:c>
      <x:c r="D1276" s="8" t="n">
        <x:v>1</x:v>
      </x:c>
      <x:c r="E1276" s="8" t="n">
        <x:v>2</x:v>
      </x:c>
    </x:row>
    <x:row r="1277" ht="23" customHeight="1">
      <x:c r="B1277" s="8" t="str">
        <x:v>APP000424</x:v>
      </x:c>
      <x:c r="C1277" s="8" t="n">
        <x:v>3</x:v>
      </x:c>
      <x:c r="D1277" s="8" t="n">
        <x:v>0</x:v>
      </x:c>
      <x:c r="E1277" s="8" t="n">
        <x:v>2</x:v>
      </x:c>
    </x:row>
    <x:row r="1278" ht="23" customHeight="1">
      <x:c r="B1278" s="8" t="str">
        <x:v>APP000425</x:v>
      </x:c>
      <x:c r="C1278" s="8" t="n">
        <x:v>1</x:v>
      </x:c>
      <x:c r="D1278" s="8" t="n">
        <x:v>1</x:v>
      </x:c>
      <x:c r="E1278" s="8" t="n">
        <x:v>2</x:v>
      </x:c>
    </x:row>
    <x:row r="1279" ht="23" customHeight="1">
      <x:c r="B1279" s="8" t="str">
        <x:v>APP000425</x:v>
      </x:c>
      <x:c r="C1279" s="8" t="n">
        <x:v>2</x:v>
      </x:c>
      <x:c r="D1279" s="8" t="n">
        <x:v>1</x:v>
      </x:c>
      <x:c r="E1279" s="8" t="n">
        <x:v>2</x:v>
      </x:c>
    </x:row>
    <x:row r="1280" ht="23" customHeight="1">
      <x:c r="B1280" s="8" t="str">
        <x:v>APP000425</x:v>
      </x:c>
      <x:c r="C1280" s="8" t="n">
        <x:v>3</x:v>
      </x:c>
      <x:c r="D1280" s="8" t="n">
        <x:v>1</x:v>
      </x:c>
      <x:c r="E1280" s="8" t="n">
        <x:v>2</x:v>
      </x:c>
    </x:row>
    <x:row r="1281" ht="23" customHeight="1">
      <x:c r="B1281" s="8" t="str">
        <x:v>APP000426</x:v>
      </x:c>
      <x:c r="C1281" s="8" t="n">
        <x:v>1</x:v>
      </x:c>
      <x:c r="D1281" s="8" t="n">
        <x:v>1</x:v>
      </x:c>
      <x:c r="E1281" s="8" t="n">
        <x:v>2</x:v>
      </x:c>
    </x:row>
    <x:row r="1282" ht="23" customHeight="1">
      <x:c r="B1282" s="8" t="str">
        <x:v>APP000426</x:v>
      </x:c>
      <x:c r="C1282" s="8" t="n">
        <x:v>2</x:v>
      </x:c>
      <x:c r="D1282" s="8" t="n">
        <x:v>1</x:v>
      </x:c>
      <x:c r="E1282" s="8" t="n">
        <x:v>2</x:v>
      </x:c>
    </x:row>
    <x:row r="1283" ht="23" customHeight="1">
      <x:c r="B1283" s="8" t="str">
        <x:v>APP000426</x:v>
      </x:c>
      <x:c r="C1283" s="8" t="n">
        <x:v>3</x:v>
      </x:c>
      <x:c r="D1283" s="8" t="n">
        <x:v>1</x:v>
      </x:c>
      <x:c r="E1283" s="8" t="n">
        <x:v>2</x:v>
      </x:c>
    </x:row>
    <x:row r="1284" ht="23" customHeight="1">
      <x:c r="B1284" s="8" t="str">
        <x:v>APP000427</x:v>
      </x:c>
      <x:c r="C1284" s="8" t="n">
        <x:v>1</x:v>
      </x:c>
      <x:c r="D1284" s="8" t="n">
        <x:v>1</x:v>
      </x:c>
      <x:c r="E1284" s="8" t="n">
        <x:v>2</x:v>
      </x:c>
    </x:row>
    <x:row r="1285" ht="23" customHeight="1">
      <x:c r="B1285" s="8" t="str">
        <x:v>APP000427</x:v>
      </x:c>
      <x:c r="C1285" s="8" t="n">
        <x:v>2</x:v>
      </x:c>
      <x:c r="D1285" s="8" t="n">
        <x:v>1</x:v>
      </x:c>
      <x:c r="E1285" s="8" t="n">
        <x:v>2</x:v>
      </x:c>
    </x:row>
    <x:row r="1286" ht="23" customHeight="1">
      <x:c r="B1286" s="8" t="str">
        <x:v>APP000427</x:v>
      </x:c>
      <x:c r="C1286" s="8" t="n">
        <x:v>3</x:v>
      </x:c>
      <x:c r="D1286" s="8" t="n">
        <x:v>1</x:v>
      </x:c>
      <x:c r="E1286" s="8" t="n">
        <x:v>2</x:v>
      </x:c>
    </x:row>
    <x:row r="1287" ht="23" customHeight="1">
      <x:c r="B1287" s="8" t="str">
        <x:v>APP000428</x:v>
      </x:c>
      <x:c r="C1287" s="8" t="n">
        <x:v>1</x:v>
      </x:c>
      <x:c r="D1287" s="8" t="n">
        <x:v>1</x:v>
      </x:c>
      <x:c r="E1287" s="8" t="n">
        <x:v>2</x:v>
      </x:c>
    </x:row>
    <x:row r="1288" ht="23" customHeight="1">
      <x:c r="B1288" s="8" t="str">
        <x:v>APP000428</x:v>
      </x:c>
      <x:c r="C1288" s="8" t="n">
        <x:v>2</x:v>
      </x:c>
      <x:c r="D1288" s="8" t="n">
        <x:v>1</x:v>
      </x:c>
      <x:c r="E1288" s="8" t="n">
        <x:v>2</x:v>
      </x:c>
    </x:row>
    <x:row r="1289" ht="23" customHeight="1">
      <x:c r="B1289" s="8" t="str">
        <x:v>APP000428</x:v>
      </x:c>
      <x:c r="C1289" s="8" t="n">
        <x:v>3</x:v>
      </x:c>
      <x:c r="D1289" s="8" t="n">
        <x:v>1</x:v>
      </x:c>
      <x:c r="E1289" s="8" t="n">
        <x:v>2</x:v>
      </x:c>
    </x:row>
    <x:row r="1290" ht="23" customHeight="1">
      <x:c r="B1290" s="8" t="str">
        <x:v>APP000429</x:v>
      </x:c>
      <x:c r="C1290" s="8" t="n">
        <x:v>1</x:v>
      </x:c>
      <x:c r="D1290" s="8" t="n">
        <x:v>1</x:v>
      </x:c>
      <x:c r="E1290" s="8" t="n">
        <x:v>2</x:v>
      </x:c>
    </x:row>
    <x:row r="1291" ht="23" customHeight="1">
      <x:c r="B1291" s="8" t="str">
        <x:v>APP000429</x:v>
      </x:c>
      <x:c r="C1291" s="8" t="n">
        <x:v>2</x:v>
      </x:c>
      <x:c r="D1291" s="8" t="n">
        <x:v>1</x:v>
      </x:c>
      <x:c r="E1291" s="8" t="n">
        <x:v>2</x:v>
      </x:c>
    </x:row>
    <x:row r="1292" ht="23" customHeight="1">
      <x:c r="B1292" s="8" t="str">
        <x:v>APP000429</x:v>
      </x:c>
      <x:c r="C1292" s="8" t="n">
        <x:v>3</x:v>
      </x:c>
      <x:c r="D1292" s="8" t="n">
        <x:v>1</x:v>
      </x:c>
      <x:c r="E1292" s="8" t="n">
        <x:v>2</x:v>
      </x:c>
    </x:row>
    <x:row r="1293" ht="23" customHeight="1">
      <x:c r="B1293" s="8" t="str">
        <x:v>APP000430</x:v>
      </x:c>
      <x:c r="C1293" s="8" t="n">
        <x:v>1</x:v>
      </x:c>
      <x:c r="D1293" s="8" t="n">
        <x:v>1</x:v>
      </x:c>
      <x:c r="E1293" s="8" t="n">
        <x:v>2</x:v>
      </x:c>
    </x:row>
    <x:row r="1294" ht="23" customHeight="1">
      <x:c r="B1294" s="8" t="str">
        <x:v>APP000430</x:v>
      </x:c>
      <x:c r="C1294" s="8" t="n">
        <x:v>2</x:v>
      </x:c>
      <x:c r="D1294" s="8" t="n">
        <x:v>0</x:v>
      </x:c>
      <x:c r="E1294" s="8" t="n">
        <x:v>2</x:v>
      </x:c>
    </x:row>
    <x:row r="1295" ht="23" customHeight="1">
      <x:c r="B1295" s="8" t="str">
        <x:v>APP000430</x:v>
      </x:c>
      <x:c r="C1295" s="8" t="n">
        <x:v>3</x:v>
      </x:c>
      <x:c r="D1295" s="8" t="n">
        <x:v>1</x:v>
      </x:c>
      <x:c r="E1295" s="8" t="n">
        <x:v>2</x:v>
      </x:c>
    </x:row>
    <x:row r="1296" ht="23" customHeight="1">
      <x:c r="B1296" s="8" t="str">
        <x:v>APP000431</x:v>
      </x:c>
      <x:c r="C1296" s="8" t="n">
        <x:v>1</x:v>
      </x:c>
      <x:c r="D1296" s="8" t="n">
        <x:v>1</x:v>
      </x:c>
      <x:c r="E1296" s="8" t="n">
        <x:v>2</x:v>
      </x:c>
    </x:row>
    <x:row r="1297" ht="23" customHeight="1">
      <x:c r="B1297" s="8" t="str">
        <x:v>APP000431</x:v>
      </x:c>
      <x:c r="C1297" s="8" t="n">
        <x:v>2</x:v>
      </x:c>
      <x:c r="D1297" s="8" t="n">
        <x:v>1</x:v>
      </x:c>
      <x:c r="E1297" s="8" t="n">
        <x:v>2</x:v>
      </x:c>
    </x:row>
    <x:row r="1298" ht="23" customHeight="1">
      <x:c r="B1298" s="8" t="str">
        <x:v>APP000431</x:v>
      </x:c>
      <x:c r="C1298" s="8" t="n">
        <x:v>3</x:v>
      </x:c>
      <x:c r="D1298" s="8" t="n">
        <x:v>1</x:v>
      </x:c>
      <x:c r="E1298" s="8" t="n">
        <x:v>2</x:v>
      </x:c>
    </x:row>
    <x:row r="1299" ht="23" customHeight="1">
      <x:c r="B1299" s="8" t="str">
        <x:v>APP000432</x:v>
      </x:c>
      <x:c r="C1299" s="8" t="n">
        <x:v>1</x:v>
      </x:c>
      <x:c r="D1299" s="8" t="n">
        <x:v>1</x:v>
      </x:c>
      <x:c r="E1299" s="8" t="n">
        <x:v>2</x:v>
      </x:c>
    </x:row>
    <x:row r="1300" ht="23" customHeight="1">
      <x:c r="B1300" s="8" t="str">
        <x:v>APP000432</x:v>
      </x:c>
      <x:c r="C1300" s="8" t="n">
        <x:v>2</x:v>
      </x:c>
      <x:c r="D1300" s="8" t="n">
        <x:v>1</x:v>
      </x:c>
      <x:c r="E1300" s="8" t="n">
        <x:v>2</x:v>
      </x:c>
    </x:row>
    <x:row r="1301" ht="23" customHeight="1">
      <x:c r="B1301" s="8" t="str">
        <x:v>APP000432</x:v>
      </x:c>
      <x:c r="C1301" s="8" t="n">
        <x:v>3</x:v>
      </x:c>
      <x:c r="D1301" s="8" t="n">
        <x:v>1</x:v>
      </x:c>
      <x:c r="E1301" s="8" t="n">
        <x:v>2</x:v>
      </x:c>
    </x:row>
    <x:row r="1302" ht="23" customHeight="1">
      <x:c r="B1302" s="8" t="str">
        <x:v>APP000433</x:v>
      </x:c>
      <x:c r="C1302" s="8" t="n">
        <x:v>1</x:v>
      </x:c>
      <x:c r="D1302" s="8" t="n">
        <x:v>1</x:v>
      </x:c>
      <x:c r="E1302" s="8" t="n">
        <x:v>2</x:v>
      </x:c>
    </x:row>
    <x:row r="1303" ht="23" customHeight="1">
      <x:c r="B1303" s="8" t="str">
        <x:v>APP000433</x:v>
      </x:c>
      <x:c r="C1303" s="8" t="n">
        <x:v>2</x:v>
      </x:c>
      <x:c r="D1303" s="8" t="n">
        <x:v>1</x:v>
      </x:c>
      <x:c r="E1303" s="8" t="n">
        <x:v>2</x:v>
      </x:c>
    </x:row>
    <x:row r="1304" ht="23" customHeight="1">
      <x:c r="B1304" s="8" t="str">
        <x:v>APP000433</x:v>
      </x:c>
      <x:c r="C1304" s="8" t="n">
        <x:v>3</x:v>
      </x:c>
      <x:c r="D1304" s="8" t="n">
        <x:v>0</x:v>
      </x:c>
      <x:c r="E1304" s="8" t="n">
        <x:v>2</x:v>
      </x:c>
    </x:row>
    <x:row r="1305" ht="23" customHeight="1">
      <x:c r="B1305" s="8" t="str">
        <x:v>APP000434</x:v>
      </x:c>
      <x:c r="C1305" s="8" t="n">
        <x:v>1</x:v>
      </x:c>
      <x:c r="D1305" s="8" t="n">
        <x:v>1</x:v>
      </x:c>
      <x:c r="E1305" s="8" t="n">
        <x:v>2</x:v>
      </x:c>
    </x:row>
    <x:row r="1306" ht="23" customHeight="1">
      <x:c r="B1306" s="8" t="str">
        <x:v>APP000434</x:v>
      </x:c>
      <x:c r="C1306" s="8" t="n">
        <x:v>2</x:v>
      </x:c>
      <x:c r="D1306" s="8" t="n">
        <x:v>1</x:v>
      </x:c>
      <x:c r="E1306" s="8" t="n">
        <x:v>2</x:v>
      </x:c>
    </x:row>
    <x:row r="1307" ht="23" customHeight="1">
      <x:c r="B1307" s="8" t="str">
        <x:v>APP000434</x:v>
      </x:c>
      <x:c r="C1307" s="8" t="n">
        <x:v>3</x:v>
      </x:c>
      <x:c r="D1307" s="8" t="n">
        <x:v>1</x:v>
      </x:c>
      <x:c r="E1307" s="8" t="n">
        <x:v>2</x:v>
      </x:c>
    </x:row>
    <x:row r="1308" ht="23" customHeight="1">
      <x:c r="B1308" s="8" t="str">
        <x:v>APP000435</x:v>
      </x:c>
      <x:c r="C1308" s="8" t="n">
        <x:v>1</x:v>
      </x:c>
      <x:c r="D1308" s="8" t="n">
        <x:v>1</x:v>
      </x:c>
      <x:c r="E1308" s="8" t="n">
        <x:v>2</x:v>
      </x:c>
    </x:row>
    <x:row r="1309" ht="23" customHeight="1">
      <x:c r="B1309" s="8" t="str">
        <x:v>APP000435</x:v>
      </x:c>
      <x:c r="C1309" s="8" t="n">
        <x:v>2</x:v>
      </x:c>
      <x:c r="D1309" s="8" t="n">
        <x:v>1</x:v>
      </x:c>
      <x:c r="E1309" s="8" t="n">
        <x:v>2</x:v>
      </x:c>
    </x:row>
    <x:row r="1310" ht="23" customHeight="1">
      <x:c r="B1310" s="8" t="str">
        <x:v>APP000435</x:v>
      </x:c>
      <x:c r="C1310" s="8" t="n">
        <x:v>3</x:v>
      </x:c>
      <x:c r="D1310" s="8" t="n">
        <x:v>1</x:v>
      </x:c>
      <x:c r="E1310" s="8" t="n">
        <x:v>2</x:v>
      </x:c>
    </x:row>
    <x:row r="1311" ht="23" customHeight="1">
      <x:c r="B1311" s="8" t="str">
        <x:v>APP000436</x:v>
      </x:c>
      <x:c r="C1311" s="8" t="n">
        <x:v>1</x:v>
      </x:c>
      <x:c r="D1311" s="8" t="n">
        <x:v>1</x:v>
      </x:c>
      <x:c r="E1311" s="8" t="n">
        <x:v>2</x:v>
      </x:c>
    </x:row>
    <x:row r="1312" ht="23" customHeight="1">
      <x:c r="B1312" s="8" t="str">
        <x:v>APP000436</x:v>
      </x:c>
      <x:c r="C1312" s="8" t="n">
        <x:v>2</x:v>
      </x:c>
      <x:c r="D1312" s="8" t="n">
        <x:v>1</x:v>
      </x:c>
      <x:c r="E1312" s="8" t="n">
        <x:v>2</x:v>
      </x:c>
    </x:row>
    <x:row r="1313" ht="23" customHeight="1">
      <x:c r="B1313" s="8" t="str">
        <x:v>APP000436</x:v>
      </x:c>
      <x:c r="C1313" s="8" t="n">
        <x:v>3</x:v>
      </x:c>
      <x:c r="D1313" s="8" t="n">
        <x:v>1</x:v>
      </x:c>
      <x:c r="E1313" s="8" t="n">
        <x:v>2</x:v>
      </x:c>
    </x:row>
    <x:row r="1314" ht="23" customHeight="1">
      <x:c r="B1314" s="8" t="str">
        <x:v>APP000437</x:v>
      </x:c>
      <x:c r="C1314" s="8" t="n">
        <x:v>1</x:v>
      </x:c>
      <x:c r="D1314" s="8" t="n">
        <x:v>1</x:v>
      </x:c>
      <x:c r="E1314" s="8" t="n">
        <x:v>2</x:v>
      </x:c>
    </x:row>
    <x:row r="1315" ht="23" customHeight="1">
      <x:c r="B1315" s="8" t="str">
        <x:v>APP000437</x:v>
      </x:c>
      <x:c r="C1315" s="8" t="n">
        <x:v>2</x:v>
      </x:c>
      <x:c r="D1315" s="8" t="n">
        <x:v>1</x:v>
      </x:c>
      <x:c r="E1315" s="8" t="n">
        <x:v>2</x:v>
      </x:c>
    </x:row>
    <x:row r="1316" ht="23" customHeight="1">
      <x:c r="B1316" s="8" t="str">
        <x:v>APP000437</x:v>
      </x:c>
      <x:c r="C1316" s="8" t="n">
        <x:v>3</x:v>
      </x:c>
      <x:c r="D1316" s="8" t="n">
        <x:v>1</x:v>
      </x:c>
      <x:c r="E1316" s="8" t="n">
        <x:v>2</x:v>
      </x:c>
    </x:row>
    <x:row r="1317" ht="23" customHeight="1">
      <x:c r="B1317" s="8" t="str">
        <x:v>APP000438</x:v>
      </x:c>
      <x:c r="C1317" s="8" t="n">
        <x:v>1</x:v>
      </x:c>
      <x:c r="D1317" s="8" t="n">
        <x:v>1</x:v>
      </x:c>
      <x:c r="E1317" s="8" t="n">
        <x:v>2</x:v>
      </x:c>
    </x:row>
    <x:row r="1318" ht="23" customHeight="1">
      <x:c r="B1318" s="8" t="str">
        <x:v>APP000438</x:v>
      </x:c>
      <x:c r="C1318" s="8" t="n">
        <x:v>2</x:v>
      </x:c>
      <x:c r="D1318" s="8" t="n">
        <x:v>1</x:v>
      </x:c>
      <x:c r="E1318" s="8" t="n">
        <x:v>2</x:v>
      </x:c>
    </x:row>
    <x:row r="1319" ht="23" customHeight="1">
      <x:c r="B1319" s="8" t="str">
        <x:v>APP000438</x:v>
      </x:c>
      <x:c r="C1319" s="8" t="n">
        <x:v>3</x:v>
      </x:c>
      <x:c r="D1319" s="8" t="n">
        <x:v>1</x:v>
      </x:c>
      <x:c r="E1319" s="8" t="n">
        <x:v>2</x:v>
      </x:c>
    </x:row>
    <x:row r="1320" ht="23" customHeight="1">
      <x:c r="B1320" s="8" t="str">
        <x:v>APP000439</x:v>
      </x:c>
      <x:c r="C1320" s="8" t="n">
        <x:v>1</x:v>
      </x:c>
      <x:c r="D1320" s="8" t="n">
        <x:v>1</x:v>
      </x:c>
      <x:c r="E1320" s="8" t="n">
        <x:v>2</x:v>
      </x:c>
    </x:row>
    <x:row r="1321" ht="23" customHeight="1">
      <x:c r="B1321" s="8" t="str">
        <x:v>APP000439</x:v>
      </x:c>
      <x:c r="C1321" s="8" t="n">
        <x:v>2</x:v>
      </x:c>
      <x:c r="D1321" s="8" t="n">
        <x:v>1</x:v>
      </x:c>
      <x:c r="E1321" s="8" t="n">
        <x:v>2</x:v>
      </x:c>
    </x:row>
    <x:row r="1322" ht="23" customHeight="1">
      <x:c r="B1322" s="8" t="str">
        <x:v>APP000439</x:v>
      </x:c>
      <x:c r="C1322" s="8" t="n">
        <x:v>3</x:v>
      </x:c>
      <x:c r="D1322" s="8" t="n">
        <x:v>1</x:v>
      </x:c>
      <x:c r="E1322" s="8" t="n">
        <x:v>2</x:v>
      </x:c>
    </x:row>
    <x:row r="1323" ht="23" customHeight="1">
      <x:c r="B1323" s="8" t="str">
        <x:v>APP000440</x:v>
      </x:c>
      <x:c r="C1323" s="8" t="n">
        <x:v>1</x:v>
      </x:c>
      <x:c r="D1323" s="8" t="n">
        <x:v>1</x:v>
      </x:c>
      <x:c r="E1323" s="8" t="n">
        <x:v>2</x:v>
      </x:c>
    </x:row>
    <x:row r="1324" ht="23" customHeight="1">
      <x:c r="B1324" s="8" t="str">
        <x:v>APP000440</x:v>
      </x:c>
      <x:c r="C1324" s="8" t="n">
        <x:v>2</x:v>
      </x:c>
      <x:c r="D1324" s="8" t="n">
        <x:v>1</x:v>
      </x:c>
      <x:c r="E1324" s="8" t="n">
        <x:v>2</x:v>
      </x:c>
    </x:row>
    <x:row r="1325" ht="23" customHeight="1">
      <x:c r="B1325" s="8" t="str">
        <x:v>APP000440</x:v>
      </x:c>
      <x:c r="C1325" s="8" t="n">
        <x:v>3</x:v>
      </x:c>
      <x:c r="D1325" s="8" t="n">
        <x:v>1</x:v>
      </x:c>
      <x:c r="E1325" s="8" t="n">
        <x:v>2</x:v>
      </x:c>
    </x:row>
    <x:row r="1326" ht="23" customHeight="1">
      <x:c r="B1326" s="8" t="str">
        <x:v>APP000441</x:v>
      </x:c>
      <x:c r="C1326" s="8" t="n">
        <x:v>1</x:v>
      </x:c>
      <x:c r="D1326" s="8" t="n">
        <x:v>1</x:v>
      </x:c>
      <x:c r="E1326" s="8" t="n">
        <x:v>2</x:v>
      </x:c>
    </x:row>
    <x:row r="1327" ht="23" customHeight="1">
      <x:c r="B1327" s="8" t="str">
        <x:v>APP000441</x:v>
      </x:c>
      <x:c r="C1327" s="8" t="n">
        <x:v>2</x:v>
      </x:c>
      <x:c r="D1327" s="8" t="n">
        <x:v>1</x:v>
      </x:c>
      <x:c r="E1327" s="8" t="n">
        <x:v>2</x:v>
      </x:c>
    </x:row>
    <x:row r="1328" ht="23" customHeight="1">
      <x:c r="B1328" s="8" t="str">
        <x:v>APP000441</x:v>
      </x:c>
      <x:c r="C1328" s="8" t="n">
        <x:v>3</x:v>
      </x:c>
      <x:c r="D1328" s="8" t="n">
        <x:v>1</x:v>
      </x:c>
      <x:c r="E1328" s="8" t="n">
        <x:v>2</x:v>
      </x:c>
    </x:row>
    <x:row r="1329" ht="23" customHeight="1">
      <x:c r="B1329" s="8" t="str">
        <x:v>APP000442</x:v>
      </x:c>
      <x:c r="C1329" s="8" t="n">
        <x:v>1</x:v>
      </x:c>
      <x:c r="D1329" s="8" t="n">
        <x:v>1</x:v>
      </x:c>
      <x:c r="E1329" s="8" t="n">
        <x:v>2</x:v>
      </x:c>
    </x:row>
    <x:row r="1330" ht="23" customHeight="1">
      <x:c r="B1330" s="8" t="str">
        <x:v>APP000442</x:v>
      </x:c>
      <x:c r="C1330" s="8" t="n">
        <x:v>2</x:v>
      </x:c>
      <x:c r="D1330" s="8" t="n">
        <x:v>1</x:v>
      </x:c>
      <x:c r="E1330" s="8" t="n">
        <x:v>2</x:v>
      </x:c>
    </x:row>
    <x:row r="1331" ht="23" customHeight="1">
      <x:c r="B1331" s="8" t="str">
        <x:v>APP000442</x:v>
      </x:c>
      <x:c r="C1331" s="8" t="n">
        <x:v>3</x:v>
      </x:c>
      <x:c r="D1331" s="8" t="n">
        <x:v>0</x:v>
      </x:c>
      <x:c r="E1331" s="8" t="n">
        <x:v>2</x:v>
      </x:c>
    </x:row>
    <x:row r="1332" ht="23" customHeight="1">
      <x:c r="B1332" s="8" t="str">
        <x:v>APP000443</x:v>
      </x:c>
      <x:c r="C1332" s="8" t="n">
        <x:v>1</x:v>
      </x:c>
      <x:c r="D1332" s="8" t="n">
        <x:v>1</x:v>
      </x:c>
      <x:c r="E1332" s="8" t="n">
        <x:v>2</x:v>
      </x:c>
    </x:row>
    <x:row r="1333" ht="23" customHeight="1">
      <x:c r="B1333" s="8" t="str">
        <x:v>APP000443</x:v>
      </x:c>
      <x:c r="C1333" s="8" t="n">
        <x:v>2</x:v>
      </x:c>
      <x:c r="D1333" s="8" t="n">
        <x:v>0</x:v>
      </x:c>
      <x:c r="E1333" s="8" t="n">
        <x:v>2</x:v>
      </x:c>
    </x:row>
    <x:row r="1334" ht="23" customHeight="1">
      <x:c r="B1334" s="8" t="str">
        <x:v>APP000443</x:v>
      </x:c>
      <x:c r="C1334" s="8" t="n">
        <x:v>3</x:v>
      </x:c>
      <x:c r="D1334" s="8" t="n">
        <x:v>1</x:v>
      </x:c>
      <x:c r="E1334" s="8" t="n">
        <x:v>2</x:v>
      </x:c>
    </x:row>
    <x:row r="1335" ht="23" customHeight="1">
      <x:c r="B1335" s="8" t="str">
        <x:v>APP000444</x:v>
      </x:c>
      <x:c r="C1335" s="8" t="n">
        <x:v>1</x:v>
      </x:c>
      <x:c r="D1335" s="8" t="n">
        <x:v>1</x:v>
      </x:c>
      <x:c r="E1335" s="8" t="n">
        <x:v>2</x:v>
      </x:c>
    </x:row>
    <x:row r="1336" ht="23" customHeight="1">
      <x:c r="B1336" s="8" t="str">
        <x:v>APP000444</x:v>
      </x:c>
      <x:c r="C1336" s="8" t="n">
        <x:v>2</x:v>
      </x:c>
      <x:c r="D1336" s="8" t="n">
        <x:v>1</x:v>
      </x:c>
      <x:c r="E1336" s="8" t="n">
        <x:v>2</x:v>
      </x:c>
    </x:row>
    <x:row r="1337" ht="23" customHeight="1">
      <x:c r="B1337" s="8" t="str">
        <x:v>APP000444</x:v>
      </x:c>
      <x:c r="C1337" s="8" t="n">
        <x:v>3</x:v>
      </x:c>
      <x:c r="D1337" s="8" t="n">
        <x:v>1</x:v>
      </x:c>
      <x:c r="E1337" s="8" t="n">
        <x:v>2</x:v>
      </x:c>
    </x:row>
    <x:row r="1338" ht="23" customHeight="1">
      <x:c r="B1338" s="8" t="str">
        <x:v>APP000445</x:v>
      </x:c>
      <x:c r="C1338" s="8" t="n">
        <x:v>1</x:v>
      </x:c>
      <x:c r="D1338" s="8" t="n">
        <x:v>1</x:v>
      </x:c>
      <x:c r="E1338" s="8" t="n">
        <x:v>2</x:v>
      </x:c>
    </x:row>
    <x:row r="1339" ht="23" customHeight="1">
      <x:c r="B1339" s="8" t="str">
        <x:v>APP000445</x:v>
      </x:c>
      <x:c r="C1339" s="8" t="n">
        <x:v>2</x:v>
      </x:c>
      <x:c r="D1339" s="8" t="n">
        <x:v>1</x:v>
      </x:c>
      <x:c r="E1339" s="8" t="n">
        <x:v>2</x:v>
      </x:c>
    </x:row>
    <x:row r="1340" ht="23" customHeight="1">
      <x:c r="B1340" s="8" t="str">
        <x:v>APP000445</x:v>
      </x:c>
      <x:c r="C1340" s="8" t="n">
        <x:v>3</x:v>
      </x:c>
      <x:c r="D1340" s="8" t="n">
        <x:v>1</x:v>
      </x:c>
      <x:c r="E1340" s="8" t="n">
        <x:v>2</x:v>
      </x:c>
    </x:row>
    <x:row r="1341" ht="23" customHeight="1">
      <x:c r="B1341" s="8" t="str">
        <x:v>APP000446</x:v>
      </x:c>
      <x:c r="C1341" s="8" t="n">
        <x:v>1</x:v>
      </x:c>
      <x:c r="D1341" s="8" t="n">
        <x:v>1</x:v>
      </x:c>
      <x:c r="E1341" s="8" t="n">
        <x:v>2</x:v>
      </x:c>
    </x:row>
    <x:row r="1342" ht="23" customHeight="1">
      <x:c r="B1342" s="8" t="str">
        <x:v>APP000446</x:v>
      </x:c>
      <x:c r="C1342" s="8" t="n">
        <x:v>2</x:v>
      </x:c>
      <x:c r="D1342" s="8" t="n">
        <x:v>1</x:v>
      </x:c>
      <x:c r="E1342" s="8" t="n">
        <x:v>2</x:v>
      </x:c>
    </x:row>
    <x:row r="1343" ht="23" customHeight="1">
      <x:c r="B1343" s="8" t="str">
        <x:v>APP000446</x:v>
      </x:c>
      <x:c r="C1343" s="8" t="n">
        <x:v>3</x:v>
      </x:c>
      <x:c r="D1343" s="8" t="n">
        <x:v>1</x:v>
      </x:c>
      <x:c r="E1343" s="8" t="n">
        <x:v>2</x:v>
      </x:c>
    </x:row>
    <x:row r="1344" ht="23" customHeight="1">
      <x:c r="B1344" s="8" t="str">
        <x:v>APP000447</x:v>
      </x:c>
      <x:c r="C1344" s="8" t="n">
        <x:v>1</x:v>
      </x:c>
      <x:c r="D1344" s="8" t="n">
        <x:v>1</x:v>
      </x:c>
      <x:c r="E1344" s="8" t="n">
        <x:v>2</x:v>
      </x:c>
    </x:row>
    <x:row r="1345" ht="23" customHeight="1">
      <x:c r="B1345" s="8" t="str">
        <x:v>APP000447</x:v>
      </x:c>
      <x:c r="C1345" s="8" t="n">
        <x:v>2</x:v>
      </x:c>
      <x:c r="D1345" s="8" t="n">
        <x:v>1</x:v>
      </x:c>
      <x:c r="E1345" s="8" t="n">
        <x:v>2</x:v>
      </x:c>
    </x:row>
    <x:row r="1346" ht="23" customHeight="1">
      <x:c r="B1346" s="8" t="str">
        <x:v>APP000447</x:v>
      </x:c>
      <x:c r="C1346" s="8" t="n">
        <x:v>3</x:v>
      </x:c>
      <x:c r="D1346" s="8" t="n">
        <x:v>1</x:v>
      </x:c>
      <x:c r="E1346" s="8" t="n">
        <x:v>2</x:v>
      </x:c>
    </x:row>
    <x:row r="1347" ht="23" customHeight="1">
      <x:c r="B1347" s="8" t="str">
        <x:v>APP000448</x:v>
      </x:c>
      <x:c r="C1347" s="8" t="n">
        <x:v>1</x:v>
      </x:c>
      <x:c r="D1347" s="8" t="n">
        <x:v>1</x:v>
      </x:c>
      <x:c r="E1347" s="8" t="n">
        <x:v>2</x:v>
      </x:c>
    </x:row>
    <x:row r="1348" ht="23" customHeight="1">
      <x:c r="B1348" s="8" t="str">
        <x:v>APP000448</x:v>
      </x:c>
      <x:c r="C1348" s="8" t="n">
        <x:v>2</x:v>
      </x:c>
      <x:c r="D1348" s="8" t="n">
        <x:v>1</x:v>
      </x:c>
      <x:c r="E1348" s="8" t="n">
        <x:v>2</x:v>
      </x:c>
    </x:row>
    <x:row r="1349" ht="23" customHeight="1">
      <x:c r="B1349" s="8" t="str">
        <x:v>APP000448</x:v>
      </x:c>
      <x:c r="C1349" s="8" t="n">
        <x:v>3</x:v>
      </x:c>
      <x:c r="D1349" s="8" t="n">
        <x:v>1</x:v>
      </x:c>
      <x:c r="E1349" s="8" t="n">
        <x:v>2</x:v>
      </x:c>
    </x:row>
    <x:row r="1350" ht="23" customHeight="1">
      <x:c r="B1350" s="8" t="str">
        <x:v>APP000449</x:v>
      </x:c>
      <x:c r="C1350" s="8" t="n">
        <x:v>1</x:v>
      </x:c>
      <x:c r="D1350" s="8" t="n">
        <x:v>1</x:v>
      </x:c>
      <x:c r="E1350" s="8" t="n">
        <x:v>2</x:v>
      </x:c>
    </x:row>
    <x:row r="1351" ht="23" customHeight="1">
      <x:c r="B1351" s="8" t="str">
        <x:v>APP000449</x:v>
      </x:c>
      <x:c r="C1351" s="8" t="n">
        <x:v>2</x:v>
      </x:c>
      <x:c r="D1351" s="8" t="n">
        <x:v>1</x:v>
      </x:c>
      <x:c r="E1351" s="8" t="n">
        <x:v>2</x:v>
      </x:c>
    </x:row>
    <x:row r="1352" ht="23" customHeight="1">
      <x:c r="B1352" s="8" t="str">
        <x:v>APP000449</x:v>
      </x:c>
      <x:c r="C1352" s="8" t="n">
        <x:v>3</x:v>
      </x:c>
      <x:c r="D1352" s="8" t="n">
        <x:v>1</x:v>
      </x:c>
      <x:c r="E1352" s="8" t="n">
        <x:v>2</x:v>
      </x:c>
    </x:row>
    <x:row r="1353" ht="23" customHeight="1">
      <x:c r="B1353" s="8" t="str">
        <x:v>APP000450</x:v>
      </x:c>
      <x:c r="C1353" s="8" t="n">
        <x:v>1</x:v>
      </x:c>
      <x:c r="D1353" s="8" t="n">
        <x:v>1</x:v>
      </x:c>
      <x:c r="E1353" s="8" t="n">
        <x:v>2</x:v>
      </x:c>
    </x:row>
    <x:row r="1354" ht="23" customHeight="1">
      <x:c r="B1354" s="8" t="str">
        <x:v>APP000450</x:v>
      </x:c>
      <x:c r="C1354" s="8" t="n">
        <x:v>2</x:v>
      </x:c>
      <x:c r="D1354" s="8" t="n">
        <x:v>1</x:v>
      </x:c>
      <x:c r="E1354" s="8" t="n">
        <x:v>2</x:v>
      </x:c>
    </x:row>
    <x:row r="1355" ht="23" customHeight="1">
      <x:c r="B1355" s="8" t="str">
        <x:v>APP000450</x:v>
      </x:c>
      <x:c r="C1355" s="8" t="n">
        <x:v>3</x:v>
      </x:c>
      <x:c r="D1355" s="8" t="n">
        <x:v>1</x:v>
      </x:c>
      <x:c r="E1355" s="8" t="n">
        <x:v>2</x:v>
      </x:c>
    </x:row>
    <x:row r="1356" ht="23" customHeight="1">
      <x:c r="B1356" s="8" t="str">
        <x:v>APP000451</x:v>
      </x:c>
      <x:c r="C1356" s="8" t="n">
        <x:v>1</x:v>
      </x:c>
      <x:c r="D1356" s="8" t="n">
        <x:v>1</x:v>
      </x:c>
      <x:c r="E1356" s="8" t="n">
        <x:v>2</x:v>
      </x:c>
    </x:row>
    <x:row r="1357" ht="23" customHeight="1">
      <x:c r="B1357" s="8" t="str">
        <x:v>APP000451</x:v>
      </x:c>
      <x:c r="C1357" s="8" t="n">
        <x:v>2</x:v>
      </x:c>
      <x:c r="D1357" s="8" t="n">
        <x:v>1</x:v>
      </x:c>
      <x:c r="E1357" s="8" t="n">
        <x:v>2</x:v>
      </x:c>
    </x:row>
    <x:row r="1358" ht="23" customHeight="1">
      <x:c r="B1358" s="8" t="str">
        <x:v>APP000451</x:v>
      </x:c>
      <x:c r="C1358" s="8" t="n">
        <x:v>3</x:v>
      </x:c>
      <x:c r="D1358" s="8" t="n">
        <x:v>0</x:v>
      </x:c>
      <x:c r="E1358" s="8" t="n">
        <x:v>2</x:v>
      </x:c>
    </x:row>
    <x:row r="1359" ht="23" customHeight="1">
      <x:c r="B1359" s="8" t="str">
        <x:v>APP000452</x:v>
      </x:c>
      <x:c r="C1359" s="8" t="n">
        <x:v>1</x:v>
      </x:c>
      <x:c r="D1359" s="8" t="n">
        <x:v>1</x:v>
      </x:c>
      <x:c r="E1359" s="8" t="n">
        <x:v>2</x:v>
      </x:c>
    </x:row>
    <x:row r="1360" ht="23" customHeight="1">
      <x:c r="B1360" s="8" t="str">
        <x:v>APP000452</x:v>
      </x:c>
      <x:c r="C1360" s="8" t="n">
        <x:v>2</x:v>
      </x:c>
      <x:c r="D1360" s="8" t="n">
        <x:v>1</x:v>
      </x:c>
      <x:c r="E1360" s="8" t="n">
        <x:v>2</x:v>
      </x:c>
    </x:row>
    <x:row r="1361" ht="23" customHeight="1">
      <x:c r="B1361" s="8" t="str">
        <x:v>APP000452</x:v>
      </x:c>
      <x:c r="C1361" s="8" t="n">
        <x:v>3</x:v>
      </x:c>
      <x:c r="D1361" s="8" t="n">
        <x:v>1</x:v>
      </x:c>
      <x:c r="E1361" s="8" t="n">
        <x:v>2</x:v>
      </x:c>
    </x:row>
    <x:row r="1362" ht="23" customHeight="1">
      <x:c r="B1362" s="8" t="str">
        <x:v>APP000453</x:v>
      </x:c>
      <x:c r="C1362" s="8" t="n">
        <x:v>1</x:v>
      </x:c>
      <x:c r="D1362" s="8" t="n">
        <x:v>1</x:v>
      </x:c>
      <x:c r="E1362" s="8" t="n">
        <x:v>2</x:v>
      </x:c>
    </x:row>
    <x:row r="1363" ht="23" customHeight="1">
      <x:c r="B1363" s="8" t="str">
        <x:v>APP000453</x:v>
      </x:c>
      <x:c r="C1363" s="8" t="n">
        <x:v>2</x:v>
      </x:c>
      <x:c r="D1363" s="8" t="n">
        <x:v>1</x:v>
      </x:c>
      <x:c r="E1363" s="8" t="n">
        <x:v>2</x:v>
      </x:c>
    </x:row>
    <x:row r="1364" ht="23" customHeight="1">
      <x:c r="B1364" s="8" t="str">
        <x:v>APP000453</x:v>
      </x:c>
      <x:c r="C1364" s="8" t="n">
        <x:v>3</x:v>
      </x:c>
      <x:c r="D1364" s="8" t="n">
        <x:v>1</x:v>
      </x:c>
      <x:c r="E1364" s="8" t="n">
        <x:v>2</x:v>
      </x:c>
    </x:row>
    <x:row r="1365" ht="23" customHeight="1">
      <x:c r="B1365" s="8" t="str">
        <x:v>APP000454</x:v>
      </x:c>
      <x:c r="C1365" s="8" t="n">
        <x:v>1</x:v>
      </x:c>
      <x:c r="D1365" s="8" t="n">
        <x:v>1</x:v>
      </x:c>
      <x:c r="E1365" s="8" t="n">
        <x:v>2</x:v>
      </x:c>
    </x:row>
    <x:row r="1366" ht="23" customHeight="1">
      <x:c r="B1366" s="8" t="str">
        <x:v>APP000454</x:v>
      </x:c>
      <x:c r="C1366" s="8" t="n">
        <x:v>2</x:v>
      </x:c>
      <x:c r="D1366" s="8" t="n">
        <x:v>1</x:v>
      </x:c>
      <x:c r="E1366" s="8" t="n">
        <x:v>2</x:v>
      </x:c>
    </x:row>
    <x:row r="1367" ht="23" customHeight="1">
      <x:c r="B1367" s="8" t="str">
        <x:v>APP000454</x:v>
      </x:c>
      <x:c r="C1367" s="8" t="n">
        <x:v>3</x:v>
      </x:c>
      <x:c r="D1367" s="8" t="n">
        <x:v>1</x:v>
      </x:c>
      <x:c r="E1367" s="8" t="n">
        <x:v>2</x:v>
      </x:c>
    </x:row>
    <x:row r="1368" ht="23" customHeight="1">
      <x:c r="B1368" s="8" t="str">
        <x:v>APP000455</x:v>
      </x:c>
      <x:c r="C1368" s="8" t="n">
        <x:v>1</x:v>
      </x:c>
      <x:c r="D1368" s="8" t="n">
        <x:v>1</x:v>
      </x:c>
      <x:c r="E1368" s="8" t="n">
        <x:v>2</x:v>
      </x:c>
    </x:row>
    <x:row r="1369" ht="23" customHeight="1">
      <x:c r="B1369" s="8" t="str">
        <x:v>APP000455</x:v>
      </x:c>
      <x:c r="C1369" s="8" t="n">
        <x:v>2</x:v>
      </x:c>
      <x:c r="D1369" s="8" t="n">
        <x:v>1</x:v>
      </x:c>
      <x:c r="E1369" s="8" t="n">
        <x:v>2</x:v>
      </x:c>
    </x:row>
    <x:row r="1370" ht="23" customHeight="1">
      <x:c r="B1370" s="8" t="str">
        <x:v>APP000455</x:v>
      </x:c>
      <x:c r="C1370" s="8" t="n">
        <x:v>3</x:v>
      </x:c>
      <x:c r="D1370" s="8" t="n">
        <x:v>1</x:v>
      </x:c>
      <x:c r="E1370" s="8" t="n">
        <x:v>2</x:v>
      </x:c>
    </x:row>
    <x:row r="1371" ht="23" customHeight="1">
      <x:c r="B1371" s="8" t="str">
        <x:v>APP000456</x:v>
      </x:c>
      <x:c r="C1371" s="8" t="n">
        <x:v>1</x:v>
      </x:c>
      <x:c r="D1371" s="8" t="n">
        <x:v>1</x:v>
      </x:c>
      <x:c r="E1371" s="8" t="n">
        <x:v>2</x:v>
      </x:c>
    </x:row>
    <x:row r="1372" ht="23" customHeight="1">
      <x:c r="B1372" s="8" t="str">
        <x:v>APP000456</x:v>
      </x:c>
      <x:c r="C1372" s="8" t="n">
        <x:v>2</x:v>
      </x:c>
      <x:c r="D1372" s="8" t="n">
        <x:v>0</x:v>
      </x:c>
      <x:c r="E1372" s="8" t="n">
        <x:v>2</x:v>
      </x:c>
    </x:row>
    <x:row r="1373" ht="23" customHeight="1">
      <x:c r="B1373" s="8" t="str">
        <x:v>APP000456</x:v>
      </x:c>
      <x:c r="C1373" s="8" t="n">
        <x:v>3</x:v>
      </x:c>
      <x:c r="D1373" s="8" t="n">
        <x:v>1</x:v>
      </x:c>
      <x:c r="E1373" s="8" t="n">
        <x:v>2</x:v>
      </x:c>
    </x:row>
    <x:row r="1374" ht="23" customHeight="1">
      <x:c r="B1374" s="8" t="str">
        <x:v>APP000457</x:v>
      </x:c>
      <x:c r="C1374" s="8" t="n">
        <x:v>1</x:v>
      </x:c>
      <x:c r="D1374" s="8" t="n">
        <x:v>1</x:v>
      </x:c>
      <x:c r="E1374" s="8" t="n">
        <x:v>2</x:v>
      </x:c>
    </x:row>
    <x:row r="1375" ht="23" customHeight="1">
      <x:c r="B1375" s="8" t="str">
        <x:v>APP000457</x:v>
      </x:c>
      <x:c r="C1375" s="8" t="n">
        <x:v>2</x:v>
      </x:c>
      <x:c r="D1375" s="8" t="n">
        <x:v>1</x:v>
      </x:c>
      <x:c r="E1375" s="8" t="n">
        <x:v>2</x:v>
      </x:c>
    </x:row>
    <x:row r="1376" ht="23" customHeight="1">
      <x:c r="B1376" s="8" t="str">
        <x:v>APP000457</x:v>
      </x:c>
      <x:c r="C1376" s="8" t="n">
        <x:v>3</x:v>
      </x:c>
      <x:c r="D1376" s="8" t="n">
        <x:v>1</x:v>
      </x:c>
      <x:c r="E1376" s="8" t="n">
        <x:v>2</x:v>
      </x:c>
    </x:row>
    <x:row r="1377" ht="23" customHeight="1">
      <x:c r="B1377" s="8" t="str">
        <x:v>APP000458</x:v>
      </x:c>
      <x:c r="C1377" s="8" t="n">
        <x:v>1</x:v>
      </x:c>
      <x:c r="D1377" s="8" t="n">
        <x:v>1</x:v>
      </x:c>
      <x:c r="E1377" s="8" t="n">
        <x:v>2</x:v>
      </x:c>
    </x:row>
    <x:row r="1378" ht="23" customHeight="1">
      <x:c r="B1378" s="8" t="str">
        <x:v>APP000458</x:v>
      </x:c>
      <x:c r="C1378" s="8" t="n">
        <x:v>2</x:v>
      </x:c>
      <x:c r="D1378" s="8" t="n">
        <x:v>1</x:v>
      </x:c>
      <x:c r="E1378" s="8" t="n">
        <x:v>2</x:v>
      </x:c>
    </x:row>
    <x:row r="1379" ht="23" customHeight="1">
      <x:c r="B1379" s="8" t="str">
        <x:v>APP000458</x:v>
      </x:c>
      <x:c r="C1379" s="8" t="n">
        <x:v>3</x:v>
      </x:c>
      <x:c r="D1379" s="8" t="n">
        <x:v>1</x:v>
      </x:c>
      <x:c r="E1379" s="8" t="n">
        <x:v>2</x:v>
      </x:c>
    </x:row>
    <x:row r="1380" ht="23" customHeight="1">
      <x:c r="B1380" s="8" t="str">
        <x:v>APP000459</x:v>
      </x:c>
      <x:c r="C1380" s="8" t="n">
        <x:v>1</x:v>
      </x:c>
      <x:c r="D1380" s="8" t="n">
        <x:v>1</x:v>
      </x:c>
      <x:c r="E1380" s="8" t="n">
        <x:v>2</x:v>
      </x:c>
    </x:row>
    <x:row r="1381" ht="23" customHeight="1">
      <x:c r="B1381" s="8" t="str">
        <x:v>APP000459</x:v>
      </x:c>
      <x:c r="C1381" s="8" t="n">
        <x:v>2</x:v>
      </x:c>
      <x:c r="D1381" s="8" t="n">
        <x:v>1</x:v>
      </x:c>
      <x:c r="E1381" s="8" t="n">
        <x:v>2</x:v>
      </x:c>
    </x:row>
    <x:row r="1382" ht="23" customHeight="1">
      <x:c r="B1382" s="8" t="str">
        <x:v>APP000459</x:v>
      </x:c>
      <x:c r="C1382" s="8" t="n">
        <x:v>3</x:v>
      </x:c>
      <x:c r="D1382" s="8" t="n">
        <x:v>1</x:v>
      </x:c>
      <x:c r="E1382" s="8" t="n">
        <x:v>2</x:v>
      </x:c>
    </x:row>
    <x:row r="1383" ht="23" customHeight="1">
      <x:c r="B1383" s="8" t="str">
        <x:v>APP000460</x:v>
      </x:c>
      <x:c r="C1383" s="8" t="n">
        <x:v>1</x:v>
      </x:c>
      <x:c r="D1383" s="8" t="n">
        <x:v>1</x:v>
      </x:c>
      <x:c r="E1383" s="8" t="n">
        <x:v>2</x:v>
      </x:c>
    </x:row>
    <x:row r="1384" ht="23" customHeight="1">
      <x:c r="B1384" s="8" t="str">
        <x:v>APP000460</x:v>
      </x:c>
      <x:c r="C1384" s="8" t="n">
        <x:v>2</x:v>
      </x:c>
      <x:c r="D1384" s="8" t="n">
        <x:v>1</x:v>
      </x:c>
      <x:c r="E1384" s="8" t="n">
        <x:v>2</x:v>
      </x:c>
    </x:row>
    <x:row r="1385" ht="23" customHeight="1">
      <x:c r="B1385" s="8" t="str">
        <x:v>APP000460</x:v>
      </x:c>
      <x:c r="C1385" s="8" t="n">
        <x:v>3</x:v>
      </x:c>
      <x:c r="D1385" s="8" t="n">
        <x:v>0</x:v>
      </x:c>
      <x:c r="E1385" s="8" t="n">
        <x:v>2</x:v>
      </x:c>
    </x:row>
    <x:row r="1386" ht="23" customHeight="1">
      <x:c r="B1386" s="8" t="str">
        <x:v>APP000461</x:v>
      </x:c>
      <x:c r="C1386" s="8" t="n">
        <x:v>1</x:v>
      </x:c>
      <x:c r="D1386" s="8" t="n">
        <x:v>1</x:v>
      </x:c>
      <x:c r="E1386" s="8" t="n">
        <x:v>2</x:v>
      </x:c>
    </x:row>
    <x:row r="1387" ht="23" customHeight="1">
      <x:c r="B1387" s="8" t="str">
        <x:v>APP000461</x:v>
      </x:c>
      <x:c r="C1387" s="8" t="n">
        <x:v>2</x:v>
      </x:c>
      <x:c r="D1387" s="8" t="n">
        <x:v>1</x:v>
      </x:c>
      <x:c r="E1387" s="8" t="n">
        <x:v>2</x:v>
      </x:c>
    </x:row>
    <x:row r="1388" ht="23" customHeight="1">
      <x:c r="B1388" s="8" t="str">
        <x:v>APP000461</x:v>
      </x:c>
      <x:c r="C1388" s="8" t="n">
        <x:v>3</x:v>
      </x:c>
      <x:c r="D1388" s="8" t="n">
        <x:v>1</x:v>
      </x:c>
      <x:c r="E1388" s="8" t="n">
        <x:v>2</x:v>
      </x:c>
    </x:row>
    <x:row r="1389" ht="23" customHeight="1">
      <x:c r="B1389" s="8" t="str">
        <x:v>APP000462</x:v>
      </x:c>
      <x:c r="C1389" s="8" t="n">
        <x:v>1</x:v>
      </x:c>
      <x:c r="D1389" s="8" t="n">
        <x:v>1</x:v>
      </x:c>
      <x:c r="E1389" s="8" t="n">
        <x:v>2</x:v>
      </x:c>
    </x:row>
    <x:row r="1390" ht="23" customHeight="1">
      <x:c r="B1390" s="8" t="str">
        <x:v>APP000462</x:v>
      </x:c>
      <x:c r="C1390" s="8" t="n">
        <x:v>2</x:v>
      </x:c>
      <x:c r="D1390" s="8" t="n">
        <x:v>1</x:v>
      </x:c>
      <x:c r="E1390" s="8" t="n">
        <x:v>2</x:v>
      </x:c>
    </x:row>
    <x:row r="1391" ht="23" customHeight="1">
      <x:c r="B1391" s="8" t="str">
        <x:v>APP000462</x:v>
      </x:c>
      <x:c r="C1391" s="8" t="n">
        <x:v>3</x:v>
      </x:c>
      <x:c r="D1391" s="8" t="n">
        <x:v>1</x:v>
      </x:c>
      <x:c r="E1391" s="8" t="n">
        <x:v>2</x:v>
      </x:c>
    </x:row>
    <x:row r="1392" ht="23" customHeight="1">
      <x:c r="B1392" s="8" t="str">
        <x:v>APP000463</x:v>
      </x:c>
      <x:c r="C1392" s="8" t="n">
        <x:v>1</x:v>
      </x:c>
      <x:c r="D1392" s="8" t="n">
        <x:v>1</x:v>
      </x:c>
      <x:c r="E1392" s="8" t="n">
        <x:v>2</x:v>
      </x:c>
    </x:row>
    <x:row r="1393" ht="23" customHeight="1">
      <x:c r="B1393" s="8" t="str">
        <x:v>APP000463</x:v>
      </x:c>
      <x:c r="C1393" s="8" t="n">
        <x:v>2</x:v>
      </x:c>
      <x:c r="D1393" s="8" t="n">
        <x:v>1</x:v>
      </x:c>
      <x:c r="E1393" s="8" t="n">
        <x:v>2</x:v>
      </x:c>
    </x:row>
    <x:row r="1394" ht="23" customHeight="1">
      <x:c r="B1394" s="8" t="str">
        <x:v>APP000463</x:v>
      </x:c>
      <x:c r="C1394" s="8" t="n">
        <x:v>3</x:v>
      </x:c>
      <x:c r="D1394" s="8" t="n">
        <x:v>1</x:v>
      </x:c>
      <x:c r="E1394" s="8" t="n">
        <x:v>2</x:v>
      </x:c>
    </x:row>
    <x:row r="1395" ht="23" customHeight="1">
      <x:c r="B1395" s="8" t="str">
        <x:v>APP000464</x:v>
      </x:c>
      <x:c r="C1395" s="8" t="n">
        <x:v>1</x:v>
      </x:c>
      <x:c r="D1395" s="8" t="n">
        <x:v>1</x:v>
      </x:c>
      <x:c r="E1395" s="8" t="n">
        <x:v>2</x:v>
      </x:c>
    </x:row>
    <x:row r="1396" ht="23" customHeight="1">
      <x:c r="B1396" s="8" t="str">
        <x:v>APP000464</x:v>
      </x:c>
      <x:c r="C1396" s="8" t="n">
        <x:v>2</x:v>
      </x:c>
      <x:c r="D1396" s="8" t="n">
        <x:v>1</x:v>
      </x:c>
      <x:c r="E1396" s="8" t="n">
        <x:v>2</x:v>
      </x:c>
    </x:row>
    <x:row r="1397" ht="23" customHeight="1">
      <x:c r="B1397" s="8" t="str">
        <x:v>APP000464</x:v>
      </x:c>
      <x:c r="C1397" s="8" t="n">
        <x:v>3</x:v>
      </x:c>
      <x:c r="D1397" s="8" t="n">
        <x:v>1</x:v>
      </x:c>
      <x:c r="E1397" s="8" t="n">
        <x:v>2</x:v>
      </x:c>
    </x:row>
    <x:row r="1398" ht="23" customHeight="1">
      <x:c r="B1398" s="8" t="str">
        <x:v>APP000465</x:v>
      </x:c>
      <x:c r="C1398" s="8" t="n">
        <x:v>1</x:v>
      </x:c>
      <x:c r="D1398" s="8" t="n">
        <x:v>1</x:v>
      </x:c>
      <x:c r="E1398" s="8" t="n">
        <x:v>2</x:v>
      </x:c>
    </x:row>
    <x:row r="1399" ht="23" customHeight="1">
      <x:c r="B1399" s="8" t="str">
        <x:v>APP000465</x:v>
      </x:c>
      <x:c r="C1399" s="8" t="n">
        <x:v>2</x:v>
      </x:c>
      <x:c r="D1399" s="8" t="n">
        <x:v>1</x:v>
      </x:c>
      <x:c r="E1399" s="8" t="n">
        <x:v>2</x:v>
      </x:c>
    </x:row>
    <x:row r="1400" ht="23" customHeight="1">
      <x:c r="B1400" s="8" t="str">
        <x:v>APP000465</x:v>
      </x:c>
      <x:c r="C1400" s="8" t="n">
        <x:v>3</x:v>
      </x:c>
      <x:c r="D1400" s="8" t="n">
        <x:v>1</x:v>
      </x:c>
      <x:c r="E1400" s="8" t="n">
        <x:v>2</x:v>
      </x:c>
    </x:row>
    <x:row r="1401" ht="23" customHeight="1">
      <x:c r="B1401" s="8" t="str">
        <x:v>APP000466</x:v>
      </x:c>
      <x:c r="C1401" s="8" t="n">
        <x:v>1</x:v>
      </x:c>
      <x:c r="D1401" s="8" t="n">
        <x:v>1</x:v>
      </x:c>
      <x:c r="E1401" s="8" t="n">
        <x:v>2</x:v>
      </x:c>
    </x:row>
    <x:row r="1402" ht="23" customHeight="1">
      <x:c r="B1402" s="8" t="str">
        <x:v>APP000466</x:v>
      </x:c>
      <x:c r="C1402" s="8" t="n">
        <x:v>2</x:v>
      </x:c>
      <x:c r="D1402" s="8" t="n">
        <x:v>1</x:v>
      </x:c>
      <x:c r="E1402" s="8" t="n">
        <x:v>2</x:v>
      </x:c>
    </x:row>
    <x:row r="1403" ht="23" customHeight="1">
      <x:c r="B1403" s="8" t="str">
        <x:v>APP000466</x:v>
      </x:c>
      <x:c r="C1403" s="8" t="n">
        <x:v>3</x:v>
      </x:c>
      <x:c r="D1403" s="8" t="n">
        <x:v>1</x:v>
      </x:c>
      <x:c r="E1403" s="8" t="n">
        <x:v>2</x:v>
      </x:c>
    </x:row>
    <x:row r="1404" ht="23" customHeight="1">
      <x:c r="B1404" s="8" t="str">
        <x:v>APP000467</x:v>
      </x:c>
      <x:c r="C1404" s="8" t="n">
        <x:v>1</x:v>
      </x:c>
      <x:c r="D1404" s="8" t="n">
        <x:v>1</x:v>
      </x:c>
      <x:c r="E1404" s="8" t="n">
        <x:v>2</x:v>
      </x:c>
    </x:row>
    <x:row r="1405" ht="23" customHeight="1">
      <x:c r="B1405" s="8" t="str">
        <x:v>APP000467</x:v>
      </x:c>
      <x:c r="C1405" s="8" t="n">
        <x:v>2</x:v>
      </x:c>
      <x:c r="D1405" s="8" t="n">
        <x:v>1</x:v>
      </x:c>
      <x:c r="E1405" s="8" t="n">
        <x:v>2</x:v>
      </x:c>
    </x:row>
    <x:row r="1406" ht="23" customHeight="1">
      <x:c r="B1406" s="8" t="str">
        <x:v>APP000467</x:v>
      </x:c>
      <x:c r="C1406" s="8" t="n">
        <x:v>3</x:v>
      </x:c>
      <x:c r="D1406" s="8" t="n">
        <x:v>1</x:v>
      </x:c>
      <x:c r="E1406" s="8" t="n">
        <x:v>2</x:v>
      </x:c>
    </x:row>
    <x:row r="1407" ht="23" customHeight="1">
      <x:c r="B1407" s="8" t="str">
        <x:v>APP000468</x:v>
      </x:c>
      <x:c r="C1407" s="8" t="n">
        <x:v>1</x:v>
      </x:c>
      <x:c r="D1407" s="8" t="n">
        <x:v>1</x:v>
      </x:c>
      <x:c r="E1407" s="8" t="n">
        <x:v>2</x:v>
      </x:c>
    </x:row>
    <x:row r="1408" ht="23" customHeight="1">
      <x:c r="B1408" s="8" t="str">
        <x:v>APP000468</x:v>
      </x:c>
      <x:c r="C1408" s="8" t="n">
        <x:v>2</x:v>
      </x:c>
      <x:c r="D1408" s="8" t="n">
        <x:v>1</x:v>
      </x:c>
      <x:c r="E1408" s="8" t="n">
        <x:v>2</x:v>
      </x:c>
    </x:row>
    <x:row r="1409" ht="23" customHeight="1">
      <x:c r="B1409" s="8" t="str">
        <x:v>APP000468</x:v>
      </x:c>
      <x:c r="C1409" s="8" t="n">
        <x:v>3</x:v>
      </x:c>
      <x:c r="D1409" s="8" t="n">
        <x:v>1</x:v>
      </x:c>
      <x:c r="E1409" s="8" t="n">
        <x:v>2</x:v>
      </x:c>
    </x:row>
    <x:row r="1410" ht="23" customHeight="1">
      <x:c r="B1410" s="8" t="str">
        <x:v>APP000469</x:v>
      </x:c>
      <x:c r="C1410" s="8" t="n">
        <x:v>1</x:v>
      </x:c>
      <x:c r="D1410" s="8" t="n">
        <x:v>1</x:v>
      </x:c>
      <x:c r="E1410" s="8" t="n">
        <x:v>2</x:v>
      </x:c>
    </x:row>
    <x:row r="1411" ht="23" customHeight="1">
      <x:c r="B1411" s="8" t="str">
        <x:v>APP000469</x:v>
      </x:c>
      <x:c r="C1411" s="8" t="n">
        <x:v>2</x:v>
      </x:c>
      <x:c r="D1411" s="8" t="n">
        <x:v>0</x:v>
      </x:c>
      <x:c r="E1411" s="8" t="n">
        <x:v>2</x:v>
      </x:c>
    </x:row>
    <x:row r="1412" ht="23" customHeight="1">
      <x:c r="B1412" s="8" t="str">
        <x:v>APP000469</x:v>
      </x:c>
      <x:c r="C1412" s="8" t="n">
        <x:v>3</x:v>
      </x:c>
      <x:c r="D1412" s="8" t="n">
        <x:v>0</x:v>
      </x:c>
      <x:c r="E1412" s="8" t="n">
        <x:v>2</x:v>
      </x:c>
    </x:row>
    <x:row r="1413" ht="23" customHeight="1">
      <x:c r="B1413" s="8" t="str">
        <x:v>APP000470</x:v>
      </x:c>
      <x:c r="C1413" s="8" t="n">
        <x:v>1</x:v>
      </x:c>
      <x:c r="D1413" s="8" t="n">
        <x:v>1</x:v>
      </x:c>
      <x:c r="E1413" s="8" t="n">
        <x:v>2</x:v>
      </x:c>
    </x:row>
    <x:row r="1414" ht="23" customHeight="1">
      <x:c r="B1414" s="8" t="str">
        <x:v>APP000470</x:v>
      </x:c>
      <x:c r="C1414" s="8" t="n">
        <x:v>2</x:v>
      </x:c>
      <x:c r="D1414" s="8" t="n">
        <x:v>1</x:v>
      </x:c>
      <x:c r="E1414" s="8" t="n">
        <x:v>2</x:v>
      </x:c>
    </x:row>
    <x:row r="1415" ht="23" customHeight="1">
      <x:c r="B1415" s="8" t="str">
        <x:v>APP000470</x:v>
      </x:c>
      <x:c r="C1415" s="8" t="n">
        <x:v>3</x:v>
      </x:c>
      <x:c r="D1415" s="8" t="n">
        <x:v>1</x:v>
      </x:c>
      <x:c r="E1415" s="8" t="n">
        <x:v>2</x:v>
      </x:c>
    </x:row>
    <x:row r="1416" ht="23" customHeight="1">
      <x:c r="B1416" s="8" t="str">
        <x:v>APP000471</x:v>
      </x:c>
      <x:c r="C1416" s="8" t="n">
        <x:v>1</x:v>
      </x:c>
      <x:c r="D1416" s="8" t="n">
        <x:v>1</x:v>
      </x:c>
      <x:c r="E1416" s="8" t="n">
        <x:v>2</x:v>
      </x:c>
    </x:row>
    <x:row r="1417" ht="23" customHeight="1">
      <x:c r="B1417" s="8" t="str">
        <x:v>APP000471</x:v>
      </x:c>
      <x:c r="C1417" s="8" t="n">
        <x:v>2</x:v>
      </x:c>
      <x:c r="D1417" s="8" t="n">
        <x:v>1</x:v>
      </x:c>
      <x:c r="E1417" s="8" t="n">
        <x:v>2</x:v>
      </x:c>
    </x:row>
    <x:row r="1418" ht="23" customHeight="1">
      <x:c r="B1418" s="8" t="str">
        <x:v>APP000471</x:v>
      </x:c>
      <x:c r="C1418" s="8" t="n">
        <x:v>3</x:v>
      </x:c>
      <x:c r="D1418" s="8" t="n">
        <x:v>1</x:v>
      </x:c>
      <x:c r="E1418" s="8" t="n">
        <x:v>2</x:v>
      </x:c>
    </x:row>
    <x:row r="1419" ht="23" customHeight="1">
      <x:c r="B1419" s="8" t="str">
        <x:v>APP000472</x:v>
      </x:c>
      <x:c r="C1419" s="8" t="n">
        <x:v>1</x:v>
      </x:c>
      <x:c r="D1419" s="8" t="n">
        <x:v>1</x:v>
      </x:c>
      <x:c r="E1419" s="8" t="n">
        <x:v>2</x:v>
      </x:c>
    </x:row>
    <x:row r="1420" ht="23" customHeight="1">
      <x:c r="B1420" s="8" t="str">
        <x:v>APP000472</x:v>
      </x:c>
      <x:c r="C1420" s="8" t="n">
        <x:v>2</x:v>
      </x:c>
      <x:c r="D1420" s="8" t="n">
        <x:v>1</x:v>
      </x:c>
      <x:c r="E1420" s="8" t="n">
        <x:v>2</x:v>
      </x:c>
    </x:row>
    <x:row r="1421" ht="23" customHeight="1">
      <x:c r="B1421" s="8" t="str">
        <x:v>APP000472</x:v>
      </x:c>
      <x:c r="C1421" s="8" t="n">
        <x:v>3</x:v>
      </x:c>
      <x:c r="D1421" s="8" t="n">
        <x:v>1</x:v>
      </x:c>
      <x:c r="E1421" s="8" t="n">
        <x:v>2</x:v>
      </x:c>
    </x:row>
    <x:row r="1422" ht="23" customHeight="1">
      <x:c r="B1422" s="8" t="str">
        <x:v>APP000473</x:v>
      </x:c>
      <x:c r="C1422" s="8" t="n">
        <x:v>1</x:v>
      </x:c>
      <x:c r="D1422" s="8" t="n">
        <x:v>1</x:v>
      </x:c>
      <x:c r="E1422" s="8" t="n">
        <x:v>2</x:v>
      </x:c>
    </x:row>
    <x:row r="1423" ht="23" customHeight="1">
      <x:c r="B1423" s="8" t="str">
        <x:v>APP000473</x:v>
      </x:c>
      <x:c r="C1423" s="8" t="n">
        <x:v>2</x:v>
      </x:c>
      <x:c r="D1423" s="8" t="n">
        <x:v>1</x:v>
      </x:c>
      <x:c r="E1423" s="8" t="n">
        <x:v>2</x:v>
      </x:c>
    </x:row>
    <x:row r="1424" ht="23" customHeight="1">
      <x:c r="B1424" s="8" t="str">
        <x:v>APP000473</x:v>
      </x:c>
      <x:c r="C1424" s="8" t="n">
        <x:v>3</x:v>
      </x:c>
      <x:c r="D1424" s="8" t="n">
        <x:v>1</x:v>
      </x:c>
      <x:c r="E1424" s="8" t="n">
        <x:v>2</x:v>
      </x:c>
    </x:row>
    <x:row r="1425" ht="23" customHeight="1">
      <x:c r="B1425" s="8" t="str">
        <x:v>APP000474</x:v>
      </x:c>
      <x:c r="C1425" s="8" t="n">
        <x:v>1</x:v>
      </x:c>
      <x:c r="D1425" s="8" t="n">
        <x:v>1</x:v>
      </x:c>
      <x:c r="E1425" s="8" t="n">
        <x:v>2</x:v>
      </x:c>
    </x:row>
    <x:row r="1426" ht="23" customHeight="1">
      <x:c r="B1426" s="8" t="str">
        <x:v>APP000474</x:v>
      </x:c>
      <x:c r="C1426" s="8" t="n">
        <x:v>2</x:v>
      </x:c>
      <x:c r="D1426" s="8" t="n">
        <x:v>1</x:v>
      </x:c>
      <x:c r="E1426" s="8" t="n">
        <x:v>2</x:v>
      </x:c>
    </x:row>
    <x:row r="1427" ht="23" customHeight="1">
      <x:c r="B1427" s="8" t="str">
        <x:v>APP000474</x:v>
      </x:c>
      <x:c r="C1427" s="8" t="n">
        <x:v>3</x:v>
      </x:c>
      <x:c r="D1427" s="8" t="n">
        <x:v>1</x:v>
      </x:c>
      <x:c r="E1427" s="8" t="n">
        <x:v>2</x:v>
      </x:c>
    </x:row>
    <x:row r="1428" ht="23" customHeight="1">
      <x:c r="B1428" s="8" t="str">
        <x:v>APP000475</x:v>
      </x:c>
      <x:c r="C1428" s="8" t="n">
        <x:v>1</x:v>
      </x:c>
      <x:c r="D1428" s="8" t="n">
        <x:v>1</x:v>
      </x:c>
      <x:c r="E1428" s="8" t="n">
        <x:v>2</x:v>
      </x:c>
    </x:row>
    <x:row r="1429" ht="23" customHeight="1">
      <x:c r="B1429" s="8" t="str">
        <x:v>APP000475</x:v>
      </x:c>
      <x:c r="C1429" s="8" t="n">
        <x:v>2</x:v>
      </x:c>
      <x:c r="D1429" s="8" t="n">
        <x:v>1</x:v>
      </x:c>
      <x:c r="E1429" s="8" t="n">
        <x:v>2</x:v>
      </x:c>
    </x:row>
    <x:row r="1430" ht="23" customHeight="1">
      <x:c r="B1430" s="8" t="str">
        <x:v>APP000475</x:v>
      </x:c>
      <x:c r="C1430" s="8" t="n">
        <x:v>3</x:v>
      </x:c>
      <x:c r="D1430" s="8" t="n">
        <x:v>1</x:v>
      </x:c>
      <x:c r="E1430" s="8" t="n">
        <x:v>2</x:v>
      </x:c>
    </x:row>
    <x:row r="1431" ht="23" customHeight="1">
      <x:c r="B1431" s="8" t="str">
        <x:v>APP000476</x:v>
      </x:c>
      <x:c r="C1431" s="8" t="n">
        <x:v>1</x:v>
      </x:c>
      <x:c r="D1431" s="8" t="n">
        <x:v>1</x:v>
      </x:c>
      <x:c r="E1431" s="8" t="n">
        <x:v>2</x:v>
      </x:c>
    </x:row>
    <x:row r="1432" ht="23" customHeight="1">
      <x:c r="B1432" s="8" t="str">
        <x:v>APP000476</x:v>
      </x:c>
      <x:c r="C1432" s="8" t="n">
        <x:v>2</x:v>
      </x:c>
      <x:c r="D1432" s="8" t="n">
        <x:v>1</x:v>
      </x:c>
      <x:c r="E1432" s="8" t="n">
        <x:v>2</x:v>
      </x:c>
    </x:row>
    <x:row r="1433" ht="23" customHeight="1">
      <x:c r="B1433" s="8" t="str">
        <x:v>APP000476</x:v>
      </x:c>
      <x:c r="C1433" s="8" t="n">
        <x:v>3</x:v>
      </x:c>
      <x:c r="D1433" s="8" t="n">
        <x:v>1</x:v>
      </x:c>
      <x:c r="E1433" s="8" t="n">
        <x:v>2</x:v>
      </x:c>
    </x:row>
    <x:row r="1434" ht="23" customHeight="1">
      <x:c r="B1434" s="8" t="str">
        <x:v>APP000477</x:v>
      </x:c>
      <x:c r="C1434" s="8" t="n">
        <x:v>1</x:v>
      </x:c>
      <x:c r="D1434" s="8" t="n">
        <x:v>1</x:v>
      </x:c>
      <x:c r="E1434" s="8" t="n">
        <x:v>2</x:v>
      </x:c>
    </x:row>
    <x:row r="1435" ht="23" customHeight="1">
      <x:c r="B1435" s="8" t="str">
        <x:v>APP000477</x:v>
      </x:c>
      <x:c r="C1435" s="8" t="n">
        <x:v>2</x:v>
      </x:c>
      <x:c r="D1435" s="8" t="n">
        <x:v>1</x:v>
      </x:c>
      <x:c r="E1435" s="8" t="n">
        <x:v>2</x:v>
      </x:c>
    </x:row>
    <x:row r="1436" ht="23" customHeight="1">
      <x:c r="B1436" s="8" t="str">
        <x:v>APP000477</x:v>
      </x:c>
      <x:c r="C1436" s="8" t="n">
        <x:v>3</x:v>
      </x:c>
      <x:c r="D1436" s="8" t="n">
        <x:v>1</x:v>
      </x:c>
      <x:c r="E1436" s="8" t="n">
        <x:v>2</x:v>
      </x:c>
    </x:row>
    <x:row r="1437" ht="23" customHeight="1">
      <x:c r="B1437" s="8" t="str">
        <x:v>APP000478</x:v>
      </x:c>
      <x:c r="C1437" s="8" t="n">
        <x:v>1</x:v>
      </x:c>
      <x:c r="D1437" s="8" t="n">
        <x:v>1</x:v>
      </x:c>
      <x:c r="E1437" s="8" t="n">
        <x:v>2</x:v>
      </x:c>
    </x:row>
    <x:row r="1438" ht="23" customHeight="1">
      <x:c r="B1438" s="8" t="str">
        <x:v>APP000478</x:v>
      </x:c>
      <x:c r="C1438" s="8" t="n">
        <x:v>2</x:v>
      </x:c>
      <x:c r="D1438" s="8" t="n">
        <x:v>1</x:v>
      </x:c>
      <x:c r="E1438" s="8" t="n">
        <x:v>2</x:v>
      </x:c>
    </x:row>
    <x:row r="1439" ht="23" customHeight="1">
      <x:c r="B1439" s="8" t="str">
        <x:v>APP000478</x:v>
      </x:c>
      <x:c r="C1439" s="8" t="n">
        <x:v>3</x:v>
      </x:c>
      <x:c r="D1439" s="8" t="n">
        <x:v>0</x:v>
      </x:c>
      <x:c r="E1439" s="8" t="n">
        <x:v>2</x:v>
      </x:c>
    </x:row>
    <x:row r="1440" ht="23" customHeight="1">
      <x:c r="B1440" s="8" t="str">
        <x:v>APP000479</x:v>
      </x:c>
      <x:c r="C1440" s="8" t="n">
        <x:v>1</x:v>
      </x:c>
      <x:c r="D1440" s="8" t="n">
        <x:v>1</x:v>
      </x:c>
      <x:c r="E1440" s="8" t="n">
        <x:v>2</x:v>
      </x:c>
    </x:row>
    <x:row r="1441" ht="23" customHeight="1">
      <x:c r="B1441" s="8" t="str">
        <x:v>APP000479</x:v>
      </x:c>
      <x:c r="C1441" s="8" t="n">
        <x:v>2</x:v>
      </x:c>
      <x:c r="D1441" s="8" t="n">
        <x:v>1</x:v>
      </x:c>
      <x:c r="E1441" s="8" t="n">
        <x:v>2</x:v>
      </x:c>
    </x:row>
    <x:row r="1442" ht="23" customHeight="1">
      <x:c r="B1442" s="8" t="str">
        <x:v>APP000479</x:v>
      </x:c>
      <x:c r="C1442" s="8" t="n">
        <x:v>3</x:v>
      </x:c>
      <x:c r="D1442" s="8" t="n">
        <x:v>1</x:v>
      </x:c>
      <x:c r="E1442" s="8" t="n">
        <x:v>2</x:v>
      </x:c>
    </x:row>
    <x:row r="1443" ht="23" customHeight="1">
      <x:c r="B1443" s="8" t="str">
        <x:v>APP000480</x:v>
      </x:c>
      <x:c r="C1443" s="8" t="n">
        <x:v>1</x:v>
      </x:c>
      <x:c r="D1443" s="8" t="n">
        <x:v>1</x:v>
      </x:c>
      <x:c r="E1443" s="8" t="n">
        <x:v>2</x:v>
      </x:c>
    </x:row>
    <x:row r="1444" ht="23" customHeight="1">
      <x:c r="B1444" s="8" t="str">
        <x:v>APP000480</x:v>
      </x:c>
      <x:c r="C1444" s="8" t="n">
        <x:v>2</x:v>
      </x:c>
      <x:c r="D1444" s="8" t="n">
        <x:v>1</x:v>
      </x:c>
      <x:c r="E1444" s="8" t="n">
        <x:v>2</x:v>
      </x:c>
    </x:row>
    <x:row r="1445" ht="23" customHeight="1">
      <x:c r="B1445" s="8" t="str">
        <x:v>APP000480</x:v>
      </x:c>
      <x:c r="C1445" s="8" t="n">
        <x:v>3</x:v>
      </x:c>
      <x:c r="D1445" s="8" t="n">
        <x:v>1</x:v>
      </x:c>
      <x:c r="E1445" s="8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6bb785ab5bb44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평가원본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신청ID</x:v>
      </x:c>
      <x:c r="C5" s="6" t="str">
        <x:v>점수</x:v>
      </x:c>
      <x:c r="D5" s="6" t="str">
        <x:v>응시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APP000001</x:v>
      </x:c>
      <x:c r="C6" s="2" t="n">
        <x:v>50</x:v>
      </x:c>
      <x:c r="D6" s="2" t="n">
        <x:v>0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APP000002</x:v>
      </x:c>
      <x:c r="C7" s="2" t="n">
        <x:v>57</x:v>
      </x:c>
      <x:c r="D7" s="2" t="n">
        <x:v>1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APP000003</x:v>
      </x:c>
      <x:c r="C8" s="2" t="n">
        <x:v>64</x:v>
      </x:c>
      <x:c r="D8" s="2" t="n">
        <x:v>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3" customHeight="1">
      <x:c r="A9" s="2"/>
      <x:c r="B9" s="2" t="str">
        <x:v>APP000004</x:v>
      </x:c>
      <x:c r="C9" s="2" t="n">
        <x:v>71</x:v>
      </x:c>
      <x:c r="D9" s="2" t="n">
        <x:v>1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3" customHeight="1">
      <x:c r="A10" s="2"/>
      <x:c r="B10" s="2" t="str">
        <x:v>APP000005</x:v>
      </x:c>
      <x:c r="C10" s="2" t="n">
        <x:v>78</x:v>
      </x:c>
      <x:c r="D10" s="2" t="n">
        <x:v>1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3" customHeight="1">
      <x:c r="A11" s="2"/>
      <x:c r="B11" s="2" t="str">
        <x:v>APP000006</x:v>
      </x:c>
      <x:c r="C11" s="2" t="n">
        <x:v>85</x:v>
      </x:c>
      <x:c r="D11" s="2" t="n">
        <x:v>1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3" customHeight="1">
      <x:c r="A12" s="2"/>
      <x:c r="B12" s="2" t="str">
        <x:v>APP000007</x:v>
      </x:c>
      <x:c r="C12" s="2" t="n">
        <x:v>92</x:v>
      </x:c>
      <x:c r="D12" s="2" t="n">
        <x:v>1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/>
      <x:c r="B13" s="2" t="str">
        <x:v>APP000008</x:v>
      </x:c>
      <x:c r="C13" s="2" t="n">
        <x:v>99</x:v>
      </x:c>
      <x:c r="D13" s="2" t="n">
        <x:v>1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3" customHeight="1">
      <x:c r="A14" s="2"/>
      <x:c r="B14" s="2" t="str">
        <x:v>APP000009</x:v>
      </x:c>
      <x:c r="C14" s="2" t="n">
        <x:v>55</x:v>
      </x:c>
      <x:c r="D14" s="2" t="n">
        <x:v>1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3" customHeight="1">
      <x:c r="A15" s="2"/>
      <x:c r="B15" s="2" t="str">
        <x:v>APP000010</x:v>
      </x:c>
      <x:c r="C15" s="2" t="n">
        <x:v>62</x:v>
      </x:c>
      <x:c r="D15" s="2" t="n">
        <x:v>1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3" customHeight="1">
      <x:c r="A16" s="2"/>
      <x:c r="B16" s="2" t="str">
        <x:v>APP000011</x:v>
      </x:c>
      <x:c r="C16" s="2" t="n">
        <x:v>69</x:v>
      </x:c>
      <x:c r="D16" s="2" t="n">
        <x:v>1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3" customHeight="1">
      <x:c r="A17" s="2"/>
      <x:c r="B17" s="2" t="str">
        <x:v>APP000012</x:v>
      </x:c>
      <x:c r="C17" s="2" t="n">
        <x:v>76</x:v>
      </x:c>
      <x:c r="D17" s="2" t="n">
        <x:v>1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3" customHeight="1">
      <x:c r="A18" s="2"/>
      <x:c r="B18" s="2" t="str">
        <x:v>APP000013</x:v>
      </x:c>
      <x:c r="C18" s="2" t="n">
        <x:v>83</x:v>
      </x:c>
      <x:c r="D18" s="2" t="n">
        <x:v>1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3" customHeight="1">
      <x:c r="A19" s="2"/>
      <x:c r="B19" s="2" t="str">
        <x:v>APP000014</x:v>
      </x:c>
      <x:c r="C19" s="2" t="n">
        <x:v>90</x:v>
      </x:c>
      <x:c r="D19" s="2" t="n">
        <x:v>1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3" customHeight="1">
      <x:c r="A20" s="2"/>
      <x:c r="B20" s="2" t="str">
        <x:v>APP000015</x:v>
      </x:c>
      <x:c r="C20" s="2" t="n">
        <x:v>97</x:v>
      </x:c>
      <x:c r="D20" s="2" t="n">
        <x:v>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3" customHeight="1">
      <x:c r="A21" s="2"/>
      <x:c r="B21" s="2" t="str">
        <x:v>APP000016</x:v>
      </x:c>
      <x:c r="C21" s="2" t="n">
        <x:v>53</x:v>
      </x:c>
      <x:c r="D21" s="2" t="n">
        <x:v>1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3" customHeight="1">
      <x:c r="A22" s="2"/>
      <x:c r="B22" s="2" t="str">
        <x:v>APP000017</x:v>
      </x:c>
      <x:c r="C22" s="2" t="n">
        <x:v>60</x:v>
      </x:c>
      <x:c r="D22" s="2" t="n">
        <x:v>1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3" customHeight="1">
      <x:c r="A23" s="2"/>
      <x:c r="B23" s="2" t="str">
        <x:v>APP000018</x:v>
      </x:c>
      <x:c r="C23" s="2" t="n">
        <x:v>67</x:v>
      </x:c>
      <x:c r="D23" s="2" t="n">
        <x:v>1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3" customHeight="1">
      <x:c r="A24" s="2"/>
      <x:c r="B24" s="2" t="str">
        <x:v>APP000019</x:v>
      </x:c>
      <x:c r="C24" s="2" t="n">
        <x:v>74</x:v>
      </x:c>
      <x:c r="D24" s="2" t="n">
        <x:v>1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3" customHeight="1">
      <x:c r="B25" s="8" t="str">
        <x:v>APP000020</x:v>
      </x:c>
      <x:c r="C25" s="8" t="n">
        <x:v>81</x:v>
      </x:c>
      <x:c r="D25" s="8" t="n">
        <x:v>0</x:v>
      </x:c>
    </x:row>
    <x:row r="26" ht="23" customHeight="1">
      <x:c r="B26" s="8" t="str">
        <x:v>APP000021</x:v>
      </x:c>
      <x:c r="C26" s="8" t="n">
        <x:v>88</x:v>
      </x:c>
      <x:c r="D26" s="8" t="n">
        <x:v>1</x:v>
      </x:c>
    </x:row>
    <x:row r="27" ht="23" customHeight="1">
      <x:c r="B27" s="8" t="str">
        <x:v>APP000022</x:v>
      </x:c>
      <x:c r="C27" s="8" t="n">
        <x:v>95</x:v>
      </x:c>
      <x:c r="D27" s="8" t="n">
        <x:v>1</x:v>
      </x:c>
    </x:row>
    <x:row r="28" ht="23" customHeight="1">
      <x:c r="B28" s="8" t="str">
        <x:v>APP000023</x:v>
      </x:c>
      <x:c r="C28" s="8" t="n">
        <x:v>51</x:v>
      </x:c>
      <x:c r="D28" s="8" t="n">
        <x:v>1</x:v>
      </x:c>
    </x:row>
    <x:row r="29" ht="23" customHeight="1">
      <x:c r="B29" s="8" t="str">
        <x:v>APP000024</x:v>
      </x:c>
      <x:c r="C29" s="8" t="n">
        <x:v>58</x:v>
      </x:c>
      <x:c r="D29" s="8" t="n">
        <x:v>1</x:v>
      </x:c>
    </x:row>
    <x:row r="30" ht="23" customHeight="1">
      <x:c r="B30" s="8" t="str">
        <x:v>APP000025</x:v>
      </x:c>
      <x:c r="C30" s="8" t="n">
        <x:v>65</x:v>
      </x:c>
      <x:c r="D30" s="8" t="n">
        <x:v>1</x:v>
      </x:c>
    </x:row>
    <x:row r="31" ht="23" customHeight="1">
      <x:c r="B31" s="8" t="str">
        <x:v>APP000026</x:v>
      </x:c>
      <x:c r="C31" s="8" t="n">
        <x:v>72</x:v>
      </x:c>
      <x:c r="D31" s="8" t="n">
        <x:v>1</x:v>
      </x:c>
    </x:row>
    <x:row r="32" ht="23" customHeight="1">
      <x:c r="B32" s="8" t="str">
        <x:v>APP000027</x:v>
      </x:c>
      <x:c r="C32" s="8" t="n">
        <x:v>79</x:v>
      </x:c>
      <x:c r="D32" s="8" t="n">
        <x:v>1</x:v>
      </x:c>
    </x:row>
    <x:row r="33" ht="23" customHeight="1">
      <x:c r="B33" s="8" t="str">
        <x:v>APP000028</x:v>
      </x:c>
      <x:c r="C33" s="8" t="n">
        <x:v>86</x:v>
      </x:c>
      <x:c r="D33" s="8" t="n">
        <x:v>1</x:v>
      </x:c>
    </x:row>
    <x:row r="34" ht="23" customHeight="1">
      <x:c r="B34" s="8" t="str">
        <x:v>APP000029</x:v>
      </x:c>
      <x:c r="C34" s="8" t="n">
        <x:v>93</x:v>
      </x:c>
      <x:c r="D34" s="8" t="n">
        <x:v>1</x:v>
      </x:c>
    </x:row>
    <x:row r="35" ht="23" customHeight="1">
      <x:c r="B35" s="8" t="str">
        <x:v>APP000030</x:v>
      </x:c>
      <x:c r="C35" s="8" t="n">
        <x:v>100</x:v>
      </x:c>
      <x:c r="D35" s="8" t="n">
        <x:v>1</x:v>
      </x:c>
    </x:row>
    <x:row r="36" ht="23" customHeight="1">
      <x:c r="B36" s="8" t="str">
        <x:v>APP000031</x:v>
      </x:c>
      <x:c r="C36" s="8" t="n">
        <x:v>56</x:v>
      </x:c>
      <x:c r="D36" s="8" t="n">
        <x:v>1</x:v>
      </x:c>
    </x:row>
    <x:row r="37" ht="23" customHeight="1">
      <x:c r="B37" s="8" t="str">
        <x:v>APP000032</x:v>
      </x:c>
      <x:c r="C37" s="8" t="n">
        <x:v>63</x:v>
      </x:c>
      <x:c r="D37" s="8" t="n">
        <x:v>1</x:v>
      </x:c>
    </x:row>
    <x:row r="38" ht="23" customHeight="1">
      <x:c r="B38" s="8" t="str">
        <x:v>APP000033</x:v>
      </x:c>
      <x:c r="C38" s="8" t="n">
        <x:v>70</x:v>
      </x:c>
      <x:c r="D38" s="8" t="n">
        <x:v>1</x:v>
      </x:c>
    </x:row>
    <x:row r="39" ht="23" customHeight="1">
      <x:c r="B39" s="8" t="str">
        <x:v>APP000034</x:v>
      </x:c>
      <x:c r="C39" s="8" t="n">
        <x:v>77</x:v>
      </x:c>
      <x:c r="D39" s="8" t="n">
        <x:v>1</x:v>
      </x:c>
    </x:row>
    <x:row r="40" ht="23" customHeight="1">
      <x:c r="B40" s="8" t="str">
        <x:v>APP000035</x:v>
      </x:c>
      <x:c r="C40" s="8" t="n">
        <x:v>84</x:v>
      </x:c>
      <x:c r="D40" s="8" t="n">
        <x:v>1</x:v>
      </x:c>
    </x:row>
    <x:row r="41" ht="23" customHeight="1">
      <x:c r="B41" s="8" t="str">
        <x:v>APP000036</x:v>
      </x:c>
      <x:c r="C41" s="8" t="n">
        <x:v>91</x:v>
      </x:c>
      <x:c r="D41" s="8" t="n">
        <x:v>1</x:v>
      </x:c>
    </x:row>
    <x:row r="42" ht="23" customHeight="1">
      <x:c r="B42" s="8" t="str">
        <x:v>APP000037</x:v>
      </x:c>
      <x:c r="C42" s="8" t="n">
        <x:v>98</x:v>
      </x:c>
      <x:c r="D42" s="8" t="n">
        <x:v>1</x:v>
      </x:c>
    </x:row>
    <x:row r="43" ht="23" customHeight="1">
      <x:c r="B43" s="8" t="str">
        <x:v>APP000038</x:v>
      </x:c>
      <x:c r="C43" s="8" t="n">
        <x:v>54</x:v>
      </x:c>
      <x:c r="D43" s="8" t="n">
        <x:v>1</x:v>
      </x:c>
    </x:row>
    <x:row r="44" ht="23" customHeight="1">
      <x:c r="B44" s="8" t="str">
        <x:v>APP000039</x:v>
      </x:c>
      <x:c r="C44" s="8" t="n">
        <x:v>61</x:v>
      </x:c>
      <x:c r="D44" s="8" t="n">
        <x:v>0</x:v>
      </x:c>
    </x:row>
    <x:row r="45" ht="23" customHeight="1">
      <x:c r="B45" s="8" t="str">
        <x:v>APP000040</x:v>
      </x:c>
      <x:c r="C45" s="8" t="n">
        <x:v>68</x:v>
      </x:c>
      <x:c r="D45" s="8" t="n">
        <x:v>1</x:v>
      </x:c>
    </x:row>
    <x:row r="46" ht="23" customHeight="1">
      <x:c r="B46" s="8" t="str">
        <x:v>APP000041</x:v>
      </x:c>
      <x:c r="C46" s="8" t="n">
        <x:v>75</x:v>
      </x:c>
      <x:c r="D46" s="8" t="n">
        <x:v>1</x:v>
      </x:c>
    </x:row>
    <x:row r="47" ht="23" customHeight="1">
      <x:c r="B47" s="8" t="str">
        <x:v>APP000042</x:v>
      </x:c>
      <x:c r="C47" s="8" t="n">
        <x:v>82</x:v>
      </x:c>
      <x:c r="D47" s="8" t="n">
        <x:v>1</x:v>
      </x:c>
    </x:row>
    <x:row r="48" ht="23" customHeight="1">
      <x:c r="B48" s="8" t="str">
        <x:v>APP000043</x:v>
      </x:c>
      <x:c r="C48" s="8" t="n">
        <x:v>89</x:v>
      </x:c>
      <x:c r="D48" s="8" t="n">
        <x:v>1</x:v>
      </x:c>
    </x:row>
    <x:row r="49" ht="23" customHeight="1">
      <x:c r="B49" s="8" t="str">
        <x:v>APP000044</x:v>
      </x:c>
      <x:c r="C49" s="8" t="n">
        <x:v>96</x:v>
      </x:c>
      <x:c r="D49" s="8" t="n">
        <x:v>1</x:v>
      </x:c>
    </x:row>
    <x:row r="50" ht="23" customHeight="1">
      <x:c r="B50" s="8" t="str">
        <x:v>APP000045</x:v>
      </x:c>
      <x:c r="C50" s="8" t="n">
        <x:v>52</x:v>
      </x:c>
      <x:c r="D50" s="8" t="n">
        <x:v>1</x:v>
      </x:c>
    </x:row>
    <x:row r="51" ht="23" customHeight="1">
      <x:c r="B51" s="8" t="str">
        <x:v>APP000046</x:v>
      </x:c>
      <x:c r="C51" s="8" t="n">
        <x:v>59</x:v>
      </x:c>
      <x:c r="D51" s="8" t="n">
        <x:v>1</x:v>
      </x:c>
    </x:row>
    <x:row r="52" ht="23" customHeight="1">
      <x:c r="B52" s="8" t="str">
        <x:v>APP000047</x:v>
      </x:c>
      <x:c r="C52" s="8" t="n">
        <x:v>66</x:v>
      </x:c>
      <x:c r="D52" s="8" t="n">
        <x:v>1</x:v>
      </x:c>
    </x:row>
    <x:row r="53" ht="23" customHeight="1">
      <x:c r="B53" s="8" t="str">
        <x:v>APP000048</x:v>
      </x:c>
      <x:c r="C53" s="8" t="n">
        <x:v>73</x:v>
      </x:c>
      <x:c r="D53" s="8" t="n">
        <x:v>1</x:v>
      </x:c>
    </x:row>
    <x:row r="54" ht="23" customHeight="1">
      <x:c r="B54" s="8" t="str">
        <x:v>APP000049</x:v>
      </x:c>
      <x:c r="C54" s="8" t="n">
        <x:v>80</x:v>
      </x:c>
      <x:c r="D54" s="8" t="n">
        <x:v>1</x:v>
      </x:c>
    </x:row>
    <x:row r="55" ht="23" customHeight="1">
      <x:c r="B55" s="8" t="str">
        <x:v>APP000050</x:v>
      </x:c>
      <x:c r="C55" s="8" t="n">
        <x:v>87</x:v>
      </x:c>
      <x:c r="D55" s="8" t="n">
        <x:v>1</x:v>
      </x:c>
    </x:row>
    <x:row r="56" ht="23" customHeight="1">
      <x:c r="B56" s="8" t="str">
        <x:v>APP000051</x:v>
      </x:c>
      <x:c r="C56" s="8" t="n">
        <x:v>94</x:v>
      </x:c>
      <x:c r="D56" s="8" t="n">
        <x:v>1</x:v>
      </x:c>
    </x:row>
    <x:row r="57" ht="23" customHeight="1">
      <x:c r="B57" s="8" t="str">
        <x:v>APP000052</x:v>
      </x:c>
      <x:c r="C57" s="8" t="n">
        <x:v>50</x:v>
      </x:c>
      <x:c r="D57" s="8" t="n">
        <x:v>1</x:v>
      </x:c>
    </x:row>
    <x:row r="58" ht="23" customHeight="1">
      <x:c r="B58" s="8" t="str">
        <x:v>APP000053</x:v>
      </x:c>
      <x:c r="C58" s="8" t="n">
        <x:v>57</x:v>
      </x:c>
      <x:c r="D58" s="8" t="n">
        <x:v>1</x:v>
      </x:c>
    </x:row>
    <x:row r="59" ht="23" customHeight="1">
      <x:c r="B59" s="8" t="str">
        <x:v>APP000054</x:v>
      </x:c>
      <x:c r="C59" s="8" t="n">
        <x:v>64</x:v>
      </x:c>
      <x:c r="D59" s="8" t="n">
        <x:v>1</x:v>
      </x:c>
    </x:row>
    <x:row r="60" ht="23" customHeight="1">
      <x:c r="B60" s="8" t="str">
        <x:v>APP000055</x:v>
      </x:c>
      <x:c r="C60" s="8" t="n">
        <x:v>71</x:v>
      </x:c>
      <x:c r="D60" s="8" t="n">
        <x:v>1</x:v>
      </x:c>
    </x:row>
    <x:row r="61" ht="23" customHeight="1">
      <x:c r="B61" s="8" t="str">
        <x:v>APP000056</x:v>
      </x:c>
      <x:c r="C61" s="8" t="n">
        <x:v>78</x:v>
      </x:c>
      <x:c r="D61" s="8" t="n">
        <x:v>1</x:v>
      </x:c>
    </x:row>
    <x:row r="62" ht="23" customHeight="1">
      <x:c r="B62" s="8" t="str">
        <x:v>APP000057</x:v>
      </x:c>
      <x:c r="C62" s="8" t="n">
        <x:v>85</x:v>
      </x:c>
      <x:c r="D62" s="8" t="n">
        <x:v>1</x:v>
      </x:c>
    </x:row>
    <x:row r="63" ht="23" customHeight="1">
      <x:c r="B63" s="8" t="str">
        <x:v>APP000058</x:v>
      </x:c>
      <x:c r="C63" s="8" t="n">
        <x:v>92</x:v>
      </x:c>
      <x:c r="D63" s="8" t="n">
        <x:v>0</x:v>
      </x:c>
    </x:row>
    <x:row r="64" ht="23" customHeight="1">
      <x:c r="B64" s="8" t="str">
        <x:v>APP000059</x:v>
      </x:c>
      <x:c r="C64" s="8" t="n">
        <x:v>99</x:v>
      </x:c>
      <x:c r="D64" s="8" t="n">
        <x:v>1</x:v>
      </x:c>
    </x:row>
    <x:row r="65" ht="23" customHeight="1">
      <x:c r="B65" s="8" t="str">
        <x:v>APP000060</x:v>
      </x:c>
      <x:c r="C65" s="8" t="n">
        <x:v>55</x:v>
      </x:c>
      <x:c r="D65" s="8" t="n">
        <x:v>1</x:v>
      </x:c>
    </x:row>
    <x:row r="66" ht="23" customHeight="1">
      <x:c r="B66" s="8" t="str">
        <x:v>APP000061</x:v>
      </x:c>
      <x:c r="C66" s="8" t="n">
        <x:v>62</x:v>
      </x:c>
      <x:c r="D66" s="8" t="n">
        <x:v>1</x:v>
      </x:c>
    </x:row>
    <x:row r="67" ht="23" customHeight="1">
      <x:c r="B67" s="8" t="str">
        <x:v>APP000062</x:v>
      </x:c>
      <x:c r="C67" s="8" t="n">
        <x:v>69</x:v>
      </x:c>
      <x:c r="D67" s="8" t="n">
        <x:v>1</x:v>
      </x:c>
    </x:row>
    <x:row r="68" ht="23" customHeight="1">
      <x:c r="B68" s="8" t="str">
        <x:v>APP000063</x:v>
      </x:c>
      <x:c r="C68" s="8" t="n">
        <x:v>76</x:v>
      </x:c>
      <x:c r="D68" s="8" t="n">
        <x:v>1</x:v>
      </x:c>
    </x:row>
    <x:row r="69" ht="23" customHeight="1">
      <x:c r="B69" s="8" t="str">
        <x:v>APP000064</x:v>
      </x:c>
      <x:c r="C69" s="8" t="n">
        <x:v>83</x:v>
      </x:c>
      <x:c r="D69" s="8" t="n">
        <x:v>1</x:v>
      </x:c>
    </x:row>
    <x:row r="70" ht="23" customHeight="1">
      <x:c r="B70" s="8" t="str">
        <x:v>APP000065</x:v>
      </x:c>
      <x:c r="C70" s="8" t="n">
        <x:v>90</x:v>
      </x:c>
      <x:c r="D70" s="8" t="n">
        <x:v>1</x:v>
      </x:c>
    </x:row>
    <x:row r="71" ht="23" customHeight="1">
      <x:c r="B71" s="8" t="str">
        <x:v>APP000066</x:v>
      </x:c>
      <x:c r="C71" s="8" t="n">
        <x:v>97</x:v>
      </x:c>
      <x:c r="D71" s="8" t="n">
        <x:v>1</x:v>
      </x:c>
    </x:row>
    <x:row r="72" ht="23" customHeight="1">
      <x:c r="B72" s="8" t="str">
        <x:v>APP000067</x:v>
      </x:c>
      <x:c r="C72" s="8" t="n">
        <x:v>53</x:v>
      </x:c>
      <x:c r="D72" s="8" t="n">
        <x:v>1</x:v>
      </x:c>
    </x:row>
    <x:row r="73" ht="23" customHeight="1">
      <x:c r="B73" s="8" t="str">
        <x:v>APP000068</x:v>
      </x:c>
      <x:c r="C73" s="8" t="n">
        <x:v>60</x:v>
      </x:c>
      <x:c r="D73" s="8" t="n">
        <x:v>1</x:v>
      </x:c>
    </x:row>
    <x:row r="74" ht="23" customHeight="1">
      <x:c r="B74" s="8" t="str">
        <x:v>APP000069</x:v>
      </x:c>
      <x:c r="C74" s="8" t="n">
        <x:v>67</x:v>
      </x:c>
      <x:c r="D74" s="8" t="n">
        <x:v>1</x:v>
      </x:c>
    </x:row>
    <x:row r="75" ht="23" customHeight="1">
      <x:c r="B75" s="8" t="str">
        <x:v>APP000070</x:v>
      </x:c>
      <x:c r="C75" s="8" t="n">
        <x:v>74</x:v>
      </x:c>
      <x:c r="D75" s="8" t="n">
        <x:v>1</x:v>
      </x:c>
    </x:row>
    <x:row r="76" ht="23" customHeight="1">
      <x:c r="B76" s="8" t="str">
        <x:v>APP000071</x:v>
      </x:c>
      <x:c r="C76" s="8" t="n">
        <x:v>81</x:v>
      </x:c>
      <x:c r="D76" s="8" t="n">
        <x:v>1</x:v>
      </x:c>
    </x:row>
    <x:row r="77" ht="23" customHeight="1">
      <x:c r="B77" s="8" t="str">
        <x:v>APP000072</x:v>
      </x:c>
      <x:c r="C77" s="8" t="n">
        <x:v>88</x:v>
      </x:c>
      <x:c r="D77" s="8" t="n">
        <x:v>1</x:v>
      </x:c>
    </x:row>
    <x:row r="78" ht="23" customHeight="1">
      <x:c r="B78" s="8" t="str">
        <x:v>APP000073</x:v>
      </x:c>
      <x:c r="C78" s="8" t="n">
        <x:v>95</x:v>
      </x:c>
      <x:c r="D78" s="8" t="n">
        <x:v>1</x:v>
      </x:c>
    </x:row>
    <x:row r="79" ht="23" customHeight="1">
      <x:c r="B79" s="8" t="str">
        <x:v>APP000074</x:v>
      </x:c>
      <x:c r="C79" s="8" t="n">
        <x:v>51</x:v>
      </x:c>
      <x:c r="D79" s="8" t="n">
        <x:v>1</x:v>
      </x:c>
    </x:row>
    <x:row r="80" ht="23" customHeight="1">
      <x:c r="B80" s="8" t="str">
        <x:v>APP000075</x:v>
      </x:c>
      <x:c r="C80" s="8" t="n">
        <x:v>58</x:v>
      </x:c>
      <x:c r="D80" s="8" t="n">
        <x:v>1</x:v>
      </x:c>
    </x:row>
    <x:row r="81" ht="23" customHeight="1">
      <x:c r="B81" s="8" t="str">
        <x:v>APP000076</x:v>
      </x:c>
      <x:c r="C81" s="8" t="n">
        <x:v>65</x:v>
      </x:c>
      <x:c r="D81" s="8" t="n">
        <x:v>1</x:v>
      </x:c>
    </x:row>
    <x:row r="82" ht="23" customHeight="1">
      <x:c r="B82" s="8" t="str">
        <x:v>APP000077</x:v>
      </x:c>
      <x:c r="C82" s="8" t="n">
        <x:v>72</x:v>
      </x:c>
      <x:c r="D82" s="8" t="n">
        <x:v>0</x:v>
      </x:c>
    </x:row>
    <x:row r="83" ht="23" customHeight="1">
      <x:c r="B83" s="8" t="str">
        <x:v>APP000078</x:v>
      </x:c>
      <x:c r="C83" s="8" t="n">
        <x:v>79</x:v>
      </x:c>
      <x:c r="D83" s="8" t="n">
        <x:v>1</x:v>
      </x:c>
    </x:row>
    <x:row r="84" ht="23" customHeight="1">
      <x:c r="B84" s="8" t="str">
        <x:v>APP000079</x:v>
      </x:c>
      <x:c r="C84" s="8" t="n">
        <x:v>86</x:v>
      </x:c>
      <x:c r="D84" s="8" t="n">
        <x:v>1</x:v>
      </x:c>
    </x:row>
    <x:row r="85" ht="23" customHeight="1">
      <x:c r="B85" s="8" t="str">
        <x:v>APP000080</x:v>
      </x:c>
      <x:c r="C85" s="8" t="n">
        <x:v>93</x:v>
      </x:c>
      <x:c r="D85" s="8" t="n">
        <x:v>1</x:v>
      </x:c>
    </x:row>
    <x:row r="86" ht="23" customHeight="1">
      <x:c r="B86" s="8" t="str">
        <x:v>APP000081</x:v>
      </x:c>
      <x:c r="C86" s="8" t="n">
        <x:v>100</x:v>
      </x:c>
      <x:c r="D86" s="8" t="n">
        <x:v>1</x:v>
      </x:c>
    </x:row>
    <x:row r="87" ht="23" customHeight="1">
      <x:c r="B87" s="8" t="str">
        <x:v>APP000082</x:v>
      </x:c>
      <x:c r="C87" s="8" t="n">
        <x:v>56</x:v>
      </x:c>
      <x:c r="D87" s="8" t="n">
        <x:v>1</x:v>
      </x:c>
    </x:row>
    <x:row r="88" ht="23" customHeight="1">
      <x:c r="B88" s="8" t="str">
        <x:v>APP000083</x:v>
      </x:c>
      <x:c r="C88" s="8" t="n">
        <x:v>63</x:v>
      </x:c>
      <x:c r="D88" s="8" t="n">
        <x:v>1</x:v>
      </x:c>
    </x:row>
    <x:row r="89" ht="23" customHeight="1">
      <x:c r="B89" s="8" t="str">
        <x:v>APP000084</x:v>
      </x:c>
      <x:c r="C89" s="8" t="n">
        <x:v>70</x:v>
      </x:c>
      <x:c r="D89" s="8" t="n">
        <x:v>1</x:v>
      </x:c>
    </x:row>
    <x:row r="90" ht="23" customHeight="1">
      <x:c r="B90" s="8" t="str">
        <x:v>APP000085</x:v>
      </x:c>
      <x:c r="C90" s="8" t="n">
        <x:v>77</x:v>
      </x:c>
      <x:c r="D90" s="8" t="n">
        <x:v>1</x:v>
      </x:c>
    </x:row>
    <x:row r="91" ht="23" customHeight="1">
      <x:c r="B91" s="8" t="str">
        <x:v>APP000086</x:v>
      </x:c>
      <x:c r="C91" s="8" t="n">
        <x:v>84</x:v>
      </x:c>
      <x:c r="D91" s="8" t="n">
        <x:v>1</x:v>
      </x:c>
    </x:row>
    <x:row r="92" ht="23" customHeight="1">
      <x:c r="B92" s="8" t="str">
        <x:v>APP000087</x:v>
      </x:c>
      <x:c r="C92" s="8" t="n">
        <x:v>91</x:v>
      </x:c>
      <x:c r="D92" s="8" t="n">
        <x:v>1</x:v>
      </x:c>
    </x:row>
    <x:row r="93" ht="23" customHeight="1">
      <x:c r="B93" s="8" t="str">
        <x:v>APP000088</x:v>
      </x:c>
      <x:c r="C93" s="8" t="n">
        <x:v>98</x:v>
      </x:c>
      <x:c r="D93" s="8" t="n">
        <x:v>1</x:v>
      </x:c>
    </x:row>
    <x:row r="94" ht="23" customHeight="1">
      <x:c r="B94" s="8" t="str">
        <x:v>APP000089</x:v>
      </x:c>
      <x:c r="C94" s="8" t="n">
        <x:v>54</x:v>
      </x:c>
      <x:c r="D94" s="8" t="n">
        <x:v>1</x:v>
      </x:c>
    </x:row>
    <x:row r="95" ht="23" customHeight="1">
      <x:c r="B95" s="8" t="str">
        <x:v>APP000090</x:v>
      </x:c>
      <x:c r="C95" s="8" t="n">
        <x:v>61</x:v>
      </x:c>
      <x:c r="D95" s="8" t="n">
        <x:v>1</x:v>
      </x:c>
    </x:row>
    <x:row r="96" ht="23" customHeight="1">
      <x:c r="B96" s="8" t="str">
        <x:v>APP000091</x:v>
      </x:c>
      <x:c r="C96" s="8" t="n">
        <x:v>68</x:v>
      </x:c>
      <x:c r="D96" s="8" t="n">
        <x:v>1</x:v>
      </x:c>
    </x:row>
    <x:row r="97" ht="23" customHeight="1">
      <x:c r="B97" s="8" t="str">
        <x:v>APP000092</x:v>
      </x:c>
      <x:c r="C97" s="8" t="n">
        <x:v>75</x:v>
      </x:c>
      <x:c r="D97" s="8" t="n">
        <x:v>1</x:v>
      </x:c>
    </x:row>
    <x:row r="98" ht="23" customHeight="1">
      <x:c r="B98" s="8" t="str">
        <x:v>APP000093</x:v>
      </x:c>
      <x:c r="C98" s="8" t="n">
        <x:v>82</x:v>
      </x:c>
      <x:c r="D98" s="8" t="n">
        <x:v>1</x:v>
      </x:c>
    </x:row>
    <x:row r="99" ht="23" customHeight="1">
      <x:c r="B99" s="8" t="str">
        <x:v>APP000094</x:v>
      </x:c>
      <x:c r="C99" s="8" t="n">
        <x:v>89</x:v>
      </x:c>
      <x:c r="D99" s="8" t="n">
        <x:v>1</x:v>
      </x:c>
    </x:row>
    <x:row r="100" ht="23" customHeight="1">
      <x:c r="B100" s="8" t="str">
        <x:v>APP000095</x:v>
      </x:c>
      <x:c r="C100" s="8" t="n">
        <x:v>96</x:v>
      </x:c>
      <x:c r="D100" s="8" t="n">
        <x:v>1</x:v>
      </x:c>
    </x:row>
    <x:row r="101" ht="23" customHeight="1">
      <x:c r="B101" s="8" t="str">
        <x:v>APP000096</x:v>
      </x:c>
      <x:c r="C101" s="8" t="n">
        <x:v>52</x:v>
      </x:c>
      <x:c r="D101" s="8" t="n">
        <x:v>0</x:v>
      </x:c>
    </x:row>
    <x:row r="102" ht="23" customHeight="1">
      <x:c r="B102" s="8" t="str">
        <x:v>APP000097</x:v>
      </x:c>
      <x:c r="C102" s="8" t="n">
        <x:v>59</x:v>
      </x:c>
      <x:c r="D102" s="8" t="n">
        <x:v>1</x:v>
      </x:c>
    </x:row>
    <x:row r="103" ht="23" customHeight="1">
      <x:c r="B103" s="8" t="str">
        <x:v>APP000098</x:v>
      </x:c>
      <x:c r="C103" s="8" t="n">
        <x:v>66</x:v>
      </x:c>
      <x:c r="D103" s="8" t="n">
        <x:v>1</x:v>
      </x:c>
    </x:row>
    <x:row r="104" ht="23" customHeight="1">
      <x:c r="B104" s="8" t="str">
        <x:v>APP000099</x:v>
      </x:c>
      <x:c r="C104" s="8" t="n">
        <x:v>73</x:v>
      </x:c>
      <x:c r="D104" s="8" t="n">
        <x:v>1</x:v>
      </x:c>
    </x:row>
    <x:row r="105" ht="23" customHeight="1">
      <x:c r="B105" s="8" t="str">
        <x:v>APP000100</x:v>
      </x:c>
      <x:c r="C105" s="8" t="n">
        <x:v>80</x:v>
      </x:c>
      <x:c r="D105" s="8" t="n">
        <x:v>1</x:v>
      </x:c>
    </x:row>
    <x:row r="106" ht="23" customHeight="1">
      <x:c r="B106" s="8" t="str">
        <x:v>APP000101</x:v>
      </x:c>
      <x:c r="C106" s="8" t="n">
        <x:v>87</x:v>
      </x:c>
      <x:c r="D106" s="8" t="n">
        <x:v>1</x:v>
      </x:c>
    </x:row>
    <x:row r="107" ht="23" customHeight="1">
      <x:c r="B107" s="8" t="str">
        <x:v>APP000102</x:v>
      </x:c>
      <x:c r="C107" s="8" t="n">
        <x:v>94</x:v>
      </x:c>
      <x:c r="D107" s="8" t="n">
        <x:v>1</x:v>
      </x:c>
    </x:row>
    <x:row r="108" ht="23" customHeight="1">
      <x:c r="B108" s="8" t="str">
        <x:v>APP000103</x:v>
      </x:c>
      <x:c r="C108" s="8" t="n">
        <x:v>50</x:v>
      </x:c>
      <x:c r="D108" s="8" t="n">
        <x:v>1</x:v>
      </x:c>
    </x:row>
    <x:row r="109" ht="23" customHeight="1">
      <x:c r="B109" s="8" t="str">
        <x:v>APP000104</x:v>
      </x:c>
      <x:c r="C109" s="8" t="n">
        <x:v>57</x:v>
      </x:c>
      <x:c r="D109" s="8" t="n">
        <x:v>1</x:v>
      </x:c>
    </x:row>
    <x:row r="110" ht="23" customHeight="1">
      <x:c r="B110" s="8" t="str">
        <x:v>APP000105</x:v>
      </x:c>
      <x:c r="C110" s="8" t="n">
        <x:v>64</x:v>
      </x:c>
      <x:c r="D110" s="8" t="n">
        <x:v>1</x:v>
      </x:c>
    </x:row>
    <x:row r="111" ht="23" customHeight="1">
      <x:c r="B111" s="8" t="str">
        <x:v>APP000106</x:v>
      </x:c>
      <x:c r="C111" s="8" t="n">
        <x:v>71</x:v>
      </x:c>
      <x:c r="D111" s="8" t="n">
        <x:v>1</x:v>
      </x:c>
    </x:row>
    <x:row r="112" ht="23" customHeight="1">
      <x:c r="B112" s="8" t="str">
        <x:v>APP000107</x:v>
      </x:c>
      <x:c r="C112" s="8" t="n">
        <x:v>78</x:v>
      </x:c>
      <x:c r="D112" s="8" t="n">
        <x:v>1</x:v>
      </x:c>
    </x:row>
    <x:row r="113" ht="23" customHeight="1">
      <x:c r="B113" s="8" t="str">
        <x:v>APP000108</x:v>
      </x:c>
      <x:c r="C113" s="8" t="n">
        <x:v>85</x:v>
      </x:c>
      <x:c r="D113" s="8" t="n">
        <x:v>1</x:v>
      </x:c>
    </x:row>
    <x:row r="114" ht="23" customHeight="1">
      <x:c r="B114" s="8" t="str">
        <x:v>APP000109</x:v>
      </x:c>
      <x:c r="C114" s="8" t="n">
        <x:v>92</x:v>
      </x:c>
      <x:c r="D114" s="8" t="n">
        <x:v>1</x:v>
      </x:c>
    </x:row>
    <x:row r="115" ht="23" customHeight="1">
      <x:c r="B115" s="8" t="str">
        <x:v>APP000110</x:v>
      </x:c>
      <x:c r="C115" s="8" t="n">
        <x:v>99</x:v>
      </x:c>
      <x:c r="D115" s="8" t="n">
        <x:v>1</x:v>
      </x:c>
    </x:row>
    <x:row r="116" ht="23" customHeight="1">
      <x:c r="B116" s="8" t="str">
        <x:v>APP000111</x:v>
      </x:c>
      <x:c r="C116" s="8" t="n">
        <x:v>55</x:v>
      </x:c>
      <x:c r="D116" s="8" t="n">
        <x:v>1</x:v>
      </x:c>
    </x:row>
    <x:row r="117" ht="23" customHeight="1">
      <x:c r="B117" s="8" t="str">
        <x:v>APP000112</x:v>
      </x:c>
      <x:c r="C117" s="8" t="n">
        <x:v>62</x:v>
      </x:c>
      <x:c r="D117" s="8" t="n">
        <x:v>1</x:v>
      </x:c>
    </x:row>
    <x:row r="118" ht="23" customHeight="1">
      <x:c r="B118" s="8" t="str">
        <x:v>APP000113</x:v>
      </x:c>
      <x:c r="C118" s="8" t="n">
        <x:v>69</x:v>
      </x:c>
      <x:c r="D118" s="8" t="n">
        <x:v>1</x:v>
      </x:c>
    </x:row>
    <x:row r="119" ht="23" customHeight="1">
      <x:c r="B119" s="8" t="str">
        <x:v>APP000114</x:v>
      </x:c>
      <x:c r="C119" s="8" t="n">
        <x:v>76</x:v>
      </x:c>
      <x:c r="D119" s="8" t="n">
        <x:v>1</x:v>
      </x:c>
    </x:row>
    <x:row r="120" ht="23" customHeight="1">
      <x:c r="B120" s="8" t="str">
        <x:v>APP000115</x:v>
      </x:c>
      <x:c r="C120" s="8" t="n">
        <x:v>83</x:v>
      </x:c>
      <x:c r="D120" s="8" t="n">
        <x:v>0</x:v>
      </x:c>
    </x:row>
    <x:row r="121" ht="23" customHeight="1">
      <x:c r="B121" s="8" t="str">
        <x:v>APP000116</x:v>
      </x:c>
      <x:c r="C121" s="8" t="n">
        <x:v>90</x:v>
      </x:c>
      <x:c r="D121" s="8" t="n">
        <x:v>1</x:v>
      </x:c>
    </x:row>
    <x:row r="122" ht="23" customHeight="1">
      <x:c r="B122" s="8" t="str">
        <x:v>APP000117</x:v>
      </x:c>
      <x:c r="C122" s="8" t="n">
        <x:v>97</x:v>
      </x:c>
      <x:c r="D122" s="8" t="n">
        <x:v>1</x:v>
      </x:c>
    </x:row>
    <x:row r="123" ht="23" customHeight="1">
      <x:c r="B123" s="8" t="str">
        <x:v>APP000118</x:v>
      </x:c>
      <x:c r="C123" s="8" t="n">
        <x:v>53</x:v>
      </x:c>
      <x:c r="D123" s="8" t="n">
        <x:v>1</x:v>
      </x:c>
    </x:row>
    <x:row r="124" ht="23" customHeight="1">
      <x:c r="B124" s="8" t="str">
        <x:v>APP000119</x:v>
      </x:c>
      <x:c r="C124" s="8" t="n">
        <x:v>60</x:v>
      </x:c>
      <x:c r="D124" s="8" t="n">
        <x:v>1</x:v>
      </x:c>
    </x:row>
    <x:row r="125" ht="23" customHeight="1">
      <x:c r="B125" s="8" t="str">
        <x:v>APP000120</x:v>
      </x:c>
      <x:c r="C125" s="8" t="n">
        <x:v>67</x:v>
      </x:c>
      <x:c r="D125" s="8" t="n">
        <x:v>1</x:v>
      </x:c>
    </x:row>
    <x:row r="126" ht="23" customHeight="1">
      <x:c r="B126" s="8" t="str">
        <x:v>APP000121</x:v>
      </x:c>
      <x:c r="C126" s="8" t="n">
        <x:v>74</x:v>
      </x:c>
      <x:c r="D126" s="8" t="n">
        <x:v>1</x:v>
      </x:c>
    </x:row>
    <x:row r="127" ht="23" customHeight="1">
      <x:c r="B127" s="8" t="str">
        <x:v>APP000122</x:v>
      </x:c>
      <x:c r="C127" s="8" t="n">
        <x:v>81</x:v>
      </x:c>
      <x:c r="D127" s="8" t="n">
        <x:v>1</x:v>
      </x:c>
    </x:row>
    <x:row r="128" ht="23" customHeight="1">
      <x:c r="B128" s="8" t="str">
        <x:v>APP000123</x:v>
      </x:c>
      <x:c r="C128" s="8" t="n">
        <x:v>88</x:v>
      </x:c>
      <x:c r="D128" s="8" t="n">
        <x:v>1</x:v>
      </x:c>
    </x:row>
    <x:row r="129" ht="23" customHeight="1">
      <x:c r="B129" s="8" t="str">
        <x:v>APP000124</x:v>
      </x:c>
      <x:c r="C129" s="8" t="n">
        <x:v>95</x:v>
      </x:c>
      <x:c r="D129" s="8" t="n">
        <x:v>1</x:v>
      </x:c>
    </x:row>
    <x:row r="130" ht="23" customHeight="1">
      <x:c r="B130" s="8" t="str">
        <x:v>APP000125</x:v>
      </x:c>
      <x:c r="C130" s="8" t="n">
        <x:v>51</x:v>
      </x:c>
      <x:c r="D130" s="8" t="n">
        <x:v>1</x:v>
      </x:c>
    </x:row>
    <x:row r="131" ht="23" customHeight="1">
      <x:c r="B131" s="8" t="str">
        <x:v>APP000126</x:v>
      </x:c>
      <x:c r="C131" s="8" t="n">
        <x:v>58</x:v>
      </x:c>
      <x:c r="D131" s="8" t="n">
        <x:v>1</x:v>
      </x:c>
    </x:row>
    <x:row r="132" ht="23" customHeight="1">
      <x:c r="B132" s="8" t="str">
        <x:v>APP000127</x:v>
      </x:c>
      <x:c r="C132" s="8" t="n">
        <x:v>65</x:v>
      </x:c>
      <x:c r="D132" s="8" t="n">
        <x:v>1</x:v>
      </x:c>
    </x:row>
    <x:row r="133" ht="23" customHeight="1">
      <x:c r="B133" s="8" t="str">
        <x:v>APP000128</x:v>
      </x:c>
      <x:c r="C133" s="8" t="n">
        <x:v>72</x:v>
      </x:c>
      <x:c r="D133" s="8" t="n">
        <x:v>1</x:v>
      </x:c>
    </x:row>
    <x:row r="134" ht="23" customHeight="1">
      <x:c r="B134" s="8" t="str">
        <x:v>APP000129</x:v>
      </x:c>
      <x:c r="C134" s="8" t="n">
        <x:v>79</x:v>
      </x:c>
      <x:c r="D134" s="8" t="n">
        <x:v>1</x:v>
      </x:c>
    </x:row>
    <x:row r="135" ht="23" customHeight="1">
      <x:c r="B135" s="8" t="str">
        <x:v>APP000130</x:v>
      </x:c>
      <x:c r="C135" s="8" t="n">
        <x:v>86</x:v>
      </x:c>
      <x:c r="D135" s="8" t="n">
        <x:v>1</x:v>
      </x:c>
    </x:row>
    <x:row r="136" ht="23" customHeight="1">
      <x:c r="B136" s="8" t="str">
        <x:v>APP000131</x:v>
      </x:c>
      <x:c r="C136" s="8" t="n">
        <x:v>93</x:v>
      </x:c>
      <x:c r="D136" s="8" t="n">
        <x:v>1</x:v>
      </x:c>
    </x:row>
    <x:row r="137" ht="23" customHeight="1">
      <x:c r="B137" s="8" t="str">
        <x:v>APP000132</x:v>
      </x:c>
      <x:c r="C137" s="8" t="n">
        <x:v>100</x:v>
      </x:c>
      <x:c r="D137" s="8" t="n">
        <x:v>1</x:v>
      </x:c>
    </x:row>
    <x:row r="138" ht="23" customHeight="1">
      <x:c r="B138" s="8" t="str">
        <x:v>APP000133</x:v>
      </x:c>
      <x:c r="C138" s="8" t="n">
        <x:v>56</x:v>
      </x:c>
      <x:c r="D138" s="8" t="n">
        <x:v>1</x:v>
      </x:c>
    </x:row>
    <x:row r="139" ht="23" customHeight="1">
      <x:c r="B139" s="8" t="str">
        <x:v>APP000134</x:v>
      </x:c>
      <x:c r="C139" s="8" t="n">
        <x:v>63</x:v>
      </x:c>
      <x:c r="D139" s="8" t="n">
        <x:v>0</x:v>
      </x:c>
    </x:row>
    <x:row r="140" ht="23" customHeight="1">
      <x:c r="B140" s="8" t="str">
        <x:v>APP000135</x:v>
      </x:c>
      <x:c r="C140" s="8" t="n">
        <x:v>70</x:v>
      </x:c>
      <x:c r="D140" s="8" t="n">
        <x:v>1</x:v>
      </x:c>
    </x:row>
    <x:row r="141" ht="23" customHeight="1">
      <x:c r="B141" s="8" t="str">
        <x:v>APP000136</x:v>
      </x:c>
      <x:c r="C141" s="8" t="n">
        <x:v>77</x:v>
      </x:c>
      <x:c r="D141" s="8" t="n">
        <x:v>1</x:v>
      </x:c>
    </x:row>
    <x:row r="142" ht="23" customHeight="1">
      <x:c r="B142" s="8" t="str">
        <x:v>APP000137</x:v>
      </x:c>
      <x:c r="C142" s="8" t="n">
        <x:v>84</x:v>
      </x:c>
      <x:c r="D142" s="8" t="n">
        <x:v>1</x:v>
      </x:c>
    </x:row>
    <x:row r="143" ht="23" customHeight="1">
      <x:c r="B143" s="8" t="str">
        <x:v>APP000138</x:v>
      </x:c>
      <x:c r="C143" s="8" t="n">
        <x:v>91</x:v>
      </x:c>
      <x:c r="D143" s="8" t="n">
        <x:v>1</x:v>
      </x:c>
    </x:row>
    <x:row r="144" ht="23" customHeight="1">
      <x:c r="B144" s="8" t="str">
        <x:v>APP000139</x:v>
      </x:c>
      <x:c r="C144" s="8" t="n">
        <x:v>98</x:v>
      </x:c>
      <x:c r="D144" s="8" t="n">
        <x:v>1</x:v>
      </x:c>
    </x:row>
    <x:row r="145" ht="23" customHeight="1">
      <x:c r="B145" s="8" t="str">
        <x:v>APP000140</x:v>
      </x:c>
      <x:c r="C145" s="8" t="n">
        <x:v>54</x:v>
      </x:c>
      <x:c r="D145" s="8" t="n">
        <x:v>1</x:v>
      </x:c>
    </x:row>
    <x:row r="146" ht="23" customHeight="1">
      <x:c r="B146" s="8" t="str">
        <x:v>APP000141</x:v>
      </x:c>
      <x:c r="C146" s="8" t="n">
        <x:v>61</x:v>
      </x:c>
      <x:c r="D146" s="8" t="n">
        <x:v>1</x:v>
      </x:c>
    </x:row>
    <x:row r="147" ht="23" customHeight="1">
      <x:c r="B147" s="8" t="str">
        <x:v>APP000142</x:v>
      </x:c>
      <x:c r="C147" s="8" t="n">
        <x:v>68</x:v>
      </x:c>
      <x:c r="D147" s="8" t="n">
        <x:v>1</x:v>
      </x:c>
    </x:row>
    <x:row r="148" ht="23" customHeight="1">
      <x:c r="B148" s="8" t="str">
        <x:v>APP000143</x:v>
      </x:c>
      <x:c r="C148" s="8" t="n">
        <x:v>75</x:v>
      </x:c>
      <x:c r="D148" s="8" t="n">
        <x:v>1</x:v>
      </x:c>
    </x:row>
    <x:row r="149" ht="23" customHeight="1">
      <x:c r="B149" s="8" t="str">
        <x:v>APP000144</x:v>
      </x:c>
      <x:c r="C149" s="8" t="n">
        <x:v>82</x:v>
      </x:c>
      <x:c r="D149" s="8" t="n">
        <x:v>1</x:v>
      </x:c>
    </x:row>
    <x:row r="150" ht="23" customHeight="1">
      <x:c r="B150" s="8" t="str">
        <x:v>APP000145</x:v>
      </x:c>
      <x:c r="C150" s="8" t="n">
        <x:v>89</x:v>
      </x:c>
      <x:c r="D150" s="8" t="n">
        <x:v>1</x:v>
      </x:c>
    </x:row>
    <x:row r="151" ht="23" customHeight="1">
      <x:c r="B151" s="8" t="str">
        <x:v>APP000146</x:v>
      </x:c>
      <x:c r="C151" s="8" t="n">
        <x:v>96</x:v>
      </x:c>
      <x:c r="D151" s="8" t="n">
        <x:v>1</x:v>
      </x:c>
    </x:row>
    <x:row r="152" ht="23" customHeight="1">
      <x:c r="B152" s="8" t="str">
        <x:v>APP000147</x:v>
      </x:c>
      <x:c r="C152" s="8" t="n">
        <x:v>52</x:v>
      </x:c>
      <x:c r="D152" s="8" t="n">
        <x:v>1</x:v>
      </x:c>
    </x:row>
    <x:row r="153" ht="23" customHeight="1">
      <x:c r="B153" s="8" t="str">
        <x:v>APP000148</x:v>
      </x:c>
      <x:c r="C153" s="8" t="n">
        <x:v>59</x:v>
      </x:c>
      <x:c r="D153" s="8" t="n">
        <x:v>1</x:v>
      </x:c>
    </x:row>
    <x:row r="154" ht="23" customHeight="1">
      <x:c r="B154" s="8" t="str">
        <x:v>APP000149</x:v>
      </x:c>
      <x:c r="C154" s="8" t="n">
        <x:v>66</x:v>
      </x:c>
      <x:c r="D154" s="8" t="n">
        <x:v>1</x:v>
      </x:c>
    </x:row>
    <x:row r="155" ht="23" customHeight="1">
      <x:c r="B155" s="8" t="str">
        <x:v>APP000150</x:v>
      </x:c>
      <x:c r="C155" s="8" t="n">
        <x:v>73</x:v>
      </x:c>
      <x:c r="D155" s="8" t="n">
        <x:v>1</x:v>
      </x:c>
    </x:row>
    <x:row r="156" ht="23" customHeight="1">
      <x:c r="B156" s="8" t="str">
        <x:v>APP000151</x:v>
      </x:c>
      <x:c r="C156" s="8" t="n">
        <x:v>80</x:v>
      </x:c>
      <x:c r="D156" s="8" t="n">
        <x:v>1</x:v>
      </x:c>
    </x:row>
    <x:row r="157" ht="23" customHeight="1">
      <x:c r="B157" s="8" t="str">
        <x:v>APP000152</x:v>
      </x:c>
      <x:c r="C157" s="8" t="n">
        <x:v>87</x:v>
      </x:c>
      <x:c r="D157" s="8" t="n">
        <x:v>1</x:v>
      </x:c>
    </x:row>
    <x:row r="158" ht="23" customHeight="1">
      <x:c r="B158" s="8" t="str">
        <x:v>APP000153</x:v>
      </x:c>
      <x:c r="C158" s="8" t="n">
        <x:v>94</x:v>
      </x:c>
      <x:c r="D158" s="8" t="n">
        <x:v>0</x:v>
      </x:c>
    </x:row>
    <x:row r="159" ht="23" customHeight="1">
      <x:c r="B159" s="8" t="str">
        <x:v>APP000154</x:v>
      </x:c>
      <x:c r="C159" s="8" t="n">
        <x:v>50</x:v>
      </x:c>
      <x:c r="D159" s="8" t="n">
        <x:v>1</x:v>
      </x:c>
    </x:row>
    <x:row r="160" ht="23" customHeight="1">
      <x:c r="B160" s="8" t="str">
        <x:v>APP000155</x:v>
      </x:c>
      <x:c r="C160" s="8" t="n">
        <x:v>57</x:v>
      </x:c>
      <x:c r="D160" s="8" t="n">
        <x:v>1</x:v>
      </x:c>
    </x:row>
    <x:row r="161" ht="23" customHeight="1">
      <x:c r="B161" s="8" t="str">
        <x:v>APP000156</x:v>
      </x:c>
      <x:c r="C161" s="8" t="n">
        <x:v>64</x:v>
      </x:c>
      <x:c r="D161" s="8" t="n">
        <x:v>1</x:v>
      </x:c>
    </x:row>
    <x:row r="162" ht="23" customHeight="1">
      <x:c r="B162" s="8" t="str">
        <x:v>APP000157</x:v>
      </x:c>
      <x:c r="C162" s="8" t="n">
        <x:v>71</x:v>
      </x:c>
      <x:c r="D162" s="8" t="n">
        <x:v>1</x:v>
      </x:c>
    </x:row>
    <x:row r="163" ht="23" customHeight="1">
      <x:c r="B163" s="8" t="str">
        <x:v>APP000158</x:v>
      </x:c>
      <x:c r="C163" s="8" t="n">
        <x:v>78</x:v>
      </x:c>
      <x:c r="D163" s="8" t="n">
        <x:v>1</x:v>
      </x:c>
    </x:row>
    <x:row r="164" ht="23" customHeight="1">
      <x:c r="B164" s="8" t="str">
        <x:v>APP000159</x:v>
      </x:c>
      <x:c r="C164" s="8" t="n">
        <x:v>85</x:v>
      </x:c>
      <x:c r="D164" s="8" t="n">
        <x:v>1</x:v>
      </x:c>
    </x:row>
    <x:row r="165" ht="23" customHeight="1">
      <x:c r="B165" s="8" t="str">
        <x:v>APP000160</x:v>
      </x:c>
      <x:c r="C165" s="8" t="n">
        <x:v>92</x:v>
      </x:c>
      <x:c r="D165" s="8" t="n">
        <x:v>1</x:v>
      </x:c>
    </x:row>
    <x:row r="166" ht="23" customHeight="1">
      <x:c r="B166" s="8" t="str">
        <x:v>APP000161</x:v>
      </x:c>
      <x:c r="C166" s="8" t="n">
        <x:v>99</x:v>
      </x:c>
      <x:c r="D166" s="8" t="n">
        <x:v>1</x:v>
      </x:c>
    </x:row>
    <x:row r="167" ht="23" customHeight="1">
      <x:c r="B167" s="8" t="str">
        <x:v>APP000162</x:v>
      </x:c>
      <x:c r="C167" s="8" t="n">
        <x:v>55</x:v>
      </x:c>
      <x:c r="D167" s="8" t="n">
        <x:v>1</x:v>
      </x:c>
    </x:row>
    <x:row r="168" ht="23" customHeight="1">
      <x:c r="B168" s="8" t="str">
        <x:v>APP000163</x:v>
      </x:c>
      <x:c r="C168" s="8" t="n">
        <x:v>62</x:v>
      </x:c>
      <x:c r="D168" s="8" t="n">
        <x:v>1</x:v>
      </x:c>
    </x:row>
    <x:row r="169" ht="23" customHeight="1">
      <x:c r="B169" s="8" t="str">
        <x:v>APP000164</x:v>
      </x:c>
      <x:c r="C169" s="8" t="n">
        <x:v>69</x:v>
      </x:c>
      <x:c r="D169" s="8" t="n">
        <x:v>1</x:v>
      </x:c>
    </x:row>
    <x:row r="170" ht="23" customHeight="1">
      <x:c r="B170" s="8" t="str">
        <x:v>APP000165</x:v>
      </x:c>
      <x:c r="C170" s="8" t="n">
        <x:v>76</x:v>
      </x:c>
      <x:c r="D170" s="8" t="n">
        <x:v>1</x:v>
      </x:c>
    </x:row>
    <x:row r="171" ht="23" customHeight="1">
      <x:c r="B171" s="8" t="str">
        <x:v>APP000166</x:v>
      </x:c>
      <x:c r="C171" s="8" t="n">
        <x:v>83</x:v>
      </x:c>
      <x:c r="D171" s="8" t="n">
        <x:v>1</x:v>
      </x:c>
    </x:row>
    <x:row r="172" ht="23" customHeight="1">
      <x:c r="B172" s="8" t="str">
        <x:v>APP000167</x:v>
      </x:c>
      <x:c r="C172" s="8" t="n">
        <x:v>90</x:v>
      </x:c>
      <x:c r="D172" s="8" t="n">
        <x:v>1</x:v>
      </x:c>
    </x:row>
    <x:row r="173" ht="23" customHeight="1">
      <x:c r="B173" s="8" t="str">
        <x:v>APP000168</x:v>
      </x:c>
      <x:c r="C173" s="8" t="n">
        <x:v>97</x:v>
      </x:c>
      <x:c r="D173" s="8" t="n">
        <x:v>1</x:v>
      </x:c>
    </x:row>
    <x:row r="174" ht="23" customHeight="1">
      <x:c r="B174" s="8" t="str">
        <x:v>APP000169</x:v>
      </x:c>
      <x:c r="C174" s="8" t="n">
        <x:v>53</x:v>
      </x:c>
      <x:c r="D174" s="8" t="n">
        <x:v>1</x:v>
      </x:c>
    </x:row>
    <x:row r="175" ht="23" customHeight="1">
      <x:c r="B175" s="8" t="str">
        <x:v>APP000170</x:v>
      </x:c>
      <x:c r="C175" s="8" t="n">
        <x:v>60</x:v>
      </x:c>
      <x:c r="D175" s="8" t="n">
        <x:v>1</x:v>
      </x:c>
    </x:row>
    <x:row r="176" ht="23" customHeight="1">
      <x:c r="B176" s="8" t="str">
        <x:v>APP000171</x:v>
      </x:c>
      <x:c r="C176" s="8" t="n">
        <x:v>67</x:v>
      </x:c>
      <x:c r="D176" s="8" t="n">
        <x:v>1</x:v>
      </x:c>
    </x:row>
    <x:row r="177" ht="23" customHeight="1">
      <x:c r="B177" s="8" t="str">
        <x:v>APP000172</x:v>
      </x:c>
      <x:c r="C177" s="8" t="n">
        <x:v>74</x:v>
      </x:c>
      <x:c r="D177" s="8" t="n">
        <x:v>0</x:v>
      </x:c>
    </x:row>
    <x:row r="178" ht="23" customHeight="1">
      <x:c r="B178" s="8" t="str">
        <x:v>APP000173</x:v>
      </x:c>
      <x:c r="C178" s="8" t="n">
        <x:v>81</x:v>
      </x:c>
      <x:c r="D178" s="8" t="n">
        <x:v>1</x:v>
      </x:c>
    </x:row>
    <x:row r="179" ht="23" customHeight="1">
      <x:c r="B179" s="8" t="str">
        <x:v>APP000174</x:v>
      </x:c>
      <x:c r="C179" s="8" t="n">
        <x:v>88</x:v>
      </x:c>
      <x:c r="D179" s="8" t="n">
        <x:v>1</x:v>
      </x:c>
    </x:row>
    <x:row r="180" ht="23" customHeight="1">
      <x:c r="B180" s="8" t="str">
        <x:v>APP000175</x:v>
      </x:c>
      <x:c r="C180" s="8" t="n">
        <x:v>95</x:v>
      </x:c>
      <x:c r="D180" s="8" t="n">
        <x:v>1</x:v>
      </x:c>
    </x:row>
    <x:row r="181" ht="23" customHeight="1">
      <x:c r="B181" s="8" t="str">
        <x:v>APP000176</x:v>
      </x:c>
      <x:c r="C181" s="8" t="n">
        <x:v>51</x:v>
      </x:c>
      <x:c r="D181" s="8" t="n">
        <x:v>1</x:v>
      </x:c>
    </x:row>
    <x:row r="182" ht="23" customHeight="1">
      <x:c r="B182" s="8" t="str">
        <x:v>APP000177</x:v>
      </x:c>
      <x:c r="C182" s="8" t="n">
        <x:v>58</x:v>
      </x:c>
      <x:c r="D182" s="8" t="n">
        <x:v>1</x:v>
      </x:c>
    </x:row>
    <x:row r="183" ht="23" customHeight="1">
      <x:c r="B183" s="8" t="str">
        <x:v>APP000178</x:v>
      </x:c>
      <x:c r="C183" s="8" t="n">
        <x:v>65</x:v>
      </x:c>
      <x:c r="D183" s="8" t="n">
        <x:v>1</x:v>
      </x:c>
    </x:row>
    <x:row r="184" ht="23" customHeight="1">
      <x:c r="B184" s="8" t="str">
        <x:v>APP000179</x:v>
      </x:c>
      <x:c r="C184" s="8" t="n">
        <x:v>72</x:v>
      </x:c>
      <x:c r="D184" s="8" t="n">
        <x:v>1</x:v>
      </x:c>
    </x:row>
    <x:row r="185" ht="23" customHeight="1">
      <x:c r="B185" s="8" t="str">
        <x:v>APP000180</x:v>
      </x:c>
      <x:c r="C185" s="8" t="n">
        <x:v>79</x:v>
      </x:c>
      <x:c r="D185" s="8" t="n">
        <x:v>1</x:v>
      </x:c>
    </x:row>
    <x:row r="186" ht="23" customHeight="1">
      <x:c r="B186" s="8" t="str">
        <x:v>APP000181</x:v>
      </x:c>
      <x:c r="C186" s="8" t="n">
        <x:v>86</x:v>
      </x:c>
      <x:c r="D186" s="8" t="n">
        <x:v>1</x:v>
      </x:c>
    </x:row>
    <x:row r="187" ht="23" customHeight="1">
      <x:c r="B187" s="8" t="str">
        <x:v>APP000182</x:v>
      </x:c>
      <x:c r="C187" s="8" t="n">
        <x:v>93</x:v>
      </x:c>
      <x:c r="D187" s="8" t="n">
        <x:v>1</x:v>
      </x:c>
    </x:row>
    <x:row r="188" ht="23" customHeight="1">
      <x:c r="B188" s="8" t="str">
        <x:v>APP000183</x:v>
      </x:c>
      <x:c r="C188" s="8" t="n">
        <x:v>100</x:v>
      </x:c>
      <x:c r="D188" s="8" t="n">
        <x:v>1</x:v>
      </x:c>
    </x:row>
    <x:row r="189" ht="23" customHeight="1">
      <x:c r="B189" s="8" t="str">
        <x:v>APP000184</x:v>
      </x:c>
      <x:c r="C189" s="8" t="n">
        <x:v>56</x:v>
      </x:c>
      <x:c r="D189" s="8" t="n">
        <x:v>1</x:v>
      </x:c>
    </x:row>
    <x:row r="190" ht="23" customHeight="1">
      <x:c r="B190" s="8" t="str">
        <x:v>APP000185</x:v>
      </x:c>
      <x:c r="C190" s="8" t="n">
        <x:v>63</x:v>
      </x:c>
      <x:c r="D190" s="8" t="n">
        <x:v>1</x:v>
      </x:c>
    </x:row>
    <x:row r="191" ht="23" customHeight="1">
      <x:c r="B191" s="8" t="str">
        <x:v>APP000186</x:v>
      </x:c>
      <x:c r="C191" s="8" t="n">
        <x:v>70</x:v>
      </x:c>
      <x:c r="D191" s="8" t="n">
        <x:v>1</x:v>
      </x:c>
    </x:row>
    <x:row r="192" ht="23" customHeight="1">
      <x:c r="B192" s="8" t="str">
        <x:v>APP000187</x:v>
      </x:c>
      <x:c r="C192" s="8" t="n">
        <x:v>77</x:v>
      </x:c>
      <x:c r="D192" s="8" t="n">
        <x:v>1</x:v>
      </x:c>
    </x:row>
    <x:row r="193" ht="23" customHeight="1">
      <x:c r="B193" s="8" t="str">
        <x:v>APP000188</x:v>
      </x:c>
      <x:c r="C193" s="8" t="n">
        <x:v>84</x:v>
      </x:c>
      <x:c r="D193" s="8" t="n">
        <x:v>1</x:v>
      </x:c>
    </x:row>
    <x:row r="194" ht="23" customHeight="1">
      <x:c r="B194" s="8" t="str">
        <x:v>APP000189</x:v>
      </x:c>
      <x:c r="C194" s="8" t="n">
        <x:v>91</x:v>
      </x:c>
      <x:c r="D194" s="8" t="n">
        <x:v>1</x:v>
      </x:c>
    </x:row>
    <x:row r="195" ht="23" customHeight="1">
      <x:c r="B195" s="8" t="str">
        <x:v>APP000190</x:v>
      </x:c>
      <x:c r="C195" s="8" t="n">
        <x:v>98</x:v>
      </x:c>
      <x:c r="D195" s="8" t="n">
        <x:v>1</x:v>
      </x:c>
    </x:row>
    <x:row r="196" ht="23" customHeight="1">
      <x:c r="B196" s="8" t="str">
        <x:v>APP000191</x:v>
      </x:c>
      <x:c r="C196" s="8" t="n">
        <x:v>54</x:v>
      </x:c>
      <x:c r="D196" s="8" t="n">
        <x:v>0</x:v>
      </x:c>
    </x:row>
    <x:row r="197" ht="23" customHeight="1">
      <x:c r="B197" s="8" t="str">
        <x:v>APP000192</x:v>
      </x:c>
      <x:c r="C197" s="8" t="n">
        <x:v>61</x:v>
      </x:c>
      <x:c r="D197" s="8" t="n">
        <x:v>1</x:v>
      </x:c>
    </x:row>
    <x:row r="198" ht="23" customHeight="1">
      <x:c r="B198" s="8" t="str">
        <x:v>APP000193</x:v>
      </x:c>
      <x:c r="C198" s="8" t="n">
        <x:v>68</x:v>
      </x:c>
      <x:c r="D198" s="8" t="n">
        <x:v>1</x:v>
      </x:c>
    </x:row>
    <x:row r="199" ht="23" customHeight="1">
      <x:c r="B199" s="8" t="str">
        <x:v>APP000194</x:v>
      </x:c>
      <x:c r="C199" s="8" t="n">
        <x:v>75</x:v>
      </x:c>
      <x:c r="D199" s="8" t="n">
        <x:v>1</x:v>
      </x:c>
    </x:row>
    <x:row r="200" ht="23" customHeight="1">
      <x:c r="B200" s="8" t="str">
        <x:v>APP000195</x:v>
      </x:c>
      <x:c r="C200" s="8" t="n">
        <x:v>82</x:v>
      </x:c>
      <x:c r="D200" s="8" t="n">
        <x:v>1</x:v>
      </x:c>
    </x:row>
    <x:row r="201" ht="23" customHeight="1">
      <x:c r="B201" s="8" t="str">
        <x:v>APP000196</x:v>
      </x:c>
      <x:c r="C201" s="8" t="n">
        <x:v>89</x:v>
      </x:c>
      <x:c r="D201" s="8" t="n">
        <x:v>1</x:v>
      </x:c>
    </x:row>
    <x:row r="202" ht="23" customHeight="1">
      <x:c r="B202" s="8" t="str">
        <x:v>APP000197</x:v>
      </x:c>
      <x:c r="C202" s="8" t="n">
        <x:v>96</x:v>
      </x:c>
      <x:c r="D202" s="8" t="n">
        <x:v>1</x:v>
      </x:c>
    </x:row>
    <x:row r="203" ht="23" customHeight="1">
      <x:c r="B203" s="8" t="str">
        <x:v>APP000198</x:v>
      </x:c>
      <x:c r="C203" s="8" t="n">
        <x:v>52</x:v>
      </x:c>
      <x:c r="D203" s="8" t="n">
        <x:v>1</x:v>
      </x:c>
    </x:row>
    <x:row r="204" ht="23" customHeight="1">
      <x:c r="B204" s="8" t="str">
        <x:v>APP000199</x:v>
      </x:c>
      <x:c r="C204" s="8" t="n">
        <x:v>59</x:v>
      </x:c>
      <x:c r="D204" s="8" t="n">
        <x:v>1</x:v>
      </x:c>
    </x:row>
    <x:row r="205" ht="23" customHeight="1">
      <x:c r="B205" s="8" t="str">
        <x:v>APP000200</x:v>
      </x:c>
      <x:c r="C205" s="8" t="n">
        <x:v>66</x:v>
      </x:c>
      <x:c r="D205" s="8" t="n">
        <x:v>1</x:v>
      </x:c>
    </x:row>
    <x:row r="206" ht="23" customHeight="1">
      <x:c r="B206" s="8" t="str">
        <x:v>APP000201</x:v>
      </x:c>
      <x:c r="C206" s="8" t="n">
        <x:v>73</x:v>
      </x:c>
      <x:c r="D206" s="8" t="n">
        <x:v>1</x:v>
      </x:c>
    </x:row>
    <x:row r="207" ht="23" customHeight="1">
      <x:c r="B207" s="8" t="str">
        <x:v>APP000202</x:v>
      </x:c>
      <x:c r="C207" s="8" t="n">
        <x:v>80</x:v>
      </x:c>
      <x:c r="D207" s="8" t="n">
        <x:v>1</x:v>
      </x:c>
    </x:row>
    <x:row r="208" ht="23" customHeight="1">
      <x:c r="B208" s="8" t="str">
        <x:v>APP000203</x:v>
      </x:c>
      <x:c r="C208" s="8" t="n">
        <x:v>87</x:v>
      </x:c>
      <x:c r="D208" s="8" t="n">
        <x:v>1</x:v>
      </x:c>
    </x:row>
    <x:row r="209" ht="23" customHeight="1">
      <x:c r="B209" s="8" t="str">
        <x:v>APP000204</x:v>
      </x:c>
      <x:c r="C209" s="8" t="n">
        <x:v>94</x:v>
      </x:c>
      <x:c r="D209" s="8" t="n">
        <x:v>1</x:v>
      </x:c>
    </x:row>
    <x:row r="210" ht="23" customHeight="1">
      <x:c r="B210" s="8" t="str">
        <x:v>APP000205</x:v>
      </x:c>
      <x:c r="C210" s="8" t="n">
        <x:v>50</x:v>
      </x:c>
      <x:c r="D210" s="8" t="n">
        <x:v>1</x:v>
      </x:c>
    </x:row>
    <x:row r="211" ht="23" customHeight="1">
      <x:c r="B211" s="8" t="str">
        <x:v>APP000206</x:v>
      </x:c>
      <x:c r="C211" s="8" t="n">
        <x:v>57</x:v>
      </x:c>
      <x:c r="D211" s="8" t="n">
        <x:v>1</x:v>
      </x:c>
    </x:row>
    <x:row r="212" ht="23" customHeight="1">
      <x:c r="B212" s="8" t="str">
        <x:v>APP000207</x:v>
      </x:c>
      <x:c r="C212" s="8" t="n">
        <x:v>64</x:v>
      </x:c>
      <x:c r="D212" s="8" t="n">
        <x:v>1</x:v>
      </x:c>
    </x:row>
    <x:row r="213" ht="23" customHeight="1">
      <x:c r="B213" s="8" t="str">
        <x:v>APP000208</x:v>
      </x:c>
      <x:c r="C213" s="8" t="n">
        <x:v>71</x:v>
      </x:c>
      <x:c r="D213" s="8" t="n">
        <x:v>1</x:v>
      </x:c>
    </x:row>
    <x:row r="214" ht="23" customHeight="1">
      <x:c r="B214" s="8" t="str">
        <x:v>APP000209</x:v>
      </x:c>
      <x:c r="C214" s="8" t="n">
        <x:v>78</x:v>
      </x:c>
      <x:c r="D214" s="8" t="n">
        <x:v>1</x:v>
      </x:c>
    </x:row>
    <x:row r="215" ht="23" customHeight="1">
      <x:c r="B215" s="8" t="str">
        <x:v>APP000210</x:v>
      </x:c>
      <x:c r="C215" s="8" t="n">
        <x:v>85</x:v>
      </x:c>
      <x:c r="D215" s="8" t="n">
        <x:v>0</x:v>
      </x:c>
    </x:row>
    <x:row r="216" ht="23" customHeight="1">
      <x:c r="B216" s="8" t="str">
        <x:v>APP000211</x:v>
      </x:c>
      <x:c r="C216" s="8" t="n">
        <x:v>92</x:v>
      </x:c>
      <x:c r="D216" s="8" t="n">
        <x:v>1</x:v>
      </x:c>
    </x:row>
    <x:row r="217" ht="23" customHeight="1">
      <x:c r="B217" s="8" t="str">
        <x:v>APP000212</x:v>
      </x:c>
      <x:c r="C217" s="8" t="n">
        <x:v>99</x:v>
      </x:c>
      <x:c r="D217" s="8" t="n">
        <x:v>1</x:v>
      </x:c>
    </x:row>
    <x:row r="218" ht="23" customHeight="1">
      <x:c r="B218" s="8" t="str">
        <x:v>APP000213</x:v>
      </x:c>
      <x:c r="C218" s="8" t="n">
        <x:v>55</x:v>
      </x:c>
      <x:c r="D218" s="8" t="n">
        <x:v>1</x:v>
      </x:c>
    </x:row>
    <x:row r="219" ht="23" customHeight="1">
      <x:c r="B219" s="8" t="str">
        <x:v>APP000214</x:v>
      </x:c>
      <x:c r="C219" s="8" t="n">
        <x:v>62</x:v>
      </x:c>
      <x:c r="D219" s="8" t="n">
        <x:v>1</x:v>
      </x:c>
    </x:row>
    <x:row r="220" ht="23" customHeight="1">
      <x:c r="B220" s="8" t="str">
        <x:v>APP000215</x:v>
      </x:c>
      <x:c r="C220" s="8" t="n">
        <x:v>69</x:v>
      </x:c>
      <x:c r="D220" s="8" t="n">
        <x:v>1</x:v>
      </x:c>
    </x:row>
    <x:row r="221" ht="23" customHeight="1">
      <x:c r="B221" s="8" t="str">
        <x:v>APP000216</x:v>
      </x:c>
      <x:c r="C221" s="8" t="n">
        <x:v>76</x:v>
      </x:c>
      <x:c r="D221" s="8" t="n">
        <x:v>1</x:v>
      </x:c>
    </x:row>
    <x:row r="222" ht="23" customHeight="1">
      <x:c r="B222" s="8" t="str">
        <x:v>APP000217</x:v>
      </x:c>
      <x:c r="C222" s="8" t="n">
        <x:v>83</x:v>
      </x:c>
      <x:c r="D222" s="8" t="n">
        <x:v>1</x:v>
      </x:c>
    </x:row>
    <x:row r="223" ht="23" customHeight="1">
      <x:c r="B223" s="8" t="str">
        <x:v>APP000218</x:v>
      </x:c>
      <x:c r="C223" s="8" t="n">
        <x:v>90</x:v>
      </x:c>
      <x:c r="D223" s="8" t="n">
        <x:v>1</x:v>
      </x:c>
    </x:row>
    <x:row r="224" ht="23" customHeight="1">
      <x:c r="B224" s="8" t="str">
        <x:v>APP000219</x:v>
      </x:c>
      <x:c r="C224" s="8" t="n">
        <x:v>97</x:v>
      </x:c>
      <x:c r="D224" s="8" t="n">
        <x:v>1</x:v>
      </x:c>
    </x:row>
    <x:row r="225" ht="23" customHeight="1">
      <x:c r="B225" s="8" t="str">
        <x:v>APP000220</x:v>
      </x:c>
      <x:c r="C225" s="8" t="n">
        <x:v>53</x:v>
      </x:c>
      <x:c r="D225" s="8" t="n">
        <x:v>1</x:v>
      </x:c>
    </x:row>
    <x:row r="226" ht="23" customHeight="1">
      <x:c r="B226" s="8" t="str">
        <x:v>APP000221</x:v>
      </x:c>
      <x:c r="C226" s="8" t="n">
        <x:v>60</x:v>
      </x:c>
      <x:c r="D226" s="8" t="n">
        <x:v>1</x:v>
      </x:c>
    </x:row>
    <x:row r="227" ht="23" customHeight="1">
      <x:c r="B227" s="8" t="str">
        <x:v>APP000222</x:v>
      </x:c>
      <x:c r="C227" s="8" t="n">
        <x:v>67</x:v>
      </x:c>
      <x:c r="D227" s="8" t="n">
        <x:v>1</x:v>
      </x:c>
    </x:row>
    <x:row r="228" ht="23" customHeight="1">
      <x:c r="B228" s="8" t="str">
        <x:v>APP000223</x:v>
      </x:c>
      <x:c r="C228" s="8" t="n">
        <x:v>74</x:v>
      </x:c>
      <x:c r="D228" s="8" t="n">
        <x:v>1</x:v>
      </x:c>
    </x:row>
    <x:row r="229" ht="23" customHeight="1">
      <x:c r="B229" s="8" t="str">
        <x:v>APP000224</x:v>
      </x:c>
      <x:c r="C229" s="8" t="n">
        <x:v>81</x:v>
      </x:c>
      <x:c r="D229" s="8" t="n">
        <x:v>1</x:v>
      </x:c>
    </x:row>
    <x:row r="230" ht="23" customHeight="1">
      <x:c r="B230" s="8" t="str">
        <x:v>APP000225</x:v>
      </x:c>
      <x:c r="C230" s="8" t="n">
        <x:v>88</x:v>
      </x:c>
      <x:c r="D230" s="8" t="n">
        <x:v>1</x:v>
      </x:c>
    </x:row>
    <x:row r="231" ht="23" customHeight="1">
      <x:c r="B231" s="8" t="str">
        <x:v>APP000226</x:v>
      </x:c>
      <x:c r="C231" s="8" t="n">
        <x:v>95</x:v>
      </x:c>
      <x:c r="D231" s="8" t="n">
        <x:v>1</x:v>
      </x:c>
    </x:row>
    <x:row r="232" ht="23" customHeight="1">
      <x:c r="B232" s="8" t="str">
        <x:v>APP000227</x:v>
      </x:c>
      <x:c r="C232" s="8" t="n">
        <x:v>51</x:v>
      </x:c>
      <x:c r="D232" s="8" t="n">
        <x:v>1</x:v>
      </x:c>
    </x:row>
    <x:row r="233" ht="23" customHeight="1">
      <x:c r="B233" s="8" t="str">
        <x:v>APP000228</x:v>
      </x:c>
      <x:c r="C233" s="8" t="n">
        <x:v>58</x:v>
      </x:c>
      <x:c r="D233" s="8" t="n">
        <x:v>1</x:v>
      </x:c>
    </x:row>
    <x:row r="234" ht="23" customHeight="1">
      <x:c r="B234" s="8" t="str">
        <x:v>APP000229</x:v>
      </x:c>
      <x:c r="C234" s="8" t="n">
        <x:v>65</x:v>
      </x:c>
      <x:c r="D234" s="8" t="n">
        <x:v>0</x:v>
      </x:c>
    </x:row>
    <x:row r="235" ht="23" customHeight="1">
      <x:c r="B235" s="8" t="str">
        <x:v>APP000230</x:v>
      </x:c>
      <x:c r="C235" s="8" t="n">
        <x:v>72</x:v>
      </x:c>
      <x:c r="D235" s="8" t="n">
        <x:v>1</x:v>
      </x:c>
    </x:row>
    <x:row r="236" ht="23" customHeight="1">
      <x:c r="B236" s="8" t="str">
        <x:v>APP000231</x:v>
      </x:c>
      <x:c r="C236" s="8" t="n">
        <x:v>79</x:v>
      </x:c>
      <x:c r="D236" s="8" t="n">
        <x:v>1</x:v>
      </x:c>
    </x:row>
    <x:row r="237" ht="23" customHeight="1">
      <x:c r="B237" s="8" t="str">
        <x:v>APP000232</x:v>
      </x:c>
      <x:c r="C237" s="8" t="n">
        <x:v>86</x:v>
      </x:c>
      <x:c r="D237" s="8" t="n">
        <x:v>1</x:v>
      </x:c>
    </x:row>
    <x:row r="238" ht="23" customHeight="1">
      <x:c r="B238" s="8" t="str">
        <x:v>APP000233</x:v>
      </x:c>
      <x:c r="C238" s="8" t="n">
        <x:v>93</x:v>
      </x:c>
      <x:c r="D238" s="8" t="n">
        <x:v>1</x:v>
      </x:c>
    </x:row>
    <x:row r="239" ht="23" customHeight="1">
      <x:c r="B239" s="8" t="str">
        <x:v>APP000234</x:v>
      </x:c>
      <x:c r="C239" s="8" t="n">
        <x:v>100</x:v>
      </x:c>
      <x:c r="D239" s="8" t="n">
        <x:v>1</x:v>
      </x:c>
    </x:row>
    <x:row r="240" ht="23" customHeight="1">
      <x:c r="B240" s="8" t="str">
        <x:v>APP000235</x:v>
      </x:c>
      <x:c r="C240" s="8" t="n">
        <x:v>56</x:v>
      </x:c>
      <x:c r="D240" s="8" t="n">
        <x:v>1</x:v>
      </x:c>
    </x:row>
    <x:row r="241" ht="23" customHeight="1">
      <x:c r="B241" s="8" t="str">
        <x:v>APP000236</x:v>
      </x:c>
      <x:c r="C241" s="8" t="n">
        <x:v>63</x:v>
      </x:c>
      <x:c r="D241" s="8" t="n">
        <x:v>1</x:v>
      </x:c>
    </x:row>
    <x:row r="242" ht="23" customHeight="1">
      <x:c r="B242" s="8" t="str">
        <x:v>APP000237</x:v>
      </x:c>
      <x:c r="C242" s="8" t="n">
        <x:v>70</x:v>
      </x:c>
      <x:c r="D242" s="8" t="n">
        <x:v>1</x:v>
      </x:c>
    </x:row>
    <x:row r="243" ht="23" customHeight="1">
      <x:c r="B243" s="8" t="str">
        <x:v>APP000238</x:v>
      </x:c>
      <x:c r="C243" s="8" t="n">
        <x:v>77</x:v>
      </x:c>
      <x:c r="D243" s="8" t="n">
        <x:v>1</x:v>
      </x:c>
    </x:row>
    <x:row r="244" ht="23" customHeight="1">
      <x:c r="B244" s="8" t="str">
        <x:v>APP000239</x:v>
      </x:c>
      <x:c r="C244" s="8" t="n">
        <x:v>84</x:v>
      </x:c>
      <x:c r="D244" s="8" t="n">
        <x:v>1</x:v>
      </x:c>
    </x:row>
    <x:row r="245" ht="23" customHeight="1">
      <x:c r="B245" s="8" t="str">
        <x:v>APP000240</x:v>
      </x:c>
      <x:c r="C245" s="8" t="n">
        <x:v>91</x:v>
      </x:c>
      <x:c r="D245" s="8" t="n">
        <x:v>1</x:v>
      </x:c>
    </x:row>
    <x:row r="246" ht="23" customHeight="1">
      <x:c r="B246" s="8" t="str">
        <x:v>APP000241</x:v>
      </x:c>
      <x:c r="C246" s="8" t="n">
        <x:v>98</x:v>
      </x:c>
      <x:c r="D246" s="8" t="n">
        <x:v>1</x:v>
      </x:c>
    </x:row>
    <x:row r="247" ht="23" customHeight="1">
      <x:c r="B247" s="8" t="str">
        <x:v>APP000242</x:v>
      </x:c>
      <x:c r="C247" s="8" t="n">
        <x:v>54</x:v>
      </x:c>
      <x:c r="D247" s="8" t="n">
        <x:v>1</x:v>
      </x:c>
    </x:row>
    <x:row r="248" ht="23" customHeight="1">
      <x:c r="B248" s="8" t="str">
        <x:v>APP000243</x:v>
      </x:c>
      <x:c r="C248" s="8" t="n">
        <x:v>61</x:v>
      </x:c>
      <x:c r="D248" s="8" t="n">
        <x:v>1</x:v>
      </x:c>
    </x:row>
    <x:row r="249" ht="23" customHeight="1">
      <x:c r="B249" s="8" t="str">
        <x:v>APP000244</x:v>
      </x:c>
      <x:c r="C249" s="8" t="n">
        <x:v>68</x:v>
      </x:c>
      <x:c r="D249" s="8" t="n">
        <x:v>1</x:v>
      </x:c>
    </x:row>
    <x:row r="250" ht="23" customHeight="1">
      <x:c r="B250" s="8" t="str">
        <x:v>APP000245</x:v>
      </x:c>
      <x:c r="C250" s="8" t="n">
        <x:v>75</x:v>
      </x:c>
      <x:c r="D250" s="8" t="n">
        <x:v>1</x:v>
      </x:c>
    </x:row>
    <x:row r="251" ht="23" customHeight="1">
      <x:c r="B251" s="8" t="str">
        <x:v>APP000246</x:v>
      </x:c>
      <x:c r="C251" s="8" t="n">
        <x:v>82</x:v>
      </x:c>
      <x:c r="D251" s="8" t="n">
        <x:v>1</x:v>
      </x:c>
    </x:row>
    <x:row r="252" ht="23" customHeight="1">
      <x:c r="B252" s="8" t="str">
        <x:v>APP000247</x:v>
      </x:c>
      <x:c r="C252" s="8" t="n">
        <x:v>89</x:v>
      </x:c>
      <x:c r="D252" s="8" t="n">
        <x:v>1</x:v>
      </x:c>
    </x:row>
    <x:row r="253" ht="23" customHeight="1">
      <x:c r="B253" s="8" t="str">
        <x:v>APP000248</x:v>
      </x:c>
      <x:c r="C253" s="8" t="n">
        <x:v>96</x:v>
      </x:c>
      <x:c r="D253" s="8" t="n">
        <x:v>0</x:v>
      </x:c>
    </x:row>
    <x:row r="254" ht="23" customHeight="1">
      <x:c r="B254" s="8" t="str">
        <x:v>APP000249</x:v>
      </x:c>
      <x:c r="C254" s="8" t="n">
        <x:v>52</x:v>
      </x:c>
      <x:c r="D254" s="8" t="n">
        <x:v>1</x:v>
      </x:c>
    </x:row>
    <x:row r="255" ht="23" customHeight="1">
      <x:c r="B255" s="8" t="str">
        <x:v>APP000250</x:v>
      </x:c>
      <x:c r="C255" s="8" t="n">
        <x:v>59</x:v>
      </x:c>
      <x:c r="D255" s="8" t="n">
        <x:v>1</x:v>
      </x:c>
    </x:row>
    <x:row r="256" ht="23" customHeight="1">
      <x:c r="B256" s="8" t="str">
        <x:v>APP000251</x:v>
      </x:c>
      <x:c r="C256" s="8" t="n">
        <x:v>66</x:v>
      </x:c>
      <x:c r="D256" s="8" t="n">
        <x:v>1</x:v>
      </x:c>
    </x:row>
    <x:row r="257" ht="23" customHeight="1">
      <x:c r="B257" s="8" t="str">
        <x:v>APP000252</x:v>
      </x:c>
      <x:c r="C257" s="8" t="n">
        <x:v>73</x:v>
      </x:c>
      <x:c r="D257" s="8" t="n">
        <x:v>1</x:v>
      </x:c>
    </x:row>
    <x:row r="258" ht="23" customHeight="1">
      <x:c r="B258" s="8" t="str">
        <x:v>APP000253</x:v>
      </x:c>
      <x:c r="C258" s="8" t="n">
        <x:v>80</x:v>
      </x:c>
      <x:c r="D258" s="8" t="n">
        <x:v>1</x:v>
      </x:c>
    </x:row>
    <x:row r="259" ht="23" customHeight="1">
      <x:c r="B259" s="8" t="str">
        <x:v>APP000254</x:v>
      </x:c>
      <x:c r="C259" s="8" t="n">
        <x:v>87</x:v>
      </x:c>
      <x:c r="D259" s="8" t="n">
        <x:v>1</x:v>
      </x:c>
    </x:row>
    <x:row r="260" ht="23" customHeight="1">
      <x:c r="B260" s="8" t="str">
        <x:v>APP000255</x:v>
      </x:c>
      <x:c r="C260" s="8" t="n">
        <x:v>94</x:v>
      </x:c>
      <x:c r="D260" s="8" t="n">
        <x:v>1</x:v>
      </x:c>
    </x:row>
    <x:row r="261" ht="23" customHeight="1">
      <x:c r="B261" s="8" t="str">
        <x:v>APP000256</x:v>
      </x:c>
      <x:c r="C261" s="8" t="n">
        <x:v>50</x:v>
      </x:c>
      <x:c r="D261" s="8" t="n">
        <x:v>1</x:v>
      </x:c>
    </x:row>
    <x:row r="262" ht="23" customHeight="1">
      <x:c r="B262" s="8" t="str">
        <x:v>APP000257</x:v>
      </x:c>
      <x:c r="C262" s="8" t="n">
        <x:v>57</x:v>
      </x:c>
      <x:c r="D262" s="8" t="n">
        <x:v>1</x:v>
      </x:c>
    </x:row>
    <x:row r="263" ht="23" customHeight="1">
      <x:c r="B263" s="8" t="str">
        <x:v>APP000258</x:v>
      </x:c>
      <x:c r="C263" s="8" t="n">
        <x:v>64</x:v>
      </x:c>
      <x:c r="D263" s="8" t="n">
        <x:v>1</x:v>
      </x:c>
    </x:row>
    <x:row r="264" ht="23" customHeight="1">
      <x:c r="B264" s="8" t="str">
        <x:v>APP000259</x:v>
      </x:c>
      <x:c r="C264" s="8" t="n">
        <x:v>71</x:v>
      </x:c>
      <x:c r="D264" s="8" t="n">
        <x:v>1</x:v>
      </x:c>
    </x:row>
    <x:row r="265" ht="23" customHeight="1">
      <x:c r="B265" s="8" t="str">
        <x:v>APP000260</x:v>
      </x:c>
      <x:c r="C265" s="8" t="n">
        <x:v>78</x:v>
      </x:c>
      <x:c r="D265" s="8" t="n">
        <x:v>1</x:v>
      </x:c>
    </x:row>
    <x:row r="266" ht="23" customHeight="1">
      <x:c r="B266" s="8" t="str">
        <x:v>APP000261</x:v>
      </x:c>
      <x:c r="C266" s="8" t="n">
        <x:v>85</x:v>
      </x:c>
      <x:c r="D266" s="8" t="n">
        <x:v>1</x:v>
      </x:c>
    </x:row>
    <x:row r="267" ht="23" customHeight="1">
      <x:c r="B267" s="8" t="str">
        <x:v>APP000262</x:v>
      </x:c>
      <x:c r="C267" s="8" t="n">
        <x:v>92</x:v>
      </x:c>
      <x:c r="D267" s="8" t="n">
        <x:v>1</x:v>
      </x:c>
    </x:row>
    <x:row r="268" ht="23" customHeight="1">
      <x:c r="B268" s="8" t="str">
        <x:v>APP000263</x:v>
      </x:c>
      <x:c r="C268" s="8" t="n">
        <x:v>99</x:v>
      </x:c>
      <x:c r="D268" s="8" t="n">
        <x:v>1</x:v>
      </x:c>
    </x:row>
    <x:row r="269" ht="23" customHeight="1">
      <x:c r="B269" s="8" t="str">
        <x:v>APP000264</x:v>
      </x:c>
      <x:c r="C269" s="8" t="n">
        <x:v>55</x:v>
      </x:c>
      <x:c r="D269" s="8" t="n">
        <x:v>1</x:v>
      </x:c>
    </x:row>
    <x:row r="270" ht="23" customHeight="1">
      <x:c r="B270" s="8" t="str">
        <x:v>APP000265</x:v>
      </x:c>
      <x:c r="C270" s="8" t="n">
        <x:v>62</x:v>
      </x:c>
      <x:c r="D270" s="8" t="n">
        <x:v>1</x:v>
      </x:c>
    </x:row>
    <x:row r="271" ht="23" customHeight="1">
      <x:c r="B271" s="8" t="str">
        <x:v>APP000266</x:v>
      </x:c>
      <x:c r="C271" s="8" t="n">
        <x:v>69</x:v>
      </x:c>
      <x:c r="D271" s="8" t="n">
        <x:v>1</x:v>
      </x:c>
    </x:row>
    <x:row r="272" ht="23" customHeight="1">
      <x:c r="B272" s="8" t="str">
        <x:v>APP000267</x:v>
      </x:c>
      <x:c r="C272" s="8" t="n">
        <x:v>76</x:v>
      </x:c>
      <x:c r="D272" s="8" t="n">
        <x:v>0</x:v>
      </x:c>
    </x:row>
    <x:row r="273" ht="23" customHeight="1">
      <x:c r="B273" s="8" t="str">
        <x:v>APP000268</x:v>
      </x:c>
      <x:c r="C273" s="8" t="n">
        <x:v>83</x:v>
      </x:c>
      <x:c r="D273" s="8" t="n">
        <x:v>1</x:v>
      </x:c>
    </x:row>
    <x:row r="274" ht="23" customHeight="1">
      <x:c r="B274" s="8" t="str">
        <x:v>APP000269</x:v>
      </x:c>
      <x:c r="C274" s="8" t="n">
        <x:v>90</x:v>
      </x:c>
      <x:c r="D274" s="8" t="n">
        <x:v>1</x:v>
      </x:c>
    </x:row>
    <x:row r="275" ht="23" customHeight="1">
      <x:c r="B275" s="8" t="str">
        <x:v>APP000270</x:v>
      </x:c>
      <x:c r="C275" s="8" t="n">
        <x:v>97</x:v>
      </x:c>
      <x:c r="D275" s="8" t="n">
        <x:v>1</x:v>
      </x:c>
    </x:row>
    <x:row r="276" ht="23" customHeight="1">
      <x:c r="B276" s="8" t="str">
        <x:v>APP000271</x:v>
      </x:c>
      <x:c r="C276" s="8" t="n">
        <x:v>53</x:v>
      </x:c>
      <x:c r="D276" s="8" t="n">
        <x:v>1</x:v>
      </x:c>
    </x:row>
    <x:row r="277" ht="23" customHeight="1">
      <x:c r="B277" s="8" t="str">
        <x:v>APP000272</x:v>
      </x:c>
      <x:c r="C277" s="8" t="n">
        <x:v>60</x:v>
      </x:c>
      <x:c r="D277" s="8" t="n">
        <x:v>1</x:v>
      </x:c>
    </x:row>
    <x:row r="278" ht="23" customHeight="1">
      <x:c r="B278" s="8" t="str">
        <x:v>APP000273</x:v>
      </x:c>
      <x:c r="C278" s="8" t="n">
        <x:v>67</x:v>
      </x:c>
      <x:c r="D278" s="8" t="n">
        <x:v>1</x:v>
      </x:c>
    </x:row>
    <x:row r="279" ht="23" customHeight="1">
      <x:c r="B279" s="8" t="str">
        <x:v>APP000274</x:v>
      </x:c>
      <x:c r="C279" s="8" t="n">
        <x:v>74</x:v>
      </x:c>
      <x:c r="D279" s="8" t="n">
        <x:v>1</x:v>
      </x:c>
    </x:row>
    <x:row r="280" ht="23" customHeight="1">
      <x:c r="B280" s="8" t="str">
        <x:v>APP000275</x:v>
      </x:c>
      <x:c r="C280" s="8" t="n">
        <x:v>81</x:v>
      </x:c>
      <x:c r="D280" s="8" t="n">
        <x:v>1</x:v>
      </x:c>
    </x:row>
    <x:row r="281" ht="23" customHeight="1">
      <x:c r="B281" s="8" t="str">
        <x:v>APP000276</x:v>
      </x:c>
      <x:c r="C281" s="8" t="n">
        <x:v>88</x:v>
      </x:c>
      <x:c r="D281" s="8" t="n">
        <x:v>1</x:v>
      </x:c>
    </x:row>
    <x:row r="282" ht="23" customHeight="1">
      <x:c r="B282" s="8" t="str">
        <x:v>APP000277</x:v>
      </x:c>
      <x:c r="C282" s="8" t="n">
        <x:v>95</x:v>
      </x:c>
      <x:c r="D282" s="8" t="n">
        <x:v>1</x:v>
      </x:c>
    </x:row>
    <x:row r="283" ht="23" customHeight="1">
      <x:c r="B283" s="8" t="str">
        <x:v>APP000278</x:v>
      </x:c>
      <x:c r="C283" s="8" t="n">
        <x:v>51</x:v>
      </x:c>
      <x:c r="D283" s="8" t="n">
        <x:v>1</x:v>
      </x:c>
    </x:row>
    <x:row r="284" ht="23" customHeight="1">
      <x:c r="B284" s="8" t="str">
        <x:v>APP000279</x:v>
      </x:c>
      <x:c r="C284" s="8" t="n">
        <x:v>58</x:v>
      </x:c>
      <x:c r="D284" s="8" t="n">
        <x:v>1</x:v>
      </x:c>
    </x:row>
    <x:row r="285" ht="23" customHeight="1">
      <x:c r="B285" s="8" t="str">
        <x:v>APP000280</x:v>
      </x:c>
      <x:c r="C285" s="8" t="n">
        <x:v>65</x:v>
      </x:c>
      <x:c r="D285" s="8" t="n">
        <x:v>1</x:v>
      </x:c>
    </x:row>
    <x:row r="286" ht="23" customHeight="1">
      <x:c r="B286" s="8" t="str">
        <x:v>APP000281</x:v>
      </x:c>
      <x:c r="C286" s="8" t="n">
        <x:v>72</x:v>
      </x:c>
      <x:c r="D286" s="8" t="n">
        <x:v>1</x:v>
      </x:c>
    </x:row>
    <x:row r="287" ht="23" customHeight="1">
      <x:c r="B287" s="8" t="str">
        <x:v>APP000282</x:v>
      </x:c>
      <x:c r="C287" s="8" t="n">
        <x:v>79</x:v>
      </x:c>
      <x:c r="D287" s="8" t="n">
        <x:v>1</x:v>
      </x:c>
    </x:row>
    <x:row r="288" ht="23" customHeight="1">
      <x:c r="B288" s="8" t="str">
        <x:v>APP000283</x:v>
      </x:c>
      <x:c r="C288" s="8" t="n">
        <x:v>86</x:v>
      </x:c>
      <x:c r="D288" s="8" t="n">
        <x:v>1</x:v>
      </x:c>
    </x:row>
    <x:row r="289" ht="23" customHeight="1">
      <x:c r="B289" s="8" t="str">
        <x:v>APP000284</x:v>
      </x:c>
      <x:c r="C289" s="8" t="n">
        <x:v>93</x:v>
      </x:c>
      <x:c r="D289" s="8" t="n">
        <x:v>1</x:v>
      </x:c>
    </x:row>
    <x:row r="290" ht="23" customHeight="1">
      <x:c r="B290" s="8" t="str">
        <x:v>APP000285</x:v>
      </x:c>
      <x:c r="C290" s="8" t="n">
        <x:v>100</x:v>
      </x:c>
      <x:c r="D290" s="8" t="n">
        <x:v>1</x:v>
      </x:c>
    </x:row>
    <x:row r="291" ht="23" customHeight="1">
      <x:c r="B291" s="8" t="str">
        <x:v>APP000286</x:v>
      </x:c>
      <x:c r="C291" s="8" t="n">
        <x:v>56</x:v>
      </x:c>
      <x:c r="D291" s="8" t="n">
        <x:v>0</x:v>
      </x:c>
    </x:row>
    <x:row r="292" ht="23" customHeight="1">
      <x:c r="B292" s="8" t="str">
        <x:v>APP000287</x:v>
      </x:c>
      <x:c r="C292" s="8" t="n">
        <x:v>63</x:v>
      </x:c>
      <x:c r="D292" s="8" t="n">
        <x:v>1</x:v>
      </x:c>
    </x:row>
    <x:row r="293" ht="23" customHeight="1">
      <x:c r="B293" s="8" t="str">
        <x:v>APP000288</x:v>
      </x:c>
      <x:c r="C293" s="8" t="n">
        <x:v>70</x:v>
      </x:c>
      <x:c r="D293" s="8" t="n">
        <x:v>1</x:v>
      </x:c>
    </x:row>
    <x:row r="294" ht="23" customHeight="1">
      <x:c r="B294" s="8" t="str">
        <x:v>APP000289</x:v>
      </x:c>
      <x:c r="C294" s="8" t="n">
        <x:v>77</x:v>
      </x:c>
      <x:c r="D294" s="8" t="n">
        <x:v>1</x:v>
      </x:c>
    </x:row>
    <x:row r="295" ht="23" customHeight="1">
      <x:c r="B295" s="8" t="str">
        <x:v>APP000290</x:v>
      </x:c>
      <x:c r="C295" s="8" t="n">
        <x:v>84</x:v>
      </x:c>
      <x:c r="D295" s="8" t="n">
        <x:v>1</x:v>
      </x:c>
    </x:row>
    <x:row r="296" ht="23" customHeight="1">
      <x:c r="B296" s="8" t="str">
        <x:v>APP000291</x:v>
      </x:c>
      <x:c r="C296" s="8" t="n">
        <x:v>91</x:v>
      </x:c>
      <x:c r="D296" s="8" t="n">
        <x:v>1</x:v>
      </x:c>
    </x:row>
    <x:row r="297" ht="23" customHeight="1">
      <x:c r="B297" s="8" t="str">
        <x:v>APP000292</x:v>
      </x:c>
      <x:c r="C297" s="8" t="n">
        <x:v>98</x:v>
      </x:c>
      <x:c r="D297" s="8" t="n">
        <x:v>1</x:v>
      </x:c>
    </x:row>
    <x:row r="298" ht="23" customHeight="1">
      <x:c r="B298" s="8" t="str">
        <x:v>APP000293</x:v>
      </x:c>
      <x:c r="C298" s="8" t="n">
        <x:v>54</x:v>
      </x:c>
      <x:c r="D298" s="8" t="n">
        <x:v>1</x:v>
      </x:c>
    </x:row>
    <x:row r="299" ht="23" customHeight="1">
      <x:c r="B299" s="8" t="str">
        <x:v>APP000294</x:v>
      </x:c>
      <x:c r="C299" s="8" t="n">
        <x:v>61</x:v>
      </x:c>
      <x:c r="D299" s="8" t="n">
        <x:v>1</x:v>
      </x:c>
    </x:row>
    <x:row r="300" ht="23" customHeight="1">
      <x:c r="B300" s="8" t="str">
        <x:v>APP000295</x:v>
      </x:c>
      <x:c r="C300" s="8" t="n">
        <x:v>68</x:v>
      </x:c>
      <x:c r="D300" s="8" t="n">
        <x:v>1</x:v>
      </x:c>
    </x:row>
    <x:row r="301" ht="23" customHeight="1">
      <x:c r="B301" s="8" t="str">
        <x:v>APP000296</x:v>
      </x:c>
      <x:c r="C301" s="8" t="n">
        <x:v>75</x:v>
      </x:c>
      <x:c r="D301" s="8" t="n">
        <x:v>1</x:v>
      </x:c>
    </x:row>
    <x:row r="302" ht="23" customHeight="1">
      <x:c r="B302" s="8" t="str">
        <x:v>APP000297</x:v>
      </x:c>
      <x:c r="C302" s="8" t="n">
        <x:v>82</x:v>
      </x:c>
      <x:c r="D302" s="8" t="n">
        <x:v>1</x:v>
      </x:c>
    </x:row>
    <x:row r="303" ht="23" customHeight="1">
      <x:c r="B303" s="8" t="str">
        <x:v>APP000298</x:v>
      </x:c>
      <x:c r="C303" s="8" t="n">
        <x:v>89</x:v>
      </x:c>
      <x:c r="D303" s="8" t="n">
        <x:v>1</x:v>
      </x:c>
    </x:row>
    <x:row r="304" ht="23" customHeight="1">
      <x:c r="B304" s="8" t="str">
        <x:v>APP000299</x:v>
      </x:c>
      <x:c r="C304" s="8" t="n">
        <x:v>96</x:v>
      </x:c>
      <x:c r="D304" s="8" t="n">
        <x:v>1</x:v>
      </x:c>
    </x:row>
    <x:row r="305" ht="23" customHeight="1">
      <x:c r="B305" s="8" t="str">
        <x:v>APP000300</x:v>
      </x:c>
      <x:c r="C305" s="8" t="n">
        <x:v>52</x:v>
      </x:c>
      <x:c r="D305" s="8" t="n">
        <x:v>1</x:v>
      </x:c>
    </x:row>
    <x:row r="306" ht="23" customHeight="1">
      <x:c r="B306" s="8" t="str">
        <x:v>APP000301</x:v>
      </x:c>
      <x:c r="C306" s="8" t="n">
        <x:v>59</x:v>
      </x:c>
      <x:c r="D306" s="8" t="n">
        <x:v>1</x:v>
      </x:c>
    </x:row>
    <x:row r="307" ht="23" customHeight="1">
      <x:c r="B307" s="8" t="str">
        <x:v>APP000302</x:v>
      </x:c>
      <x:c r="C307" s="8" t="n">
        <x:v>66</x:v>
      </x:c>
      <x:c r="D307" s="8" t="n">
        <x:v>1</x:v>
      </x:c>
    </x:row>
    <x:row r="308" ht="23" customHeight="1">
      <x:c r="B308" s="8" t="str">
        <x:v>APP000303</x:v>
      </x:c>
      <x:c r="C308" s="8" t="n">
        <x:v>73</x:v>
      </x:c>
      <x:c r="D308" s="8" t="n">
        <x:v>1</x:v>
      </x:c>
    </x:row>
    <x:row r="309" ht="23" customHeight="1">
      <x:c r="B309" s="8" t="str">
        <x:v>APP000304</x:v>
      </x:c>
      <x:c r="C309" s="8" t="n">
        <x:v>80</x:v>
      </x:c>
      <x:c r="D309" s="8" t="n">
        <x:v>1</x:v>
      </x:c>
    </x:row>
    <x:row r="310" ht="23" customHeight="1">
      <x:c r="B310" s="8" t="str">
        <x:v>APP000305</x:v>
      </x:c>
      <x:c r="C310" s="8" t="n">
        <x:v>87</x:v>
      </x:c>
      <x:c r="D310" s="8" t="n">
        <x:v>0</x:v>
      </x:c>
    </x:row>
    <x:row r="311" ht="23" customHeight="1">
      <x:c r="B311" s="8" t="str">
        <x:v>APP000306</x:v>
      </x:c>
      <x:c r="C311" s="8" t="n">
        <x:v>94</x:v>
      </x:c>
      <x:c r="D311" s="8" t="n">
        <x:v>1</x:v>
      </x:c>
    </x:row>
    <x:row r="312" ht="23" customHeight="1">
      <x:c r="B312" s="8" t="str">
        <x:v>APP000307</x:v>
      </x:c>
      <x:c r="C312" s="8" t="n">
        <x:v>50</x:v>
      </x:c>
      <x:c r="D312" s="8" t="n">
        <x:v>1</x:v>
      </x:c>
    </x:row>
    <x:row r="313" ht="23" customHeight="1">
      <x:c r="B313" s="8" t="str">
        <x:v>APP000308</x:v>
      </x:c>
      <x:c r="C313" s="8" t="n">
        <x:v>57</x:v>
      </x:c>
      <x:c r="D313" s="8" t="n">
        <x:v>1</x:v>
      </x:c>
    </x:row>
    <x:row r="314" ht="23" customHeight="1">
      <x:c r="B314" s="8" t="str">
        <x:v>APP000309</x:v>
      </x:c>
      <x:c r="C314" s="8" t="n">
        <x:v>64</x:v>
      </x:c>
      <x:c r="D314" s="8" t="n">
        <x:v>1</x:v>
      </x:c>
    </x:row>
    <x:row r="315" ht="23" customHeight="1">
      <x:c r="B315" s="8" t="str">
        <x:v>APP000310</x:v>
      </x:c>
      <x:c r="C315" s="8" t="n">
        <x:v>71</x:v>
      </x:c>
      <x:c r="D315" s="8" t="n">
        <x:v>1</x:v>
      </x:c>
    </x:row>
    <x:row r="316" ht="23" customHeight="1">
      <x:c r="B316" s="8" t="str">
        <x:v>APP000311</x:v>
      </x:c>
      <x:c r="C316" s="8" t="n">
        <x:v>78</x:v>
      </x:c>
      <x:c r="D316" s="8" t="n">
        <x:v>1</x:v>
      </x:c>
    </x:row>
    <x:row r="317" ht="23" customHeight="1">
      <x:c r="B317" s="8" t="str">
        <x:v>APP000312</x:v>
      </x:c>
      <x:c r="C317" s="8" t="n">
        <x:v>85</x:v>
      </x:c>
      <x:c r="D317" s="8" t="n">
        <x:v>1</x:v>
      </x:c>
    </x:row>
    <x:row r="318" ht="23" customHeight="1">
      <x:c r="B318" s="8" t="str">
        <x:v>APP000313</x:v>
      </x:c>
      <x:c r="C318" s="8" t="n">
        <x:v>92</x:v>
      </x:c>
      <x:c r="D318" s="8" t="n">
        <x:v>1</x:v>
      </x:c>
    </x:row>
    <x:row r="319" ht="23" customHeight="1">
      <x:c r="B319" s="8" t="str">
        <x:v>APP000314</x:v>
      </x:c>
      <x:c r="C319" s="8" t="n">
        <x:v>99</x:v>
      </x:c>
      <x:c r="D319" s="8" t="n">
        <x:v>1</x:v>
      </x:c>
    </x:row>
    <x:row r="320" ht="23" customHeight="1">
      <x:c r="B320" s="8" t="str">
        <x:v>APP000315</x:v>
      </x:c>
      <x:c r="C320" s="8" t="n">
        <x:v>55</x:v>
      </x:c>
      <x:c r="D320" s="8" t="n">
        <x:v>1</x:v>
      </x:c>
    </x:row>
    <x:row r="321" ht="23" customHeight="1">
      <x:c r="B321" s="8" t="str">
        <x:v>APP000316</x:v>
      </x:c>
      <x:c r="C321" s="8" t="n">
        <x:v>62</x:v>
      </x:c>
      <x:c r="D321" s="8" t="n">
        <x:v>1</x:v>
      </x:c>
    </x:row>
    <x:row r="322" ht="23" customHeight="1">
      <x:c r="B322" s="8" t="str">
        <x:v>APP000317</x:v>
      </x:c>
      <x:c r="C322" s="8" t="n">
        <x:v>69</x:v>
      </x:c>
      <x:c r="D322" s="8" t="n">
        <x:v>1</x:v>
      </x:c>
    </x:row>
    <x:row r="323" ht="23" customHeight="1">
      <x:c r="B323" s="8" t="str">
        <x:v>APP000318</x:v>
      </x:c>
      <x:c r="C323" s="8" t="n">
        <x:v>76</x:v>
      </x:c>
      <x:c r="D323" s="8" t="n">
        <x:v>1</x:v>
      </x:c>
    </x:row>
    <x:row r="324" ht="23" customHeight="1">
      <x:c r="B324" s="8" t="str">
        <x:v>APP000319</x:v>
      </x:c>
      <x:c r="C324" s="8" t="n">
        <x:v>83</x:v>
      </x:c>
      <x:c r="D324" s="8" t="n">
        <x:v>1</x:v>
      </x:c>
    </x:row>
    <x:row r="325" ht="23" customHeight="1">
      <x:c r="B325" s="8" t="str">
        <x:v>APP000320</x:v>
      </x:c>
      <x:c r="C325" s="8" t="n">
        <x:v>90</x:v>
      </x:c>
      <x:c r="D325" s="8" t="n">
        <x:v>1</x:v>
      </x:c>
    </x:row>
    <x:row r="326" ht="23" customHeight="1">
      <x:c r="B326" s="8" t="str">
        <x:v>APP000321</x:v>
      </x:c>
      <x:c r="C326" s="8" t="n">
        <x:v>97</x:v>
      </x:c>
      <x:c r="D326" s="8" t="n">
        <x:v>1</x:v>
      </x:c>
    </x:row>
    <x:row r="327" ht="23" customHeight="1">
      <x:c r="B327" s="8" t="str">
        <x:v>APP000322</x:v>
      </x:c>
      <x:c r="C327" s="8" t="n">
        <x:v>53</x:v>
      </x:c>
      <x:c r="D327" s="8" t="n">
        <x:v>1</x:v>
      </x:c>
    </x:row>
    <x:row r="328" ht="23" customHeight="1">
      <x:c r="B328" s="8" t="str">
        <x:v>APP000323</x:v>
      </x:c>
      <x:c r="C328" s="8" t="n">
        <x:v>60</x:v>
      </x:c>
      <x:c r="D328" s="8" t="n">
        <x:v>1</x:v>
      </x:c>
    </x:row>
    <x:row r="329" ht="23" customHeight="1">
      <x:c r="B329" s="8" t="str">
        <x:v>APP000324</x:v>
      </x:c>
      <x:c r="C329" s="8" t="n">
        <x:v>67</x:v>
      </x:c>
      <x:c r="D329" s="8" t="n">
        <x:v>0</x:v>
      </x:c>
    </x:row>
    <x:row r="330" ht="23" customHeight="1">
      <x:c r="B330" s="8" t="str">
        <x:v>APP000325</x:v>
      </x:c>
      <x:c r="C330" s="8" t="n">
        <x:v>74</x:v>
      </x:c>
      <x:c r="D330" s="8" t="n">
        <x:v>1</x:v>
      </x:c>
    </x:row>
    <x:row r="331" ht="23" customHeight="1">
      <x:c r="B331" s="8" t="str">
        <x:v>APP000326</x:v>
      </x:c>
      <x:c r="C331" s="8" t="n">
        <x:v>81</x:v>
      </x:c>
      <x:c r="D331" s="8" t="n">
        <x:v>1</x:v>
      </x:c>
    </x:row>
    <x:row r="332" ht="23" customHeight="1">
      <x:c r="B332" s="8" t="str">
        <x:v>APP000327</x:v>
      </x:c>
      <x:c r="C332" s="8" t="n">
        <x:v>88</x:v>
      </x:c>
      <x:c r="D332" s="8" t="n">
        <x:v>1</x:v>
      </x:c>
    </x:row>
    <x:row r="333" ht="23" customHeight="1">
      <x:c r="B333" s="8" t="str">
        <x:v>APP000328</x:v>
      </x:c>
      <x:c r="C333" s="8" t="n">
        <x:v>95</x:v>
      </x:c>
      <x:c r="D333" s="8" t="n">
        <x:v>1</x:v>
      </x:c>
    </x:row>
    <x:row r="334" ht="23" customHeight="1">
      <x:c r="B334" s="8" t="str">
        <x:v>APP000329</x:v>
      </x:c>
      <x:c r="C334" s="8" t="n">
        <x:v>51</x:v>
      </x:c>
      <x:c r="D334" s="8" t="n">
        <x:v>1</x:v>
      </x:c>
    </x:row>
    <x:row r="335" ht="23" customHeight="1">
      <x:c r="B335" s="8" t="str">
        <x:v>APP000330</x:v>
      </x:c>
      <x:c r="C335" s="8" t="n">
        <x:v>58</x:v>
      </x:c>
      <x:c r="D335" s="8" t="n">
        <x:v>1</x:v>
      </x:c>
    </x:row>
    <x:row r="336" ht="23" customHeight="1">
      <x:c r="B336" s="8" t="str">
        <x:v>APP000331</x:v>
      </x:c>
      <x:c r="C336" s="8" t="n">
        <x:v>65</x:v>
      </x:c>
      <x:c r="D336" s="8" t="n">
        <x:v>1</x:v>
      </x:c>
    </x:row>
    <x:row r="337" ht="23" customHeight="1">
      <x:c r="B337" s="8" t="str">
        <x:v>APP000332</x:v>
      </x:c>
      <x:c r="C337" s="8" t="n">
        <x:v>72</x:v>
      </x:c>
      <x:c r="D337" s="8" t="n">
        <x:v>1</x:v>
      </x:c>
    </x:row>
    <x:row r="338" ht="23" customHeight="1">
      <x:c r="B338" s="8" t="str">
        <x:v>APP000333</x:v>
      </x:c>
      <x:c r="C338" s="8" t="n">
        <x:v>79</x:v>
      </x:c>
      <x:c r="D338" s="8" t="n">
        <x:v>1</x:v>
      </x:c>
    </x:row>
    <x:row r="339" ht="23" customHeight="1">
      <x:c r="B339" s="8" t="str">
        <x:v>APP000334</x:v>
      </x:c>
      <x:c r="C339" s="8" t="n">
        <x:v>86</x:v>
      </x:c>
      <x:c r="D339" s="8" t="n">
        <x:v>1</x:v>
      </x:c>
    </x:row>
    <x:row r="340" ht="23" customHeight="1">
      <x:c r="B340" s="8" t="str">
        <x:v>APP000335</x:v>
      </x:c>
      <x:c r="C340" s="8" t="n">
        <x:v>93</x:v>
      </x:c>
      <x:c r="D340" s="8" t="n">
        <x:v>1</x:v>
      </x:c>
    </x:row>
    <x:row r="341" ht="23" customHeight="1">
      <x:c r="B341" s="8" t="str">
        <x:v>APP000336</x:v>
      </x:c>
      <x:c r="C341" s="8" t="n">
        <x:v>100</x:v>
      </x:c>
      <x:c r="D341" s="8" t="n">
        <x:v>1</x:v>
      </x:c>
    </x:row>
    <x:row r="342" ht="23" customHeight="1">
      <x:c r="B342" s="8" t="str">
        <x:v>APP000337</x:v>
      </x:c>
      <x:c r="C342" s="8" t="n">
        <x:v>56</x:v>
      </x:c>
      <x:c r="D342" s="8" t="n">
        <x:v>1</x:v>
      </x:c>
    </x:row>
    <x:row r="343" ht="23" customHeight="1">
      <x:c r="B343" s="8" t="str">
        <x:v>APP000338</x:v>
      </x:c>
      <x:c r="C343" s="8" t="n">
        <x:v>63</x:v>
      </x:c>
      <x:c r="D343" s="8" t="n">
        <x:v>1</x:v>
      </x:c>
    </x:row>
    <x:row r="344" ht="23" customHeight="1">
      <x:c r="B344" s="8" t="str">
        <x:v>APP000339</x:v>
      </x:c>
      <x:c r="C344" s="8" t="n">
        <x:v>70</x:v>
      </x:c>
      <x:c r="D344" s="8" t="n">
        <x:v>1</x:v>
      </x:c>
    </x:row>
    <x:row r="345" ht="23" customHeight="1">
      <x:c r="B345" s="8" t="str">
        <x:v>APP000340</x:v>
      </x:c>
      <x:c r="C345" s="8" t="n">
        <x:v>77</x:v>
      </x:c>
      <x:c r="D345" s="8" t="n">
        <x:v>1</x:v>
      </x:c>
    </x:row>
    <x:row r="346" ht="23" customHeight="1">
      <x:c r="B346" s="8" t="str">
        <x:v>APP000341</x:v>
      </x:c>
      <x:c r="C346" s="8" t="n">
        <x:v>84</x:v>
      </x:c>
      <x:c r="D346" s="8" t="n">
        <x:v>1</x:v>
      </x:c>
    </x:row>
    <x:row r="347" ht="23" customHeight="1">
      <x:c r="B347" s="8" t="str">
        <x:v>APP000342</x:v>
      </x:c>
      <x:c r="C347" s="8" t="n">
        <x:v>91</x:v>
      </x:c>
      <x:c r="D347" s="8" t="n">
        <x:v>1</x:v>
      </x:c>
    </x:row>
    <x:row r="348" ht="23" customHeight="1">
      <x:c r="B348" s="8" t="str">
        <x:v>APP000343</x:v>
      </x:c>
      <x:c r="C348" s="8" t="n">
        <x:v>98</x:v>
      </x:c>
      <x:c r="D348" s="8" t="n">
        <x:v>0</x:v>
      </x:c>
    </x:row>
    <x:row r="349" ht="23" customHeight="1">
      <x:c r="B349" s="8" t="str">
        <x:v>APP000344</x:v>
      </x:c>
      <x:c r="C349" s="8" t="n">
        <x:v>54</x:v>
      </x:c>
      <x:c r="D349" s="8" t="n">
        <x:v>1</x:v>
      </x:c>
    </x:row>
    <x:row r="350" ht="23" customHeight="1">
      <x:c r="B350" s="8" t="str">
        <x:v>APP000345</x:v>
      </x:c>
      <x:c r="C350" s="8" t="n">
        <x:v>61</x:v>
      </x:c>
      <x:c r="D350" s="8" t="n">
        <x:v>1</x:v>
      </x:c>
    </x:row>
    <x:row r="351" ht="23" customHeight="1">
      <x:c r="B351" s="8" t="str">
        <x:v>APP000346</x:v>
      </x:c>
      <x:c r="C351" s="8" t="n">
        <x:v>68</x:v>
      </x:c>
      <x:c r="D351" s="8" t="n">
        <x:v>1</x:v>
      </x:c>
    </x:row>
    <x:row r="352" ht="23" customHeight="1">
      <x:c r="B352" s="8" t="str">
        <x:v>APP000347</x:v>
      </x:c>
      <x:c r="C352" s="8" t="n">
        <x:v>75</x:v>
      </x:c>
      <x:c r="D352" s="8" t="n">
        <x:v>1</x:v>
      </x:c>
    </x:row>
    <x:row r="353" ht="23" customHeight="1">
      <x:c r="B353" s="8" t="str">
        <x:v>APP000348</x:v>
      </x:c>
      <x:c r="C353" s="8" t="n">
        <x:v>82</x:v>
      </x:c>
      <x:c r="D353" s="8" t="n">
        <x:v>1</x:v>
      </x:c>
    </x:row>
    <x:row r="354" ht="23" customHeight="1">
      <x:c r="B354" s="8" t="str">
        <x:v>APP000349</x:v>
      </x:c>
      <x:c r="C354" s="8" t="n">
        <x:v>89</x:v>
      </x:c>
      <x:c r="D354" s="8" t="n">
        <x:v>1</x:v>
      </x:c>
    </x:row>
    <x:row r="355" ht="23" customHeight="1">
      <x:c r="B355" s="8" t="str">
        <x:v>APP000350</x:v>
      </x:c>
      <x:c r="C355" s="8" t="n">
        <x:v>96</x:v>
      </x:c>
      <x:c r="D355" s="8" t="n">
        <x:v>1</x:v>
      </x:c>
    </x:row>
    <x:row r="356" ht="23" customHeight="1">
      <x:c r="B356" s="8" t="str">
        <x:v>APP000351</x:v>
      </x:c>
      <x:c r="C356" s="8" t="n">
        <x:v>52</x:v>
      </x:c>
      <x:c r="D356" s="8" t="n">
        <x:v>1</x:v>
      </x:c>
    </x:row>
    <x:row r="357" ht="23" customHeight="1">
      <x:c r="B357" s="8" t="str">
        <x:v>APP000352</x:v>
      </x:c>
      <x:c r="C357" s="8" t="n">
        <x:v>59</x:v>
      </x:c>
      <x:c r="D357" s="8" t="n">
        <x:v>1</x:v>
      </x:c>
    </x:row>
    <x:row r="358" ht="23" customHeight="1">
      <x:c r="B358" s="8" t="str">
        <x:v>APP000353</x:v>
      </x:c>
      <x:c r="C358" s="8" t="n">
        <x:v>66</x:v>
      </x:c>
      <x:c r="D358" s="8" t="n">
        <x:v>1</x:v>
      </x:c>
    </x:row>
    <x:row r="359" ht="23" customHeight="1">
      <x:c r="B359" s="8" t="str">
        <x:v>APP000354</x:v>
      </x:c>
      <x:c r="C359" s="8" t="n">
        <x:v>73</x:v>
      </x:c>
      <x:c r="D359" s="8" t="n">
        <x:v>1</x:v>
      </x:c>
    </x:row>
    <x:row r="360" ht="23" customHeight="1">
      <x:c r="B360" s="8" t="str">
        <x:v>APP000355</x:v>
      </x:c>
      <x:c r="C360" s="8" t="n">
        <x:v>80</x:v>
      </x:c>
      <x:c r="D360" s="8" t="n">
        <x:v>1</x:v>
      </x:c>
    </x:row>
    <x:row r="361" ht="23" customHeight="1">
      <x:c r="B361" s="8" t="str">
        <x:v>APP000356</x:v>
      </x:c>
      <x:c r="C361" s="8" t="n">
        <x:v>87</x:v>
      </x:c>
      <x:c r="D361" s="8" t="n">
        <x:v>1</x:v>
      </x:c>
    </x:row>
    <x:row r="362" ht="23" customHeight="1">
      <x:c r="B362" s="8" t="str">
        <x:v>APP000357</x:v>
      </x:c>
      <x:c r="C362" s="8" t="n">
        <x:v>94</x:v>
      </x:c>
      <x:c r="D362" s="8" t="n">
        <x:v>1</x:v>
      </x:c>
    </x:row>
    <x:row r="363" ht="23" customHeight="1">
      <x:c r="B363" s="8" t="str">
        <x:v>APP000358</x:v>
      </x:c>
      <x:c r="C363" s="8" t="n">
        <x:v>50</x:v>
      </x:c>
      <x:c r="D363" s="8" t="n">
        <x:v>1</x:v>
      </x:c>
    </x:row>
    <x:row r="364" ht="23" customHeight="1">
      <x:c r="B364" s="8" t="str">
        <x:v>APP000359</x:v>
      </x:c>
      <x:c r="C364" s="8" t="n">
        <x:v>57</x:v>
      </x:c>
      <x:c r="D364" s="8" t="n">
        <x:v>1</x:v>
      </x:c>
    </x:row>
    <x:row r="365" ht="23" customHeight="1">
      <x:c r="B365" s="8" t="str">
        <x:v>APP000360</x:v>
      </x:c>
      <x:c r="C365" s="8" t="n">
        <x:v>64</x:v>
      </x:c>
      <x:c r="D365" s="8" t="n">
        <x:v>1</x:v>
      </x:c>
    </x:row>
    <x:row r="366" ht="23" customHeight="1">
      <x:c r="B366" s="8" t="str">
        <x:v>APP000361</x:v>
      </x:c>
      <x:c r="C366" s="8" t="n">
        <x:v>71</x:v>
      </x:c>
      <x:c r="D366" s="8" t="n">
        <x:v>1</x:v>
      </x:c>
    </x:row>
    <x:row r="367" ht="23" customHeight="1">
      <x:c r="B367" s="8" t="str">
        <x:v>APP000362</x:v>
      </x:c>
      <x:c r="C367" s="8" t="n">
        <x:v>78</x:v>
      </x:c>
      <x:c r="D367" s="8" t="n">
        <x:v>0</x:v>
      </x:c>
    </x:row>
    <x:row r="368" ht="23" customHeight="1">
      <x:c r="B368" s="8" t="str">
        <x:v>APP000363</x:v>
      </x:c>
      <x:c r="C368" s="8" t="n">
        <x:v>85</x:v>
      </x:c>
      <x:c r="D368" s="8" t="n">
        <x:v>1</x:v>
      </x:c>
    </x:row>
    <x:row r="369" ht="23" customHeight="1">
      <x:c r="B369" s="8" t="str">
        <x:v>APP000364</x:v>
      </x:c>
      <x:c r="C369" s="8" t="n">
        <x:v>92</x:v>
      </x:c>
      <x:c r="D369" s="8" t="n">
        <x:v>1</x:v>
      </x:c>
    </x:row>
    <x:row r="370" ht="23" customHeight="1">
      <x:c r="B370" s="8" t="str">
        <x:v>APP000365</x:v>
      </x:c>
      <x:c r="C370" s="8" t="n">
        <x:v>99</x:v>
      </x:c>
      <x:c r="D370" s="8" t="n">
        <x:v>1</x:v>
      </x:c>
    </x:row>
    <x:row r="371" ht="23" customHeight="1">
      <x:c r="B371" s="8" t="str">
        <x:v>APP000366</x:v>
      </x:c>
      <x:c r="C371" s="8" t="n">
        <x:v>55</x:v>
      </x:c>
      <x:c r="D371" s="8" t="n">
        <x:v>1</x:v>
      </x:c>
    </x:row>
    <x:row r="372" ht="23" customHeight="1">
      <x:c r="B372" s="8" t="str">
        <x:v>APP000367</x:v>
      </x:c>
      <x:c r="C372" s="8" t="n">
        <x:v>62</x:v>
      </x:c>
      <x:c r="D372" s="8" t="n">
        <x:v>1</x:v>
      </x:c>
    </x:row>
    <x:row r="373" ht="23" customHeight="1">
      <x:c r="B373" s="8" t="str">
        <x:v>APP000368</x:v>
      </x:c>
      <x:c r="C373" s="8" t="n">
        <x:v>69</x:v>
      </x:c>
      <x:c r="D373" s="8" t="n">
        <x:v>1</x:v>
      </x:c>
    </x:row>
    <x:row r="374" ht="23" customHeight="1">
      <x:c r="B374" s="8" t="str">
        <x:v>APP000369</x:v>
      </x:c>
      <x:c r="C374" s="8" t="n">
        <x:v>76</x:v>
      </x:c>
      <x:c r="D374" s="8" t="n">
        <x:v>1</x:v>
      </x:c>
    </x:row>
    <x:row r="375" ht="23" customHeight="1">
      <x:c r="B375" s="8" t="str">
        <x:v>APP000370</x:v>
      </x:c>
      <x:c r="C375" s="8" t="n">
        <x:v>83</x:v>
      </x:c>
      <x:c r="D375" s="8" t="n">
        <x:v>1</x:v>
      </x:c>
    </x:row>
    <x:row r="376" ht="23" customHeight="1">
      <x:c r="B376" s="8" t="str">
        <x:v>APP000371</x:v>
      </x:c>
      <x:c r="C376" s="8" t="n">
        <x:v>90</x:v>
      </x:c>
      <x:c r="D376" s="8" t="n">
        <x:v>1</x:v>
      </x:c>
    </x:row>
    <x:row r="377" ht="23" customHeight="1">
      <x:c r="B377" s="8" t="str">
        <x:v>APP000372</x:v>
      </x:c>
      <x:c r="C377" s="8" t="n">
        <x:v>97</x:v>
      </x:c>
      <x:c r="D377" s="8" t="n">
        <x:v>1</x:v>
      </x:c>
    </x:row>
    <x:row r="378" ht="23" customHeight="1">
      <x:c r="B378" s="8" t="str">
        <x:v>APP000373</x:v>
      </x:c>
      <x:c r="C378" s="8" t="n">
        <x:v>53</x:v>
      </x:c>
      <x:c r="D378" s="8" t="n">
        <x:v>1</x:v>
      </x:c>
    </x:row>
    <x:row r="379" ht="23" customHeight="1">
      <x:c r="B379" s="8" t="str">
        <x:v>APP000374</x:v>
      </x:c>
      <x:c r="C379" s="8" t="n">
        <x:v>60</x:v>
      </x:c>
      <x:c r="D379" s="8" t="n">
        <x:v>1</x:v>
      </x:c>
    </x:row>
    <x:row r="380" ht="23" customHeight="1">
      <x:c r="B380" s="8" t="str">
        <x:v>APP000375</x:v>
      </x:c>
      <x:c r="C380" s="8" t="n">
        <x:v>67</x:v>
      </x:c>
      <x:c r="D380" s="8" t="n">
        <x:v>1</x:v>
      </x:c>
    </x:row>
    <x:row r="381" ht="23" customHeight="1">
      <x:c r="B381" s="8" t="str">
        <x:v>APP000376</x:v>
      </x:c>
      <x:c r="C381" s="8" t="n">
        <x:v>74</x:v>
      </x:c>
      <x:c r="D381" s="8" t="n">
        <x:v>1</x:v>
      </x:c>
    </x:row>
    <x:row r="382" ht="23" customHeight="1">
      <x:c r="B382" s="8" t="str">
        <x:v>APP000377</x:v>
      </x:c>
      <x:c r="C382" s="8" t="n">
        <x:v>81</x:v>
      </x:c>
      <x:c r="D382" s="8" t="n">
        <x:v>1</x:v>
      </x:c>
    </x:row>
    <x:row r="383" ht="23" customHeight="1">
      <x:c r="B383" s="8" t="str">
        <x:v>APP000378</x:v>
      </x:c>
      <x:c r="C383" s="8" t="n">
        <x:v>88</x:v>
      </x:c>
      <x:c r="D383" s="8" t="n">
        <x:v>1</x:v>
      </x:c>
    </x:row>
    <x:row r="384" ht="23" customHeight="1">
      <x:c r="B384" s="8" t="str">
        <x:v>APP000379</x:v>
      </x:c>
      <x:c r="C384" s="8" t="n">
        <x:v>95</x:v>
      </x:c>
      <x:c r="D384" s="8" t="n">
        <x:v>1</x:v>
      </x:c>
    </x:row>
    <x:row r="385" ht="23" customHeight="1">
      <x:c r="B385" s="8" t="str">
        <x:v>APP000380</x:v>
      </x:c>
      <x:c r="C385" s="8" t="n">
        <x:v>51</x:v>
      </x:c>
      <x:c r="D385" s="8" t="n">
        <x:v>1</x:v>
      </x:c>
    </x:row>
    <x:row r="386" ht="23" customHeight="1">
      <x:c r="B386" s="8" t="str">
        <x:v>APP000381</x:v>
      </x:c>
      <x:c r="C386" s="8" t="n">
        <x:v>58</x:v>
      </x:c>
      <x:c r="D386" s="8" t="n">
        <x:v>0</x:v>
      </x:c>
    </x:row>
    <x:row r="387" ht="23" customHeight="1">
      <x:c r="B387" s="8" t="str">
        <x:v>APP000382</x:v>
      </x:c>
      <x:c r="C387" s="8" t="n">
        <x:v>65</x:v>
      </x:c>
      <x:c r="D387" s="8" t="n">
        <x:v>1</x:v>
      </x:c>
    </x:row>
    <x:row r="388" ht="23" customHeight="1">
      <x:c r="B388" s="8" t="str">
        <x:v>APP000383</x:v>
      </x:c>
      <x:c r="C388" s="8" t="n">
        <x:v>72</x:v>
      </x:c>
      <x:c r="D388" s="8" t="n">
        <x:v>1</x:v>
      </x:c>
    </x:row>
    <x:row r="389" ht="23" customHeight="1">
      <x:c r="B389" s="8" t="str">
        <x:v>APP000384</x:v>
      </x:c>
      <x:c r="C389" s="8" t="n">
        <x:v>79</x:v>
      </x:c>
      <x:c r="D389" s="8" t="n">
        <x:v>1</x:v>
      </x:c>
    </x:row>
    <x:row r="390" ht="23" customHeight="1">
      <x:c r="B390" s="8" t="str">
        <x:v>APP000385</x:v>
      </x:c>
      <x:c r="C390" s="8" t="n">
        <x:v>86</x:v>
      </x:c>
      <x:c r="D390" s="8" t="n">
        <x:v>1</x:v>
      </x:c>
    </x:row>
    <x:row r="391" ht="23" customHeight="1">
      <x:c r="B391" s="8" t="str">
        <x:v>APP000386</x:v>
      </x:c>
      <x:c r="C391" s="8" t="n">
        <x:v>93</x:v>
      </x:c>
      <x:c r="D391" s="8" t="n">
        <x:v>1</x:v>
      </x:c>
    </x:row>
    <x:row r="392" ht="23" customHeight="1">
      <x:c r="B392" s="8" t="str">
        <x:v>APP000387</x:v>
      </x:c>
      <x:c r="C392" s="8" t="n">
        <x:v>100</x:v>
      </x:c>
      <x:c r="D392" s="8" t="n">
        <x:v>1</x:v>
      </x:c>
    </x:row>
    <x:row r="393" ht="23" customHeight="1">
      <x:c r="B393" s="8" t="str">
        <x:v>APP000388</x:v>
      </x:c>
      <x:c r="C393" s="8" t="n">
        <x:v>56</x:v>
      </x:c>
      <x:c r="D393" s="8" t="n">
        <x:v>1</x:v>
      </x:c>
    </x:row>
    <x:row r="394" ht="23" customHeight="1">
      <x:c r="B394" s="8" t="str">
        <x:v>APP000389</x:v>
      </x:c>
      <x:c r="C394" s="8" t="n">
        <x:v>63</x:v>
      </x:c>
      <x:c r="D394" s="8" t="n">
        <x:v>1</x:v>
      </x:c>
    </x:row>
    <x:row r="395" ht="23" customHeight="1">
      <x:c r="B395" s="8" t="str">
        <x:v>APP000390</x:v>
      </x:c>
      <x:c r="C395" s="8" t="n">
        <x:v>70</x:v>
      </x:c>
      <x:c r="D395" s="8" t="n">
        <x:v>1</x:v>
      </x:c>
    </x:row>
    <x:row r="396" ht="23" customHeight="1">
      <x:c r="B396" s="8" t="str">
        <x:v>APP000391</x:v>
      </x:c>
      <x:c r="C396" s="8" t="n">
        <x:v>77</x:v>
      </x:c>
      <x:c r="D396" s="8" t="n">
        <x:v>1</x:v>
      </x:c>
    </x:row>
    <x:row r="397" ht="23" customHeight="1">
      <x:c r="B397" s="8" t="str">
        <x:v>APP000392</x:v>
      </x:c>
      <x:c r="C397" s="8" t="n">
        <x:v>84</x:v>
      </x:c>
      <x:c r="D397" s="8" t="n">
        <x:v>1</x:v>
      </x:c>
    </x:row>
    <x:row r="398" ht="23" customHeight="1">
      <x:c r="B398" s="8" t="str">
        <x:v>APP000393</x:v>
      </x:c>
      <x:c r="C398" s="8" t="n">
        <x:v>91</x:v>
      </x:c>
      <x:c r="D398" s="8" t="n">
        <x:v>1</x:v>
      </x:c>
    </x:row>
    <x:row r="399" ht="23" customHeight="1">
      <x:c r="B399" s="8" t="str">
        <x:v>APP000394</x:v>
      </x:c>
      <x:c r="C399" s="8" t="n">
        <x:v>98</x:v>
      </x:c>
      <x:c r="D399" s="8" t="n">
        <x:v>1</x:v>
      </x:c>
    </x:row>
    <x:row r="400" ht="23" customHeight="1">
      <x:c r="B400" s="8" t="str">
        <x:v>APP000395</x:v>
      </x:c>
      <x:c r="C400" s="8" t="n">
        <x:v>54</x:v>
      </x:c>
      <x:c r="D400" s="8" t="n">
        <x:v>1</x:v>
      </x:c>
    </x:row>
    <x:row r="401" ht="23" customHeight="1">
      <x:c r="B401" s="8" t="str">
        <x:v>APP000396</x:v>
      </x:c>
      <x:c r="C401" s="8" t="n">
        <x:v>61</x:v>
      </x:c>
      <x:c r="D401" s="8" t="n">
        <x:v>1</x:v>
      </x:c>
    </x:row>
    <x:row r="402" ht="23" customHeight="1">
      <x:c r="B402" s="8" t="str">
        <x:v>APP000397</x:v>
      </x:c>
      <x:c r="C402" s="8" t="n">
        <x:v>68</x:v>
      </x:c>
      <x:c r="D402" s="8" t="n">
        <x:v>1</x:v>
      </x:c>
    </x:row>
    <x:row r="403" ht="23" customHeight="1">
      <x:c r="B403" s="8" t="str">
        <x:v>APP000398</x:v>
      </x:c>
      <x:c r="C403" s="8" t="n">
        <x:v>75</x:v>
      </x:c>
      <x:c r="D403" s="8" t="n">
        <x:v>1</x:v>
      </x:c>
    </x:row>
    <x:row r="404" ht="23" customHeight="1">
      <x:c r="B404" s="8" t="str">
        <x:v>APP000399</x:v>
      </x:c>
      <x:c r="C404" s="8" t="n">
        <x:v>82</x:v>
      </x:c>
      <x:c r="D404" s="8" t="n">
        <x:v>1</x:v>
      </x:c>
    </x:row>
    <x:row r="405" ht="23" customHeight="1">
      <x:c r="B405" s="8" t="str">
        <x:v>APP000400</x:v>
      </x:c>
      <x:c r="C405" s="8" t="n">
        <x:v>89</x:v>
      </x:c>
      <x:c r="D405" s="8" t="n">
        <x:v>0</x:v>
      </x:c>
    </x:row>
    <x:row r="406" ht="23" customHeight="1">
      <x:c r="B406" s="8" t="str">
        <x:v>APP000401</x:v>
      </x:c>
      <x:c r="C406" s="8" t="n">
        <x:v>96</x:v>
      </x:c>
      <x:c r="D406" s="8" t="n">
        <x:v>1</x:v>
      </x:c>
    </x:row>
    <x:row r="407" ht="23" customHeight="1">
      <x:c r="B407" s="8" t="str">
        <x:v>APP000402</x:v>
      </x:c>
      <x:c r="C407" s="8" t="n">
        <x:v>52</x:v>
      </x:c>
      <x:c r="D407" s="8" t="n">
        <x:v>1</x:v>
      </x:c>
    </x:row>
    <x:row r="408" ht="23" customHeight="1">
      <x:c r="B408" s="8" t="str">
        <x:v>APP000403</x:v>
      </x:c>
      <x:c r="C408" s="8" t="n">
        <x:v>59</x:v>
      </x:c>
      <x:c r="D408" s="8" t="n">
        <x:v>1</x:v>
      </x:c>
    </x:row>
    <x:row r="409" ht="23" customHeight="1">
      <x:c r="B409" s="8" t="str">
        <x:v>APP000404</x:v>
      </x:c>
      <x:c r="C409" s="8" t="n">
        <x:v>66</x:v>
      </x:c>
      <x:c r="D409" s="8" t="n">
        <x:v>1</x:v>
      </x:c>
    </x:row>
    <x:row r="410" ht="23" customHeight="1">
      <x:c r="B410" s="8" t="str">
        <x:v>APP000405</x:v>
      </x:c>
      <x:c r="C410" s="8" t="n">
        <x:v>73</x:v>
      </x:c>
      <x:c r="D410" s="8" t="n">
        <x:v>1</x:v>
      </x:c>
    </x:row>
    <x:row r="411" ht="23" customHeight="1">
      <x:c r="B411" s="8" t="str">
        <x:v>APP000406</x:v>
      </x:c>
      <x:c r="C411" s="8" t="n">
        <x:v>80</x:v>
      </x:c>
      <x:c r="D411" s="8" t="n">
        <x:v>1</x:v>
      </x:c>
    </x:row>
    <x:row r="412" ht="23" customHeight="1">
      <x:c r="B412" s="8" t="str">
        <x:v>APP000407</x:v>
      </x:c>
      <x:c r="C412" s="8" t="n">
        <x:v>87</x:v>
      </x:c>
      <x:c r="D412" s="8" t="n">
        <x:v>1</x:v>
      </x:c>
    </x:row>
    <x:row r="413" ht="23" customHeight="1">
      <x:c r="B413" s="8" t="str">
        <x:v>APP000408</x:v>
      </x:c>
      <x:c r="C413" s="8" t="n">
        <x:v>94</x:v>
      </x:c>
      <x:c r="D413" s="8" t="n">
        <x:v>1</x:v>
      </x:c>
    </x:row>
    <x:row r="414" ht="23" customHeight="1">
      <x:c r="B414" s="8" t="str">
        <x:v>APP000409</x:v>
      </x:c>
      <x:c r="C414" s="8" t="n">
        <x:v>50</x:v>
      </x:c>
      <x:c r="D414" s="8" t="n">
        <x:v>1</x:v>
      </x:c>
    </x:row>
    <x:row r="415" ht="23" customHeight="1">
      <x:c r="B415" s="8" t="str">
        <x:v>APP000410</x:v>
      </x:c>
      <x:c r="C415" s="8" t="n">
        <x:v>57</x:v>
      </x:c>
      <x:c r="D415" s="8" t="n">
        <x:v>1</x:v>
      </x:c>
    </x:row>
    <x:row r="416" ht="23" customHeight="1">
      <x:c r="B416" s="8" t="str">
        <x:v>APP000411</x:v>
      </x:c>
      <x:c r="C416" s="8" t="n">
        <x:v>64</x:v>
      </x:c>
      <x:c r="D416" s="8" t="n">
        <x:v>1</x:v>
      </x:c>
    </x:row>
    <x:row r="417" ht="23" customHeight="1">
      <x:c r="B417" s="8" t="str">
        <x:v>APP000412</x:v>
      </x:c>
      <x:c r="C417" s="8" t="n">
        <x:v>71</x:v>
      </x:c>
      <x:c r="D417" s="8" t="n">
        <x:v>1</x:v>
      </x:c>
    </x:row>
    <x:row r="418" ht="23" customHeight="1">
      <x:c r="B418" s="8" t="str">
        <x:v>APP000413</x:v>
      </x:c>
      <x:c r="C418" s="8" t="n">
        <x:v>78</x:v>
      </x:c>
      <x:c r="D418" s="8" t="n">
        <x:v>1</x:v>
      </x:c>
    </x:row>
    <x:row r="419" ht="23" customHeight="1">
      <x:c r="B419" s="8" t="str">
        <x:v>APP000414</x:v>
      </x:c>
      <x:c r="C419" s="8" t="n">
        <x:v>85</x:v>
      </x:c>
      <x:c r="D419" s="8" t="n">
        <x:v>1</x:v>
      </x:c>
    </x:row>
    <x:row r="420" ht="23" customHeight="1">
      <x:c r="B420" s="8" t="str">
        <x:v>APP000415</x:v>
      </x:c>
      <x:c r="C420" s="8" t="n">
        <x:v>92</x:v>
      </x:c>
      <x:c r="D420" s="8" t="n">
        <x:v>1</x:v>
      </x:c>
    </x:row>
    <x:row r="421" ht="23" customHeight="1">
      <x:c r="B421" s="8" t="str">
        <x:v>APP000416</x:v>
      </x:c>
      <x:c r="C421" s="8" t="n">
        <x:v>99</x:v>
      </x:c>
      <x:c r="D421" s="8" t="n">
        <x:v>1</x:v>
      </x:c>
    </x:row>
    <x:row r="422" ht="23" customHeight="1">
      <x:c r="B422" s="8" t="str">
        <x:v>APP000417</x:v>
      </x:c>
      <x:c r="C422" s="8" t="n">
        <x:v>55</x:v>
      </x:c>
      <x:c r="D422" s="8" t="n">
        <x:v>1</x:v>
      </x:c>
    </x:row>
    <x:row r="423" ht="23" customHeight="1">
      <x:c r="B423" s="8" t="str">
        <x:v>APP000418</x:v>
      </x:c>
      <x:c r="C423" s="8" t="n">
        <x:v>62</x:v>
      </x:c>
      <x:c r="D423" s="8" t="n">
        <x:v>1</x:v>
      </x:c>
    </x:row>
    <x:row r="424" ht="23" customHeight="1">
      <x:c r="B424" s="8" t="str">
        <x:v>APP000419</x:v>
      </x:c>
      <x:c r="C424" s="8" t="n">
        <x:v>69</x:v>
      </x:c>
      <x:c r="D424" s="8" t="n">
        <x:v>0</x:v>
      </x:c>
    </x:row>
    <x:row r="425" ht="23" customHeight="1">
      <x:c r="B425" s="8" t="str">
        <x:v>APP000420</x:v>
      </x:c>
      <x:c r="C425" s="8" t="n">
        <x:v>76</x:v>
      </x:c>
      <x:c r="D425" s="8" t="n">
        <x:v>1</x:v>
      </x:c>
    </x:row>
    <x:row r="426" ht="23" customHeight="1">
      <x:c r="B426" s="8" t="str">
        <x:v>APP000421</x:v>
      </x:c>
      <x:c r="C426" s="8" t="n">
        <x:v>83</x:v>
      </x:c>
      <x:c r="D426" s="8" t="n">
        <x:v>1</x:v>
      </x:c>
    </x:row>
    <x:row r="427" ht="23" customHeight="1">
      <x:c r="B427" s="8" t="str">
        <x:v>APP000422</x:v>
      </x:c>
      <x:c r="C427" s="8" t="n">
        <x:v>90</x:v>
      </x:c>
      <x:c r="D427" s="8" t="n">
        <x:v>1</x:v>
      </x:c>
    </x:row>
    <x:row r="428" ht="23" customHeight="1">
      <x:c r="B428" s="8" t="str">
        <x:v>APP000423</x:v>
      </x:c>
      <x:c r="C428" s="8" t="n">
        <x:v>97</x:v>
      </x:c>
      <x:c r="D428" s="8" t="n">
        <x:v>1</x:v>
      </x:c>
    </x:row>
    <x:row r="429" ht="23" customHeight="1">
      <x:c r="B429" s="8" t="str">
        <x:v>APP000424</x:v>
      </x:c>
      <x:c r="C429" s="8" t="n">
        <x:v>53</x:v>
      </x:c>
      <x:c r="D429" s="8" t="n">
        <x:v>1</x:v>
      </x:c>
    </x:row>
    <x:row r="430" ht="23" customHeight="1">
      <x:c r="B430" s="8" t="str">
        <x:v>APP000425</x:v>
      </x:c>
      <x:c r="C430" s="8" t="n">
        <x:v>60</x:v>
      </x:c>
      <x:c r="D430" s="8" t="n">
        <x:v>1</x:v>
      </x:c>
    </x:row>
    <x:row r="431" ht="23" customHeight="1">
      <x:c r="B431" s="8" t="str">
        <x:v>APP000426</x:v>
      </x:c>
      <x:c r="C431" s="8" t="n">
        <x:v>67</x:v>
      </x:c>
      <x:c r="D431" s="8" t="n">
        <x:v>1</x:v>
      </x:c>
    </x:row>
    <x:row r="432" ht="23" customHeight="1">
      <x:c r="B432" s="8" t="str">
        <x:v>APP000427</x:v>
      </x:c>
      <x:c r="C432" s="8" t="n">
        <x:v>74</x:v>
      </x:c>
      <x:c r="D432" s="8" t="n">
        <x:v>1</x:v>
      </x:c>
    </x:row>
    <x:row r="433" ht="23" customHeight="1">
      <x:c r="B433" s="8" t="str">
        <x:v>APP000428</x:v>
      </x:c>
      <x:c r="C433" s="8" t="n">
        <x:v>81</x:v>
      </x:c>
      <x:c r="D433" s="8" t="n">
        <x:v>1</x:v>
      </x:c>
    </x:row>
    <x:row r="434" ht="23" customHeight="1">
      <x:c r="B434" s="8" t="str">
        <x:v>APP000429</x:v>
      </x:c>
      <x:c r="C434" s="8" t="n">
        <x:v>88</x:v>
      </x:c>
      <x:c r="D434" s="8" t="n">
        <x:v>1</x:v>
      </x:c>
    </x:row>
    <x:row r="435" ht="23" customHeight="1">
      <x:c r="B435" s="8" t="str">
        <x:v>APP000430</x:v>
      </x:c>
      <x:c r="C435" s="8" t="n">
        <x:v>95</x:v>
      </x:c>
      <x:c r="D435" s="8" t="n">
        <x:v>1</x:v>
      </x:c>
    </x:row>
    <x:row r="436" ht="23" customHeight="1">
      <x:c r="B436" s="8" t="str">
        <x:v>APP000431</x:v>
      </x:c>
      <x:c r="C436" s="8" t="n">
        <x:v>51</x:v>
      </x:c>
      <x:c r="D436" s="8" t="n">
        <x:v>1</x:v>
      </x:c>
    </x:row>
    <x:row r="437" ht="23" customHeight="1">
      <x:c r="B437" s="8" t="str">
        <x:v>APP000432</x:v>
      </x:c>
      <x:c r="C437" s="8" t="n">
        <x:v>58</x:v>
      </x:c>
      <x:c r="D437" s="8" t="n">
        <x:v>1</x:v>
      </x:c>
    </x:row>
    <x:row r="438" ht="23" customHeight="1">
      <x:c r="B438" s="8" t="str">
        <x:v>APP000433</x:v>
      </x:c>
      <x:c r="C438" s="8" t="n">
        <x:v>65</x:v>
      </x:c>
      <x:c r="D438" s="8" t="n">
        <x:v>1</x:v>
      </x:c>
    </x:row>
    <x:row r="439" ht="23" customHeight="1">
      <x:c r="B439" s="8" t="str">
        <x:v>APP000434</x:v>
      </x:c>
      <x:c r="C439" s="8" t="n">
        <x:v>72</x:v>
      </x:c>
      <x:c r="D439" s="8" t="n">
        <x:v>1</x:v>
      </x:c>
    </x:row>
    <x:row r="440" ht="23" customHeight="1">
      <x:c r="B440" s="8" t="str">
        <x:v>APP000435</x:v>
      </x:c>
      <x:c r="C440" s="8" t="n">
        <x:v>79</x:v>
      </x:c>
      <x:c r="D440" s="8" t="n">
        <x:v>1</x:v>
      </x:c>
    </x:row>
    <x:row r="441" ht="23" customHeight="1">
      <x:c r="B441" s="8" t="str">
        <x:v>APP000436</x:v>
      </x:c>
      <x:c r="C441" s="8" t="n">
        <x:v>86</x:v>
      </x:c>
      <x:c r="D441" s="8" t="n">
        <x:v>1</x:v>
      </x:c>
    </x:row>
    <x:row r="442" ht="23" customHeight="1">
      <x:c r="B442" s="8" t="str">
        <x:v>APP000437</x:v>
      </x:c>
      <x:c r="C442" s="8" t="n">
        <x:v>93</x:v>
      </x:c>
      <x:c r="D442" s="8" t="n">
        <x:v>1</x:v>
      </x:c>
    </x:row>
    <x:row r="443" ht="23" customHeight="1">
      <x:c r="B443" s="8" t="str">
        <x:v>APP000438</x:v>
      </x:c>
      <x:c r="C443" s="8" t="n">
        <x:v>100</x:v>
      </x:c>
      <x:c r="D443" s="8" t="n">
        <x:v>0</x:v>
      </x:c>
    </x:row>
    <x:row r="444" ht="23" customHeight="1">
      <x:c r="B444" s="8" t="str">
        <x:v>APP000439</x:v>
      </x:c>
      <x:c r="C444" s="8" t="n">
        <x:v>56</x:v>
      </x:c>
      <x:c r="D444" s="8" t="n">
        <x:v>1</x:v>
      </x:c>
    </x:row>
    <x:row r="445" ht="23" customHeight="1">
      <x:c r="B445" s="8" t="str">
        <x:v>APP000440</x:v>
      </x:c>
      <x:c r="C445" s="8" t="n">
        <x:v>63</x:v>
      </x:c>
      <x:c r="D445" s="8" t="n">
        <x:v>1</x:v>
      </x:c>
    </x:row>
    <x:row r="446" ht="23" customHeight="1">
      <x:c r="B446" s="8" t="str">
        <x:v>APP000441</x:v>
      </x:c>
      <x:c r="C446" s="8" t="n">
        <x:v>70</x:v>
      </x:c>
      <x:c r="D446" s="8" t="n">
        <x:v>1</x:v>
      </x:c>
    </x:row>
    <x:row r="447" ht="23" customHeight="1">
      <x:c r="B447" s="8" t="str">
        <x:v>APP000442</x:v>
      </x:c>
      <x:c r="C447" s="8" t="n">
        <x:v>77</x:v>
      </x:c>
      <x:c r="D447" s="8" t="n">
        <x:v>1</x:v>
      </x:c>
    </x:row>
    <x:row r="448" ht="23" customHeight="1">
      <x:c r="B448" s="8" t="str">
        <x:v>APP000443</x:v>
      </x:c>
      <x:c r="C448" s="8" t="n">
        <x:v>84</x:v>
      </x:c>
      <x:c r="D448" s="8" t="n">
        <x:v>1</x:v>
      </x:c>
    </x:row>
    <x:row r="449" ht="23" customHeight="1">
      <x:c r="B449" s="8" t="str">
        <x:v>APP000444</x:v>
      </x:c>
      <x:c r="C449" s="8" t="n">
        <x:v>91</x:v>
      </x:c>
      <x:c r="D449" s="8" t="n">
        <x:v>1</x:v>
      </x:c>
    </x:row>
    <x:row r="450" ht="23" customHeight="1">
      <x:c r="B450" s="8" t="str">
        <x:v>APP000445</x:v>
      </x:c>
      <x:c r="C450" s="8" t="n">
        <x:v>98</x:v>
      </x:c>
      <x:c r="D450" s="8" t="n">
        <x:v>1</x:v>
      </x:c>
    </x:row>
    <x:row r="451" ht="23" customHeight="1">
      <x:c r="B451" s="8" t="str">
        <x:v>APP000446</x:v>
      </x:c>
      <x:c r="C451" s="8" t="n">
        <x:v>54</x:v>
      </x:c>
      <x:c r="D451" s="8" t="n">
        <x:v>1</x:v>
      </x:c>
    </x:row>
    <x:row r="452" ht="23" customHeight="1">
      <x:c r="B452" s="8" t="str">
        <x:v>APP000447</x:v>
      </x:c>
      <x:c r="C452" s="8" t="n">
        <x:v>61</x:v>
      </x:c>
      <x:c r="D452" s="8" t="n">
        <x:v>1</x:v>
      </x:c>
    </x:row>
    <x:row r="453" ht="23" customHeight="1">
      <x:c r="B453" s="8" t="str">
        <x:v>APP000448</x:v>
      </x:c>
      <x:c r="C453" s="8" t="n">
        <x:v>68</x:v>
      </x:c>
      <x:c r="D453" s="8" t="n">
        <x:v>1</x:v>
      </x:c>
    </x:row>
    <x:row r="454" ht="23" customHeight="1">
      <x:c r="B454" s="8" t="str">
        <x:v>APP000449</x:v>
      </x:c>
      <x:c r="C454" s="8" t="n">
        <x:v>75</x:v>
      </x:c>
      <x:c r="D454" s="8" t="n">
        <x:v>1</x:v>
      </x:c>
    </x:row>
    <x:row r="455" ht="23" customHeight="1">
      <x:c r="B455" s="8" t="str">
        <x:v>APP000450</x:v>
      </x:c>
      <x:c r="C455" s="8" t="n">
        <x:v>82</x:v>
      </x:c>
      <x:c r="D455" s="8" t="n">
        <x:v>1</x:v>
      </x:c>
    </x:row>
    <x:row r="456" ht="23" customHeight="1">
      <x:c r="B456" s="8" t="str">
        <x:v>APP000451</x:v>
      </x:c>
      <x:c r="C456" s="8" t="n">
        <x:v>89</x:v>
      </x:c>
      <x:c r="D456" s="8" t="n">
        <x:v>1</x:v>
      </x:c>
    </x:row>
    <x:row r="457" ht="23" customHeight="1">
      <x:c r="B457" s="8" t="str">
        <x:v>APP000452</x:v>
      </x:c>
      <x:c r="C457" s="8" t="n">
        <x:v>96</x:v>
      </x:c>
      <x:c r="D457" s="8" t="n">
        <x:v>1</x:v>
      </x:c>
    </x:row>
    <x:row r="458" ht="23" customHeight="1">
      <x:c r="B458" s="8" t="str">
        <x:v>APP000453</x:v>
      </x:c>
      <x:c r="C458" s="8" t="n">
        <x:v>52</x:v>
      </x:c>
      <x:c r="D458" s="8" t="n">
        <x:v>1</x:v>
      </x:c>
    </x:row>
    <x:row r="459" ht="23" customHeight="1">
      <x:c r="B459" s="8" t="str">
        <x:v>APP000454</x:v>
      </x:c>
      <x:c r="C459" s="8" t="n">
        <x:v>59</x:v>
      </x:c>
      <x:c r="D459" s="8" t="n">
        <x:v>1</x:v>
      </x:c>
    </x:row>
    <x:row r="460" ht="23" customHeight="1">
      <x:c r="B460" s="8" t="str">
        <x:v>APP000455</x:v>
      </x:c>
      <x:c r="C460" s="8" t="n">
        <x:v>66</x:v>
      </x:c>
      <x:c r="D460" s="8" t="n">
        <x:v>1</x:v>
      </x:c>
    </x:row>
    <x:row r="461" ht="23" customHeight="1">
      <x:c r="B461" s="8" t="str">
        <x:v>APP000456</x:v>
      </x:c>
      <x:c r="C461" s="8" t="n">
        <x:v>73</x:v>
      </x:c>
      <x:c r="D461" s="8" t="n">
        <x:v>1</x:v>
      </x:c>
    </x:row>
    <x:row r="462" ht="23" customHeight="1">
      <x:c r="B462" s="8" t="str">
        <x:v>APP000457</x:v>
      </x:c>
      <x:c r="C462" s="8" t="n">
        <x:v>80</x:v>
      </x:c>
      <x:c r="D462" s="8" t="n">
        <x:v>0</x:v>
      </x:c>
    </x:row>
    <x:row r="463" ht="23" customHeight="1">
      <x:c r="B463" s="8" t="str">
        <x:v>APP000458</x:v>
      </x:c>
      <x:c r="C463" s="8" t="n">
        <x:v>87</x:v>
      </x:c>
      <x:c r="D463" s="8" t="n">
        <x:v>1</x:v>
      </x:c>
    </x:row>
    <x:row r="464" ht="23" customHeight="1">
      <x:c r="B464" s="8" t="str">
        <x:v>APP000459</x:v>
      </x:c>
      <x:c r="C464" s="8" t="n">
        <x:v>94</x:v>
      </x:c>
      <x:c r="D464" s="8" t="n">
        <x:v>1</x:v>
      </x:c>
    </x:row>
    <x:row r="465" ht="23" customHeight="1">
      <x:c r="B465" s="8" t="str">
        <x:v>APP000460</x:v>
      </x:c>
      <x:c r="C465" s="8" t="n">
        <x:v>50</x:v>
      </x:c>
      <x:c r="D465" s="8" t="n">
        <x:v>1</x:v>
      </x:c>
    </x:row>
    <x:row r="466" ht="23" customHeight="1">
      <x:c r="B466" s="8" t="str">
        <x:v>APP000461</x:v>
      </x:c>
      <x:c r="C466" s="8" t="n">
        <x:v>57</x:v>
      </x:c>
      <x:c r="D466" s="8" t="n">
        <x:v>1</x:v>
      </x:c>
    </x:row>
    <x:row r="467" ht="23" customHeight="1">
      <x:c r="B467" s="8" t="str">
        <x:v>APP000462</x:v>
      </x:c>
      <x:c r="C467" s="8" t="n">
        <x:v>64</x:v>
      </x:c>
      <x:c r="D467" s="8" t="n">
        <x:v>1</x:v>
      </x:c>
    </x:row>
    <x:row r="468" ht="23" customHeight="1">
      <x:c r="B468" s="8" t="str">
        <x:v>APP000463</x:v>
      </x:c>
      <x:c r="C468" s="8" t="n">
        <x:v>71</x:v>
      </x:c>
      <x:c r="D468" s="8" t="n">
        <x:v>1</x:v>
      </x:c>
    </x:row>
    <x:row r="469" ht="23" customHeight="1">
      <x:c r="B469" s="8" t="str">
        <x:v>APP000464</x:v>
      </x:c>
      <x:c r="C469" s="8" t="n">
        <x:v>78</x:v>
      </x:c>
      <x:c r="D469" s="8" t="n">
        <x:v>1</x:v>
      </x:c>
    </x:row>
    <x:row r="470" ht="23" customHeight="1">
      <x:c r="B470" s="8" t="str">
        <x:v>APP000465</x:v>
      </x:c>
      <x:c r="C470" s="8" t="n">
        <x:v>85</x:v>
      </x:c>
      <x:c r="D470" s="8" t="n">
        <x:v>1</x:v>
      </x:c>
    </x:row>
    <x:row r="471" ht="23" customHeight="1">
      <x:c r="B471" s="8" t="str">
        <x:v>APP000466</x:v>
      </x:c>
      <x:c r="C471" s="8" t="n">
        <x:v>92</x:v>
      </x:c>
      <x:c r="D471" s="8" t="n">
        <x:v>1</x:v>
      </x:c>
    </x:row>
    <x:row r="472" ht="23" customHeight="1">
      <x:c r="B472" s="8" t="str">
        <x:v>APP000467</x:v>
      </x:c>
      <x:c r="C472" s="8" t="n">
        <x:v>99</x:v>
      </x:c>
      <x:c r="D472" s="8" t="n">
        <x:v>1</x:v>
      </x:c>
    </x:row>
    <x:row r="473" ht="23" customHeight="1">
      <x:c r="B473" s="8" t="str">
        <x:v>APP000468</x:v>
      </x:c>
      <x:c r="C473" s="8" t="n">
        <x:v>55</x:v>
      </x:c>
      <x:c r="D473" s="8" t="n">
        <x:v>1</x:v>
      </x:c>
    </x:row>
    <x:row r="474" ht="23" customHeight="1">
      <x:c r="B474" s="8" t="str">
        <x:v>APP000469</x:v>
      </x:c>
      <x:c r="C474" s="8" t="n">
        <x:v>62</x:v>
      </x:c>
      <x:c r="D474" s="8" t="n">
        <x:v>1</x:v>
      </x:c>
    </x:row>
    <x:row r="475" ht="23" customHeight="1">
      <x:c r="B475" s="8" t="str">
        <x:v>APP000470</x:v>
      </x:c>
      <x:c r="C475" s="8" t="n">
        <x:v>69</x:v>
      </x:c>
      <x:c r="D475" s="8" t="n">
        <x:v>1</x:v>
      </x:c>
    </x:row>
    <x:row r="476" ht="23" customHeight="1">
      <x:c r="B476" s="8" t="str">
        <x:v>APP000471</x:v>
      </x:c>
      <x:c r="C476" s="8" t="n">
        <x:v>76</x:v>
      </x:c>
      <x:c r="D476" s="8" t="n">
        <x:v>1</x:v>
      </x:c>
    </x:row>
    <x:row r="477" ht="23" customHeight="1">
      <x:c r="B477" s="8" t="str">
        <x:v>APP000472</x:v>
      </x:c>
      <x:c r="C477" s="8" t="n">
        <x:v>83</x:v>
      </x:c>
      <x:c r="D477" s="8" t="n">
        <x:v>1</x:v>
      </x:c>
    </x:row>
    <x:row r="478" ht="23" customHeight="1">
      <x:c r="B478" s="8" t="str">
        <x:v>APP000473</x:v>
      </x:c>
      <x:c r="C478" s="8" t="n">
        <x:v>90</x:v>
      </x:c>
      <x:c r="D478" s="8" t="n">
        <x:v>1</x:v>
      </x:c>
    </x:row>
    <x:row r="479" ht="23" customHeight="1">
      <x:c r="B479" s="8" t="str">
        <x:v>APP000474</x:v>
      </x:c>
      <x:c r="C479" s="8" t="n">
        <x:v>97</x:v>
      </x:c>
      <x:c r="D479" s="8" t="n">
        <x:v>1</x:v>
      </x:c>
    </x:row>
    <x:row r="480" ht="23" customHeight="1">
      <x:c r="B480" s="8" t="str">
        <x:v>APP000475</x:v>
      </x:c>
      <x:c r="C480" s="8" t="n">
        <x:v>53</x:v>
      </x:c>
      <x:c r="D480" s="8" t="n">
        <x:v>1</x:v>
      </x:c>
    </x:row>
    <x:row r="481" ht="23" customHeight="1">
      <x:c r="B481" s="8" t="str">
        <x:v>APP000476</x:v>
      </x:c>
      <x:c r="C481" s="8" t="n">
        <x:v>60</x:v>
      </x:c>
      <x:c r="D481" s="8" t="n">
        <x:v>0</x:v>
      </x:c>
    </x:row>
    <x:row r="482" ht="23" customHeight="1">
      <x:c r="B482" s="8" t="str">
        <x:v>APP000477</x:v>
      </x:c>
      <x:c r="C482" s="8" t="n">
        <x:v>67</x:v>
      </x:c>
      <x:c r="D482" s="8" t="n">
        <x:v>1</x:v>
      </x:c>
    </x:row>
    <x:row r="483" ht="23" customHeight="1">
      <x:c r="B483" s="8" t="str">
        <x:v>APP000478</x:v>
      </x:c>
      <x:c r="C483" s="8" t="n">
        <x:v>74</x:v>
      </x:c>
      <x:c r="D483" s="8" t="n">
        <x:v>1</x:v>
      </x:c>
    </x:row>
    <x:row r="484" ht="23" customHeight="1">
      <x:c r="B484" s="8" t="str">
        <x:v>APP000479</x:v>
      </x:c>
      <x:c r="C484" s="8" t="n">
        <x:v>81</x:v>
      </x:c>
      <x:c r="D484" s="8" t="n">
        <x:v>1</x:v>
      </x:c>
    </x:row>
    <x:row r="485" ht="23" customHeight="1">
      <x:c r="B485" s="8" t="str">
        <x:v>APP000480</x:v>
      </x:c>
      <x:c r="C485" s="8" t="n">
        <x:v>88</x:v>
      </x:c>
      <x:c r="D485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edf6202f3ac45b8"/>
  </x:tableParts>
</x:worksheet>
</file>

<file path=xl/worksheets/sheet6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" hidden="0" customWidth="1"/>
    <ns0:col min="2" max="2" width="16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</ns0:cols>
  <ns0:sheetData>
    <ns0:row r="1" ht="24" customHeight="1">
      <ns0:c r="A1" s="2"/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  <ns0:c r="O1" s="2"/>
      <ns0:c r="P1" s="2"/>
    </ns0:row>
    <ns0:row r="2" ht="24" customHeight="1">
      <ns0:c r="A2" s="2"/>
      <ns0:c r="B2" s="3" t="str">
        <ns0:v>사원기준 (가상 시험 자료)</ns0:v>
      </ns0:c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  <ns0:c r="O2" s="2"/>
      <ns0:c r="P2" s="2"/>
    </ns0:row>
    <ns0:row r="3" ht="24" customHeight="1">
      <ns0:c r="A3" s="2"/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  <ns0:c r="O3" s="2"/>
      <ns0:c r="P3" s="2"/>
    </ns0:row>
    <ns0:row r="4" ht="24" customHeight="1">
      <ns0:c r="A4" s="2"/>
      <ns0:c r="B4" s="2"/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  <ns0:c r="O4" s="2"/>
      <ns0:c r="P4" s="2"/>
    </ns0:row>
    <ns0:row r="5" ht="23" customHeight="1">
      <ns0:c r="A5" s="2"/>
      <ns0:c r="B5" s="6" t="str">
        <ns0:v>사번</ns0:v>
      </ns0:c>
      <ns0:c r="C5" s="6" t="str">
        <ns0:v>이름</ns0:v>
      </ns0:c>
      <ns0:c r="D5" s="6" t="str">
        <ns0:v>부서</ns0:v>
      </ns0:c>
      <ns0:c r="E5" s="6" t="str">
        <ns0:v>직급</ns0:v>
      </ns0:c>
      <ns0:c r="F5" s="6" t="str">
        <ns0:v>활성</ns0:v>
      </ns0:c>
      <ns0:c r="G5" s="2"/>
      <ns0:c r="H5" s="2"/>
      <ns0:c r="I5" s="2"/>
      <ns0:c r="J5" s="2"/>
      <ns0:c r="K5" s="2"/>
      <ns0:c r="L5" s="2"/>
      <ns0:c r="M5" s="2"/>
      <ns0:c r="N5" s="2"/>
      <ns0:c r="O5" s="2"/>
      <ns0:c r="P5" s="2"/>
    </ns0:row>
    <ns0:row r="6" ht="23" customHeight="1">
      <ns0:c r="A6" s="2"/>
      <ns0:c r="B6" s="9" t="str">
        <ns0:v>000001</ns0:v>
      </ns0:c>
      <ns0:c r="C6" s="2" t="str">
        <ns0:v>가상사원1</ns0:v>
      </ns0:c>
      <ns0:c r="D6" s="2" t="str">
        <ns0:v>개발</ns0:v>
      </ns0:c>
      <ns0:c r="E6" s="2" t="str">
        <ns0:v>사원</ns0:v>
      </ns0:c>
      <ns0:c r="F6" s="2" t="n">
        <ns0:v>0</ns0:v>
      </ns0:c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</ns0:row>
    <ns0:row r="7" ht="23" customHeight="1">
      <ns0:c r="A7" s="2"/>
      <ns0:c r="B7" s="9" t="str">
        <ns0:v>000002</ns0:v>
      </ns0:c>
      <ns0:c r="C7" s="2" t="str">
        <ns0:v>가상사원2</ns0:v>
      </ns0:c>
      <ns0:c r="D7" s="2" t="str">
        <ns0:v>생산</ns0:v>
      </ns0:c>
      <ns0:c r="E7" s="2" t="str">
        <ns0:v>선임</ns0:v>
      </ns0:c>
      <ns0:c r="F7" s="2" t="n">
        <ns0:v>1</ns0:v>
      </ns0:c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</ns0:row>
    <ns0:row r="8" ht="23" customHeight="1">
      <ns0:c r="A8" s="2"/>
      <ns0:c r="B8" s="9" t="str">
        <ns0:v>000003</ns0:v>
      </ns0:c>
      <ns0:c r="C8" s="2" t="str">
        <ns0:v>가상사원3</ns0:v>
      </ns0:c>
      <ns0:c r="D8" s="2" t="str">
        <ns0:v>품질</ns0:v>
      </ns0:c>
      <ns0:c r="E8" s="2" t="str">
        <ns0:v>책임</ns0:v>
      </ns0:c>
      <ns0:c r="F8" s="2" t="n">
        <ns0:v>1</ns0:v>
      </ns0:c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</ns0:row>
    <ns0:row r="9" ht="23" customHeight="1">
      <ns0:c r="A9" s="2"/>
      <ns0:c r="B9" s="9" t="str">
        <ns0:v>000004</ns0:v>
      </ns0:c>
      <ns0:c r="C9" s="2" t="str">
        <ns0:v>가상사원4</ns0:v>
      </ns0:c>
      <ns0:c r="D9" s="2" t="str">
        <ns0:v>기획</ns0:v>
      </ns0:c>
      <ns0:c r="E9" s="2" t="str">
        <ns0:v>사원</ns0:v>
      </ns0:c>
      <ns0:c r="F9" s="2" t="n">
        <ns0:v>1</ns0:v>
      </ns0:c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</ns0:row>
    <ns0:row r="10" ht="23" customHeight="1">
      <ns0:c r="A10" s="2"/>
      <ns0:c r="B10" s="9" t="str">
        <ns0:v>000005</ns0:v>
      </ns0:c>
      <ns0:c r="C10" s="2" t="str">
        <ns0:v>가상사원5</ns0:v>
      </ns0:c>
      <ns0:c r="D10" s="2" t="str">
        <ns0:v>영업</ns0:v>
      </ns0:c>
      <ns0:c r="E10" s="2" t="str">
        <ns0:v>선임</ns0:v>
      </ns0:c>
      <ns0:c r="F10" s="2" t="n">
        <ns0:v>1</ns0:v>
      </ns0:c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</ns0:row>
    <ns0:row r="11" ht="23" customHeight="1">
      <ns0:c r="A11" s="2"/>
      <ns0:c r="B11" s="9" t="str">
        <ns0:v>000006</ns0:v>
      </ns0:c>
      <ns0:c r="C11" s="2" t="str">
        <ns0:v>가상사원6</ns0:v>
      </ns0:c>
      <ns0:c r="D11" s="2" t="str">
        <ns0:v>지원</ns0:v>
      </ns0:c>
      <ns0:c r="E11" s="2" t="str">
        <ns0:v>책임</ns0:v>
      </ns0:c>
      <ns0:c r="F11" s="2" t="n">
        <ns0:v>1</ns0:v>
      </ns0:c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</ns0:row>
    <ns0:row r="12" ht="23" customHeight="1" hidden="1">
      <ns0:c r="A12" s="2"/>
      <ns0:c r="B12" s="9" t="str">
        <ns0:v>000007</ns0:v>
      </ns0:c>
      <ns0:c r="C12" s="2" t="str">
        <ns0:v>가상사원7</ns0:v>
      </ns0:c>
      <ns0:c r="D12" s="2" t="str">
        <ns0:v>개발</ns0:v>
      </ns0:c>
      <ns0:c r="E12" s="2" t="str">
        <ns0:v>사원</ns0:v>
      </ns0:c>
      <ns0:c r="F12" s="2" t="n">
        <ns0:v>1</ns0:v>
      </ns0:c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</ns0:row>
    <ns0:row r="13" ht="23" customHeight="1">
      <ns0:c r="A13" s="2"/>
      <ns0:c r="B13" s="9" t="str">
        <ns0:v>000008</ns0:v>
      </ns0:c>
      <ns0:c r="C13" s="2" t="str">
        <ns0:v>가상사원8</ns0:v>
      </ns0:c>
      <ns0:c r="D13" s="2" t="str">
        <ns0:v>생산</ns0:v>
      </ns0:c>
      <ns0:c r="E13" s="2" t="str">
        <ns0:v>선임</ns0:v>
      </ns0:c>
      <ns0:c r="F13" s="2" t="n">
        <ns0:v>1</ns0:v>
      </ns0:c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</ns0:row>
    <ns0:row r="14" ht="23" customHeight="1">
      <ns0:c r="A14" s="2"/>
      <ns0:c r="B14" s="9" t="str">
        <ns0:v>000009</ns0:v>
      </ns0:c>
      <ns0:c r="C14" s="2" t="str">
        <ns0:v>가상사원9</ns0:v>
      </ns0:c>
      <ns0:c r="D14" s="2" t="str">
        <ns0:v>품질</ns0:v>
      </ns0:c>
      <ns0:c r="E14" s="2" t="str">
        <ns0:v>책임</ns0:v>
      </ns0:c>
      <ns0:c r="F14" s="2" t="n">
        <ns0:v>1</ns0:v>
      </ns0:c>
      <ns0:c r="G14" s="2"/>
      <ns0:c r="H14" s="2"/>
      <ns0:c r="I14" s="2"/>
      <ns0:c r="J14" s="2"/>
      <ns0:c r="K14" s="2"/>
      <ns0:c r="L14" s="2"/>
      <ns0:c r="M14" s="2"/>
      <ns0:c r="N14" s="2"/>
      <ns0:c r="O14" s="2"/>
      <ns0:c r="P14" s="2"/>
    </ns0:row>
    <ns0:row r="15" ht="23" customHeight="1">
      <ns0:c r="A15" s="2"/>
      <ns0:c r="B15" s="9" t="str">
        <ns0:v>000010</ns0:v>
      </ns0:c>
      <ns0:c r="C15" s="2" t="str">
        <ns0:v>가상사원10</ns0:v>
      </ns0:c>
      <ns0:c r="D15" s="2" t="str">
        <ns0:v>기획</ns0:v>
      </ns0:c>
      <ns0:c r="E15" s="2" t="str">
        <ns0:v>사원</ns0:v>
      </ns0:c>
      <ns0:c r="F15" s="2" t="n">
        <ns0:v>1</ns0:v>
      </ns0:c>
      <ns0:c r="G15" s="2"/>
      <ns0:c r="H15" s="2"/>
      <ns0:c r="I15" s="2"/>
      <ns0:c r="J15" s="2"/>
      <ns0:c r="K15" s="2"/>
      <ns0:c r="L15" s="2"/>
      <ns0:c r="M15" s="2"/>
      <ns0:c r="N15" s="2"/>
      <ns0:c r="O15" s="2"/>
      <ns0:c r="P15" s="2"/>
    </ns0:row>
    <ns0:row r="16" ht="23" customHeight="1">
      <ns0:c r="A16" s="2"/>
      <ns0:c r="B16" s="9" t="str">
        <ns0:v>000011</ns0:v>
      </ns0:c>
      <ns0:c r="C16" s="2" t="str">
        <ns0:v>가상사원11</ns0:v>
      </ns0:c>
      <ns0:c r="D16" s="2" t="str">
        <ns0:v>영업</ns0:v>
      </ns0:c>
      <ns0:c r="E16" s="2" t="str">
        <ns0:v>선임</ns0:v>
      </ns0:c>
      <ns0:c r="F16" s="2" t="n">
        <ns0:v>1</ns0:v>
      </ns0:c>
      <ns0:c r="G16" s="2"/>
      <ns0:c r="H16" s="2"/>
      <ns0:c r="I16" s="2"/>
      <ns0:c r="J16" s="2"/>
      <ns0:c r="K16" s="2"/>
      <ns0:c r="L16" s="2"/>
      <ns0:c r="M16" s="2"/>
      <ns0:c r="N16" s="2"/>
      <ns0:c r="O16" s="2"/>
      <ns0:c r="P16" s="2"/>
    </ns0:row>
    <ns0:row r="17" ht="23" customHeight="1">
      <ns0:c r="A17" s="2"/>
      <ns0:c r="B17" s="9" t="str">
        <ns0:v>000012</ns0:v>
      </ns0:c>
      <ns0:c r="C17" s="2" t="str">
        <ns0:v>가상사원12</ns0:v>
      </ns0:c>
      <ns0:c r="D17" s="2" t="str">
        <ns0:v>지원</ns0:v>
      </ns0:c>
      <ns0:c r="E17" s="2" t="str">
        <ns0:v>책임</ns0:v>
      </ns0:c>
      <ns0:c r="F17" s="2" t="n">
        <ns0:v>1</ns0:v>
      </ns0:c>
      <ns0:c r="G17" s="2"/>
      <ns0:c r="H17" s="2"/>
      <ns0:c r="I17" s="2"/>
      <ns0:c r="J17" s="2"/>
      <ns0:c r="K17" s="2"/>
      <ns0:c r="L17" s="2"/>
      <ns0:c r="M17" s="2"/>
      <ns0:c r="N17" s="2"/>
      <ns0:c r="O17" s="2"/>
      <ns0:c r="P17" s="2"/>
    </ns0:row>
    <ns0:row r="18" ht="23" customHeight="1">
      <ns0:c r="A18" s="2"/>
      <ns0:c r="B18" s="9" t="str">
        <ns0:v>000013</ns0:v>
      </ns0:c>
      <ns0:c r="C18" s="2" t="str">
        <ns0:v>가상사원13</ns0:v>
      </ns0:c>
      <ns0:c r="D18" s="2" t="str">
        <ns0:v>개발</ns0:v>
      </ns0:c>
      <ns0:c r="E18" s="2" t="str">
        <ns0:v>사원</ns0:v>
      </ns0:c>
      <ns0:c r="F18" s="2" t="n">
        <ns0:v>1</ns0:v>
      </ns0:c>
      <ns0:c r="G18" s="2"/>
      <ns0:c r="H18" s="2"/>
      <ns0:c r="I18" s="2"/>
      <ns0:c r="J18" s="2"/>
      <ns0:c r="K18" s="2"/>
      <ns0:c r="L18" s="2"/>
      <ns0:c r="M18" s="2"/>
      <ns0:c r="N18" s="2"/>
      <ns0:c r="O18" s="2"/>
      <ns0:c r="P18" s="2"/>
    </ns0:row>
    <ns0:row r="19" ht="23" customHeight="1">
      <ns0:c r="A19" s="2"/>
      <ns0:c r="B19" s="9" t="str">
        <ns0:v>000014</ns0:v>
      </ns0:c>
      <ns0:c r="C19" s="2" t="str">
        <ns0:v>가상사원14</ns0:v>
      </ns0:c>
      <ns0:c r="D19" s="2" t="str">
        <ns0:v>생산</ns0:v>
      </ns0:c>
      <ns0:c r="E19" s="2" t="str">
        <ns0:v>선임</ns0:v>
      </ns0:c>
      <ns0:c r="F19" s="2" t="n">
        <ns0:v>1</ns0:v>
      </ns0:c>
      <ns0:c r="G19" s="2"/>
      <ns0:c r="H19" s="2"/>
      <ns0:c r="I19" s="2"/>
      <ns0:c r="J19" s="2"/>
      <ns0:c r="K19" s="2"/>
      <ns0:c r="L19" s="2"/>
      <ns0:c r="M19" s="2"/>
      <ns0:c r="N19" s="2"/>
      <ns0:c r="O19" s="2"/>
      <ns0:c r="P19" s="2"/>
    </ns0:row>
    <ns0:row r="20" ht="23" customHeight="1">
      <ns0:c r="A20" s="2"/>
      <ns0:c r="B20" s="9" t="str">
        <ns0:v>000015</ns0:v>
      </ns0:c>
      <ns0:c r="C20" s="2" t="str">
        <ns0:v>가상사원15</ns0:v>
      </ns0:c>
      <ns0:c r="D20" s="2" t="str">
        <ns0:v>품질</ns0:v>
      </ns0:c>
      <ns0:c r="E20" s="2" t="str">
        <ns0:v>책임</ns0:v>
      </ns0:c>
      <ns0:c r="F20" s="2" t="n">
        <ns0:v>1</ns0:v>
      </ns0:c>
      <ns0:c r="G20" s="2"/>
      <ns0:c r="H20" s="2"/>
      <ns0:c r="I20" s="2"/>
      <ns0:c r="J20" s="2"/>
      <ns0:c r="K20" s="2"/>
      <ns0:c r="L20" s="2"/>
      <ns0:c r="M20" s="2"/>
      <ns0:c r="N20" s="2"/>
      <ns0:c r="O20" s="2"/>
      <ns0:c r="P20" s="2"/>
    </ns0:row>
    <ns0:row r="21" ht="23" customHeight="1">
      <ns0:c r="A21" s="2"/>
      <ns0:c r="B21" s="9" t="str">
        <ns0:v>000016</ns0:v>
      </ns0:c>
      <ns0:c r="C21" s="2" t="str">
        <ns0:v>가상사원16</ns0:v>
      </ns0:c>
      <ns0:c r="D21" s="2" t="str">
        <ns0:v>기획</ns0:v>
      </ns0:c>
      <ns0:c r="E21" s="2" t="str">
        <ns0:v>사원</ns0:v>
      </ns0:c>
      <ns0:c r="F21" s="2" t="n">
        <ns0:v>1</ns0:v>
      </ns0:c>
      <ns0:c r="G21" s="2"/>
      <ns0:c r="H21" s="2"/>
      <ns0:c r="I21" s="2"/>
      <ns0:c r="J21" s="2"/>
      <ns0:c r="K21" s="2"/>
      <ns0:c r="L21" s="2"/>
      <ns0:c r="M21" s="2"/>
      <ns0:c r="N21" s="2"/>
      <ns0:c r="O21" s="2"/>
      <ns0:c r="P21" s="2"/>
    </ns0:row>
    <ns0:row r="22" ht="23" customHeight="1">
      <ns0:c r="A22" s="2"/>
      <ns0:c r="B22" s="9" t="str">
        <ns0:v>000017</ns0:v>
      </ns0:c>
      <ns0:c r="C22" s="2" t="str">
        <ns0:v>가상사원17</ns0:v>
      </ns0:c>
      <ns0:c r="D22" s="2" t="str">
        <ns0:v>영업</ns0:v>
      </ns0:c>
      <ns0:c r="E22" s="2" t="str">
        <ns0:v>선임</ns0:v>
      </ns0:c>
      <ns0:c r="F22" s="2" t="n">
        <ns0:v>1</ns0:v>
      </ns0:c>
      <ns0:c r="G22" s="2"/>
      <ns0:c r="H22" s="2"/>
      <ns0:c r="I22" s="2"/>
      <ns0:c r="J22" s="2"/>
      <ns0:c r="K22" s="2"/>
      <ns0:c r="L22" s="2"/>
      <ns0:c r="M22" s="2"/>
      <ns0:c r="N22" s="2"/>
      <ns0:c r="O22" s="2"/>
      <ns0:c r="P22" s="2"/>
    </ns0:row>
    <ns0:row r="23" ht="23" customHeight="1">
      <ns0:c r="A23" s="2"/>
      <ns0:c r="B23" s="9" t="str">
        <ns0:v>000018</ns0:v>
      </ns0:c>
      <ns0:c r="C23" s="2" t="str">
        <ns0:v>가상사원18</ns0:v>
      </ns0:c>
      <ns0:c r="D23" s="2" t="str">
        <ns0:v>지원</ns0:v>
      </ns0:c>
      <ns0:c r="E23" s="2" t="str">
        <ns0:v>책임</ns0:v>
      </ns0:c>
      <ns0:c r="F23" s="2" t="n">
        <ns0:v>0</ns0:v>
      </ns0:c>
      <ns0:c r="G23" s="2"/>
      <ns0:c r="H23" s="2"/>
      <ns0:c r="I23" s="2"/>
      <ns0:c r="J23" s="2"/>
      <ns0:c r="K23" s="2"/>
      <ns0:c r="L23" s="2"/>
      <ns0:c r="M23" s="2"/>
      <ns0:c r="N23" s="2"/>
      <ns0:c r="O23" s="2"/>
      <ns0:c r="P23" s="2"/>
    </ns0:row>
    <ns0:row r="24" ht="23" customHeight="1">
      <ns0:c r="A24" s="2"/>
      <ns0:c r="B24" s="9" t="str">
        <ns0:v>000019</ns0:v>
      </ns0:c>
      <ns0:c r="C24" s="2" t="str">
        <ns0:v>가상사원19</ns0:v>
      </ns0:c>
      <ns0:c r="D24" s="2" t="str">
        <ns0:v>개발</ns0:v>
      </ns0:c>
      <ns0:c r="E24" s="2" t="str">
        <ns0:v>사원</ns0:v>
      </ns0:c>
      <ns0:c r="F24" s="2" t="n">
        <ns0:v>1</ns0:v>
      </ns0:c>
      <ns0:c r="G24" s="2"/>
      <ns0:c r="H24" s="2"/>
      <ns0:c r="I24" s="2"/>
      <ns0:c r="J24" s="2"/>
      <ns0:c r="K24" s="2"/>
      <ns0:c r="L24" s="2"/>
      <ns0:c r="M24" s="2"/>
      <ns0:c r="N24" s="2"/>
      <ns0:c r="O24" s="2"/>
      <ns0:c r="P24" s="2"/>
    </ns0:row>
    <ns0:row r="25" ht="23" customHeight="1">
      <ns0:c r="B25" s="10" t="str">
        <ns0:v>000020</ns0:v>
      </ns0:c>
      <ns0:c r="C25" s="8" t="str">
        <ns0:v>가상사원20</ns0:v>
      </ns0:c>
      <ns0:c r="D25" s="8" t="str">
        <ns0:v>생산</ns0:v>
      </ns0:c>
      <ns0:c r="E25" s="8" t="str">
        <ns0:v>선임</ns0:v>
      </ns0:c>
      <ns0:c r="F25" s="8" t="n">
        <ns0:v>1</ns0:v>
      </ns0:c>
    </ns0:row>
    <ns0:row r="26" ht="23" customHeight="1">
      <ns0:c r="B26" s="10" t="str">
        <ns0:v>000021</ns0:v>
      </ns0:c>
      <ns0:c r="C26" s="8" t="str">
        <ns0:v>가상사원21</ns0:v>
      </ns0:c>
      <ns0:c r="D26" s="8" t="str">
        <ns0:v>품질</ns0:v>
      </ns0:c>
      <ns0:c r="E26" s="8" t="str">
        <ns0:v>책임</ns0:v>
      </ns0:c>
      <ns0:c r="F26" s="8" t="n">
        <ns0:v>1</ns0:v>
      </ns0:c>
    </ns0:row>
    <ns0:row r="27" ht="23" customHeight="1">
      <ns0:c r="B27" s="10" t="str">
        <ns0:v>000022</ns0:v>
      </ns0:c>
      <ns0:c r="C27" s="8" t="str">
        <ns0:v>가상사원22</ns0:v>
      </ns0:c>
      <ns0:c r="D27" s="8" t="str">
        <ns0:v>기획</ns0:v>
      </ns0:c>
      <ns0:c r="E27" s="8" t="str">
        <ns0:v>사원</ns0:v>
      </ns0:c>
      <ns0:c r="F27" s="8" t="n">
        <ns0:v>1</ns0:v>
      </ns0:c>
    </ns0:row>
    <ns0:row r="28" ht="23" customHeight="1">
      <ns0:c r="B28" s="10" t="str">
        <ns0:v>000023</ns0:v>
      </ns0:c>
      <ns0:c r="C28" s="8" t="str">
        <ns0:v>가상사원23</ns0:v>
      </ns0:c>
      <ns0:c r="D28" s="8" t="str">
        <ns0:v>영업</ns0:v>
      </ns0:c>
      <ns0:c r="E28" s="8" t="str">
        <ns0:v>선임</ns0:v>
      </ns0:c>
      <ns0:c r="F28" s="8" t="n">
        <ns0:v>1</ns0:v>
      </ns0:c>
    </ns0:row>
    <ns0:row r="29" ht="23" customHeight="1">
      <ns0:c r="B29" s="10" t="str">
        <ns0:v>000024</ns0:v>
      </ns0:c>
      <ns0:c r="C29" s="8" t="str">
        <ns0:v>가상사원24</ns0:v>
      </ns0:c>
      <ns0:c r="D29" s="8" t="str">
        <ns0:v>지원</ns0:v>
      </ns0:c>
      <ns0:c r="E29" s="8" t="str">
        <ns0:v>책임</ns0:v>
      </ns0:c>
      <ns0:c r="F29" s="8" t="n">
        <ns0:v>1</ns0:v>
      </ns0:c>
    </ns0:row>
    <ns0:row r="30" ht="23" customHeight="1">
      <ns0:c r="B30" s="10" t="str">
        <ns0:v>000025</ns0:v>
      </ns0:c>
      <ns0:c r="C30" s="8" t="str">
        <ns0:v>가상사원25</ns0:v>
      </ns0:c>
      <ns0:c r="D30" s="8" t="str">
        <ns0:v>개발</ns0:v>
      </ns0:c>
      <ns0:c r="E30" s="8" t="str">
        <ns0:v>사원</ns0:v>
      </ns0:c>
      <ns0:c r="F30" s="8" t="n">
        <ns0:v>1</ns0:v>
      </ns0:c>
    </ns0:row>
    <ns0:row r="31" ht="23" customHeight="1">
      <ns0:c r="B31" s="10" t="str">
        <ns0:v>000026</ns0:v>
      </ns0:c>
      <ns0:c r="C31" s="8" t="str">
        <ns0:v>가상사원26</ns0:v>
      </ns0:c>
      <ns0:c r="D31" s="8" t="str">
        <ns0:v>생산</ns0:v>
      </ns0:c>
      <ns0:c r="E31" s="8" t="str">
        <ns0:v>선임</ns0:v>
      </ns0:c>
      <ns0:c r="F31" s="8" t="n">
        <ns0:v>1</ns0:v>
      </ns0:c>
    </ns0:row>
    <ns0:row r="32" ht="23" customHeight="1">
      <ns0:c r="B32" s="10" t="str">
        <ns0:v>000027</ns0:v>
      </ns0:c>
      <ns0:c r="C32" s="8" t="str">
        <ns0:v>가상사원27</ns0:v>
      </ns0:c>
      <ns0:c r="D32" s="8" t="str">
        <ns0:v>품질</ns0:v>
      </ns0:c>
      <ns0:c r="E32" s="8" t="str">
        <ns0:v>책임</ns0:v>
      </ns0:c>
      <ns0:c r="F32" s="8" t="n">
        <ns0:v>1</ns0:v>
      </ns0:c>
    </ns0:row>
    <ns0:row r="33" ht="23" customHeight="1">
      <ns0:c r="B33" s="10" t="str">
        <ns0:v>000028</ns0:v>
      </ns0:c>
      <ns0:c r="C33" s="8" t="str">
        <ns0:v>가상사원28</ns0:v>
      </ns0:c>
      <ns0:c r="D33" s="8" t="str">
        <ns0:v>기획</ns0:v>
      </ns0:c>
      <ns0:c r="E33" s="8" t="str">
        <ns0:v>사원</ns0:v>
      </ns0:c>
      <ns0:c r="F33" s="8" t="n">
        <ns0:v>1</ns0:v>
      </ns0:c>
    </ns0:row>
    <ns0:row r="34" ht="23" customHeight="1">
      <ns0:c r="B34" s="10" t="str">
        <ns0:v>000029</ns0:v>
      </ns0:c>
      <ns0:c r="C34" s="8" t="str">
        <ns0:v>가상사원29</ns0:v>
      </ns0:c>
      <ns0:c r="D34" s="8" t="str">
        <ns0:v>영업</ns0:v>
      </ns0:c>
      <ns0:c r="E34" s="8" t="str">
        <ns0:v>선임</ns0:v>
      </ns0:c>
      <ns0:c r="F34" s="8" t="n">
        <ns0:v>1</ns0:v>
      </ns0:c>
    </ns0:row>
    <ns0:row r="35" ht="23" customHeight="1">
      <ns0:c r="B35" s="10" t="str">
        <ns0:v>000030</ns0:v>
      </ns0:c>
      <ns0:c r="C35" s="8" t="str">
        <ns0:v>가상사원30</ns0:v>
      </ns0:c>
      <ns0:c r="D35" s="8" t="str">
        <ns0:v>지원</ns0:v>
      </ns0:c>
      <ns0:c r="E35" s="8" t="str">
        <ns0:v>책임</ns0:v>
      </ns0:c>
      <ns0:c r="F35" s="8" t="n">
        <ns0:v>1</ns0:v>
      </ns0:c>
    </ns0:row>
    <ns0:row r="36" ht="23" customHeight="1">
      <ns0:c r="B36" s="10" t="str">
        <ns0:v>000031</ns0:v>
      </ns0:c>
      <ns0:c r="C36" s="8" t="str">
        <ns0:v>가상사원31</ns0:v>
      </ns0:c>
      <ns0:c r="D36" s="8" t="str">
        <ns0:v>개발</ns0:v>
      </ns0:c>
      <ns0:c r="E36" s="8" t="str">
        <ns0:v>사원</ns0:v>
      </ns0:c>
      <ns0:c r="F36" s="8" t="n">
        <ns0:v>1</ns0:v>
      </ns0:c>
    </ns0:row>
    <ns0:row r="37" ht="23" customHeight="1">
      <ns0:c r="B37" s="10" t="str">
        <ns0:v>000032</ns0:v>
      </ns0:c>
      <ns0:c r="C37" s="8" t="str">
        <ns0:v>가상사원32</ns0:v>
      </ns0:c>
      <ns0:c r="D37" s="8" t="str">
        <ns0:v>생산</ns0:v>
      </ns0:c>
      <ns0:c r="E37" s="8" t="str">
        <ns0:v>선임</ns0:v>
      </ns0:c>
      <ns0:c r="F37" s="8" t="n">
        <ns0:v>1</ns0:v>
      </ns0:c>
    </ns0:row>
    <ns0:row r="38" ht="23" customHeight="1">
      <ns0:c r="B38" s="10" t="str">
        <ns0:v>000033</ns0:v>
      </ns0:c>
      <ns0:c r="C38" s="8" t="str">
        <ns0:v>가상사원33</ns0:v>
      </ns0:c>
      <ns0:c r="D38" s="8" t="str">
        <ns0:v>품질</ns0:v>
      </ns0:c>
      <ns0:c r="E38" s="8" t="str">
        <ns0:v>책임</ns0:v>
      </ns0:c>
      <ns0:c r="F38" s="8" t="n">
        <ns0:v>1</ns0:v>
      </ns0:c>
    </ns0:row>
    <ns0:row r="39" ht="23" customHeight="1">
      <ns0:c r="B39" s="10" t="str">
        <ns0:v>000034</ns0:v>
      </ns0:c>
      <ns0:c r="C39" s="8" t="str">
        <ns0:v>가상사원34</ns0:v>
      </ns0:c>
      <ns0:c r="D39" s="8" t="str">
        <ns0:v>기획</ns0:v>
      </ns0:c>
      <ns0:c r="E39" s="8" t="str">
        <ns0:v>사원</ns0:v>
      </ns0:c>
      <ns0:c r="F39" s="8" t="n">
        <ns0:v>1</ns0:v>
      </ns0:c>
    </ns0:row>
    <ns0:row r="40" ht="23" customHeight="1">
      <ns0:c r="B40" s="10" t="str">
        <ns0:v>000035</ns0:v>
      </ns0:c>
      <ns0:c r="C40" s="8" t="str">
        <ns0:v>가상사원35</ns0:v>
      </ns0:c>
      <ns0:c r="D40" s="8" t="str">
        <ns0:v>영업</ns0:v>
      </ns0:c>
      <ns0:c r="E40" s="8" t="str">
        <ns0:v>선임</ns0:v>
      </ns0:c>
      <ns0:c r="F40" s="8" t="n">
        <ns0:v>0</ns0:v>
      </ns0:c>
    </ns0:row>
    <ns0:row r="41" ht="23" customHeight="1">
      <ns0:c r="B41" s="10" t="str">
        <ns0:v>000036</ns0:v>
      </ns0:c>
      <ns0:c r="C41" s="8" t="str">
        <ns0:v>가상사원36</ns0:v>
      </ns0:c>
      <ns0:c r="D41" s="8" t="str">
        <ns0:v>지원</ns0:v>
      </ns0:c>
      <ns0:c r="E41" s="8" t="str">
        <ns0:v>책임</ns0:v>
      </ns0:c>
      <ns0:c r="F41" s="8" t="n">
        <ns0:v>1</ns0:v>
      </ns0:c>
    </ns0:row>
    <ns0:row r="42" ht="23" customHeight="1">
      <ns0:c r="B42" s="10" t="str">
        <ns0:v>000037</ns0:v>
      </ns0:c>
      <ns0:c r="C42" s="8" t="str">
        <ns0:v>가상사원37</ns0:v>
      </ns0:c>
      <ns0:c r="D42" s="8" t="str">
        <ns0:v>개발</ns0:v>
      </ns0:c>
      <ns0:c r="E42" s="8" t="str">
        <ns0:v>사원</ns0:v>
      </ns0:c>
      <ns0:c r="F42" s="8" t="n">
        <ns0:v>1</ns0:v>
      </ns0:c>
    </ns0:row>
    <ns0:row r="43" ht="23" customHeight="1">
      <ns0:c r="B43" s="10" t="str">
        <ns0:v>000038</ns0:v>
      </ns0:c>
      <ns0:c r="C43" s="8" t="str">
        <ns0:v>가상사원38</ns0:v>
      </ns0:c>
      <ns0:c r="D43" s="8" t="str">
        <ns0:v>생산</ns0:v>
      </ns0:c>
      <ns0:c r="E43" s="8" t="str">
        <ns0:v>선임</ns0:v>
      </ns0:c>
      <ns0:c r="F43" s="8" t="n">
        <ns0:v>1</ns0:v>
      </ns0:c>
    </ns0:row>
    <ns0:row r="44" ht="23" customHeight="1">
      <ns0:c r="B44" s="10" t="str">
        <ns0:v>000039</ns0:v>
      </ns0:c>
      <ns0:c r="C44" s="8" t="str">
        <ns0:v>가상사원39</ns0:v>
      </ns0:c>
      <ns0:c r="D44" s="8" t="str">
        <ns0:v>품질</ns0:v>
      </ns0:c>
      <ns0:c r="E44" s="8" t="str">
        <ns0:v>책임</ns0:v>
      </ns0:c>
      <ns0:c r="F44" s="8" t="n">
        <ns0:v>1</ns0:v>
      </ns0:c>
    </ns0:row>
    <ns0:row r="45" ht="23" customHeight="1">
      <ns0:c r="B45" s="10" t="str">
        <ns0:v>000040</ns0:v>
      </ns0:c>
      <ns0:c r="C45" s="8" t="str">
        <ns0:v>가상사원40</ns0:v>
      </ns0:c>
      <ns0:c r="D45" s="8" t="str">
        <ns0:v>기획</ns0:v>
      </ns0:c>
      <ns0:c r="E45" s="8" t="str">
        <ns0:v>사원</ns0:v>
      </ns0:c>
      <ns0:c r="F45" s="8" t="n">
        <ns0:v>1</ns0:v>
      </ns0:c>
    </ns0:row>
    <ns0:row r="46" ht="23" customHeight="1">
      <ns0:c r="B46" s="10" t="str">
        <ns0:v>000041</ns0:v>
      </ns0:c>
      <ns0:c r="C46" s="8" t="str">
        <ns0:v>가상사원41</ns0:v>
      </ns0:c>
      <ns0:c r="D46" s="8" t="str">
        <ns0:v>영업</ns0:v>
      </ns0:c>
      <ns0:c r="E46" s="8" t="str">
        <ns0:v>선임</ns0:v>
      </ns0:c>
      <ns0:c r="F46" s="8" t="n">
        <ns0:v>1</ns0:v>
      </ns0:c>
    </ns0:row>
    <ns0:row r="47" ht="23" customHeight="1">
      <ns0:c r="B47" s="10" t="str">
        <ns0:v>000042</ns0:v>
      </ns0:c>
      <ns0:c r="C47" s="8" t="str">
        <ns0:v>가상사원42</ns0:v>
      </ns0:c>
      <ns0:c r="D47" s="8" t="str">
        <ns0:v>지원</ns0:v>
      </ns0:c>
      <ns0:c r="E47" s="8" t="str">
        <ns0:v>책임</ns0:v>
      </ns0:c>
      <ns0:c r="F47" s="8" t="n">
        <ns0:v>1</ns0:v>
      </ns0:c>
    </ns0:row>
    <ns0:row r="48" ht="23" customHeight="1">
      <ns0:c r="B48" s="10" t="str">
        <ns0:v>000043</ns0:v>
      </ns0:c>
      <ns0:c r="C48" s="8" t="str">
        <ns0:v>가상사원43</ns0:v>
      </ns0:c>
      <ns0:c r="D48" s="8" t="str">
        <ns0:v>개발</ns0:v>
      </ns0:c>
      <ns0:c r="E48" s="8" t="str">
        <ns0:v>사원</ns0:v>
      </ns0:c>
      <ns0:c r="F48" s="8" t="n">
        <ns0:v>1</ns0:v>
      </ns0:c>
    </ns0:row>
    <ns0:row r="49" ht="23" customHeight="1">
      <ns0:c r="B49" s="10" t="str">
        <ns0:v>000044</ns0:v>
      </ns0:c>
      <ns0:c r="C49" s="8" t="str">
        <ns0:v>가상사원44</ns0:v>
      </ns0:c>
      <ns0:c r="D49" s="8" t="str">
        <ns0:v>생산</ns0:v>
      </ns0:c>
      <ns0:c r="E49" s="8" t="str">
        <ns0:v>선임</ns0:v>
      </ns0:c>
      <ns0:c r="F49" s="8" t="n">
        <ns0:v>1</ns0:v>
      </ns0:c>
    </ns0:row>
    <ns0:row r="50" ht="23" customHeight="1">
      <ns0:c r="B50" s="10" t="str">
        <ns0:v>000045</ns0:v>
      </ns0:c>
      <ns0:c r="C50" s="8" t="str">
        <ns0:v>가상사원45</ns0:v>
      </ns0:c>
      <ns0:c r="D50" s="8" t="str">
        <ns0:v>품질</ns0:v>
      </ns0:c>
      <ns0:c r="E50" s="8" t="str">
        <ns0:v>책임</ns0:v>
      </ns0:c>
      <ns0:c r="F50" s="8" t="n">
        <ns0:v>1</ns0:v>
      </ns0:c>
    </ns0:row>
    <ns0:row r="51" ht="23" customHeight="1">
      <ns0:c r="B51" s="10" t="str">
        <ns0:v>000046</ns0:v>
      </ns0:c>
      <ns0:c r="C51" s="8" t="str">
        <ns0:v>가상사원46</ns0:v>
      </ns0:c>
      <ns0:c r="D51" s="8" t="str">
        <ns0:v>기획</ns0:v>
      </ns0:c>
      <ns0:c r="E51" s="8" t="str">
        <ns0:v>사원</ns0:v>
      </ns0:c>
      <ns0:c r="F51" s="8" t="n">
        <ns0:v>1</ns0:v>
      </ns0:c>
    </ns0:row>
    <ns0:row r="52" ht="23" customHeight="1">
      <ns0:c r="B52" s="10" t="str">
        <ns0:v>000047</ns0:v>
      </ns0:c>
      <ns0:c r="C52" s="8" t="str">
        <ns0:v>가상사원47</ns0:v>
      </ns0:c>
      <ns0:c r="D52" s="8" t="str">
        <ns0:v>영업</ns0:v>
      </ns0:c>
      <ns0:c r="E52" s="8" t="str">
        <ns0:v>선임</ns0:v>
      </ns0:c>
      <ns0:c r="F52" s="8" t="n">
        <ns0:v>1</ns0:v>
      </ns0:c>
    </ns0:row>
    <ns0:row r="53" ht="23" customHeight="1">
      <ns0:c r="B53" s="10" t="str">
        <ns0:v>000048</ns0:v>
      </ns0:c>
      <ns0:c r="C53" s="8" t="str">
        <ns0:v>가상사원48</ns0:v>
      </ns0:c>
      <ns0:c r="D53" s="8" t="str">
        <ns0:v>지원</ns0:v>
      </ns0:c>
      <ns0:c r="E53" s="8" t="str">
        <ns0:v>책임</ns0:v>
      </ns0:c>
      <ns0:c r="F53" s="8" t="n">
        <ns0:v>1</ns0:v>
      </ns0:c>
    </ns0:row>
    <ns0:row r="54" ht="23" customHeight="1">
      <ns0:c r="B54" s="10" t="str">
        <ns0:v>000049</ns0:v>
      </ns0:c>
      <ns0:c r="C54" s="8" t="str">
        <ns0:v>가상사원49</ns0:v>
      </ns0:c>
      <ns0:c r="D54" s="8" t="str">
        <ns0:v>개발</ns0:v>
      </ns0:c>
      <ns0:c r="E54" s="8" t="str">
        <ns0:v>사원</ns0:v>
      </ns0:c>
      <ns0:c r="F54" s="8" t="n">
        <ns0:v>1</ns0:v>
      </ns0:c>
    </ns0:row>
    <ns0:row r="55" ht="23" customHeight="1">
      <ns0:c r="B55" s="10" t="str">
        <ns0:v>000050</ns0:v>
      </ns0:c>
      <ns0:c r="C55" s="8" t="str">
        <ns0:v>가상사원50</ns0:v>
      </ns0:c>
      <ns0:c r="D55" s="8" t="str">
        <ns0:v>생산</ns0:v>
      </ns0:c>
      <ns0:c r="E55" s="8" t="str">
        <ns0:v>선임</ns0:v>
      </ns0:c>
      <ns0:c r="F55" s="8" t="n">
        <ns0:v>1</ns0:v>
      </ns0:c>
    </ns0:row>
    <ns0:row r="56" ht="23" customHeight="1">
      <ns0:c r="B56" s="10" t="str">
        <ns0:v>000051</ns0:v>
      </ns0:c>
      <ns0:c r="C56" s="8" t="str">
        <ns0:v>가상사원51</ns0:v>
      </ns0:c>
      <ns0:c r="D56" s="8" t="str">
        <ns0:v>품질</ns0:v>
      </ns0:c>
      <ns0:c r="E56" s="8" t="str">
        <ns0:v>책임</ns0:v>
      </ns0:c>
      <ns0:c r="F56" s="8" t="n">
        <ns0:v>1</ns0:v>
      </ns0:c>
    </ns0:row>
    <ns0:row r="57" ht="23" customHeight="1">
      <ns0:c r="B57" s="10" t="str">
        <ns0:v>000052</ns0:v>
      </ns0:c>
      <ns0:c r="C57" s="8" t="str">
        <ns0:v>가상사원52</ns0:v>
      </ns0:c>
      <ns0:c r="D57" s="8" t="str">
        <ns0:v>기획</ns0:v>
      </ns0:c>
      <ns0:c r="E57" s="8" t="str">
        <ns0:v>사원</ns0:v>
      </ns0:c>
      <ns0:c r="F57" s="8" t="n">
        <ns0:v>0</ns0:v>
      </ns0:c>
    </ns0:row>
    <ns0:row r="58" ht="23" customHeight="1">
      <ns0:c r="B58" s="10" t="str">
        <ns0:v>000053</ns0:v>
      </ns0:c>
      <ns0:c r="C58" s="8" t="str">
        <ns0:v>가상사원53</ns0:v>
      </ns0:c>
      <ns0:c r="D58" s="8" t="str">
        <ns0:v>영업</ns0:v>
      </ns0:c>
      <ns0:c r="E58" s="8" t="str">
        <ns0:v>선임</ns0:v>
      </ns0:c>
      <ns0:c r="F58" s="8" t="n">
        <ns0:v>1</ns0:v>
      </ns0:c>
    </ns0:row>
    <ns0:row r="59" ht="23" customHeight="1">
      <ns0:c r="B59" s="10" t="str">
        <ns0:v>000054</ns0:v>
      </ns0:c>
      <ns0:c r="C59" s="8" t="str">
        <ns0:v>가상사원54</ns0:v>
      </ns0:c>
      <ns0:c r="D59" s="8" t="str">
        <ns0:v>지원</ns0:v>
      </ns0:c>
      <ns0:c r="E59" s="8" t="str">
        <ns0:v>책임</ns0:v>
      </ns0:c>
      <ns0:c r="F59" s="8" t="n">
        <ns0:v>1</ns0:v>
      </ns0:c>
    </ns0:row>
    <ns0:row r="60" ht="23" customHeight="1">
      <ns0:c r="B60" s="10" t="str">
        <ns0:v>000055</ns0:v>
      </ns0:c>
      <ns0:c r="C60" s="8" t="str">
        <ns0:v>가상사원55</ns0:v>
      </ns0:c>
      <ns0:c r="D60" s="8" t="str">
        <ns0:v>개발</ns0:v>
      </ns0:c>
      <ns0:c r="E60" s="8" t="str">
        <ns0:v>사원</ns0:v>
      </ns0:c>
      <ns0:c r="F60" s="8" t="n">
        <ns0:v>1</ns0:v>
      </ns0:c>
    </ns0:row>
    <ns0:row r="61" ht="23" customHeight="1">
      <ns0:c r="B61" s="10" t="str">
        <ns0:v>000056</ns0:v>
      </ns0:c>
      <ns0:c r="C61" s="8" t="str">
        <ns0:v>가상사원56</ns0:v>
      </ns0:c>
      <ns0:c r="D61" s="8" t="str">
        <ns0:v>생산</ns0:v>
      </ns0:c>
      <ns0:c r="E61" s="8" t="str">
        <ns0:v>선임</ns0:v>
      </ns0:c>
      <ns0:c r="F61" s="8" t="n">
        <ns0:v>1</ns0:v>
      </ns0:c>
    </ns0:row>
    <ns0:row r="62" ht="23" customHeight="1">
      <ns0:c r="B62" s="10" t="str">
        <ns0:v>000057</ns0:v>
      </ns0:c>
      <ns0:c r="C62" s="8" t="str">
        <ns0:v>가상사원57</ns0:v>
      </ns0:c>
      <ns0:c r="D62" s="8" t="str">
        <ns0:v>품질</ns0:v>
      </ns0:c>
      <ns0:c r="E62" s="8" t="str">
        <ns0:v>책임</ns0:v>
      </ns0:c>
      <ns0:c r="F62" s="8" t="n">
        <ns0:v>1</ns0:v>
      </ns0:c>
    </ns0:row>
    <ns0:row r="63" ht="23" customHeight="1">
      <ns0:c r="B63" s="10" t="str">
        <ns0:v>000058</ns0:v>
      </ns0:c>
      <ns0:c r="C63" s="8" t="str">
        <ns0:v>가상사원58</ns0:v>
      </ns0:c>
      <ns0:c r="D63" s="8" t="str">
        <ns0:v>기획</ns0:v>
      </ns0:c>
      <ns0:c r="E63" s="8" t="str">
        <ns0:v>사원</ns0:v>
      </ns0:c>
      <ns0:c r="F63" s="8" t="n">
        <ns0:v>1</ns0:v>
      </ns0:c>
    </ns0:row>
    <ns0:row r="64" ht="23" customHeight="1">
      <ns0:c r="B64" s="10" t="str">
        <ns0:v>000059</ns0:v>
      </ns0:c>
      <ns0:c r="C64" s="8" t="str">
        <ns0:v>가상사원59</ns0:v>
      </ns0:c>
      <ns0:c r="D64" s="8" t="str">
        <ns0:v>영업</ns0:v>
      </ns0:c>
      <ns0:c r="E64" s="8" t="str">
        <ns0:v>선임</ns0:v>
      </ns0:c>
      <ns0:c r="F64" s="8" t="n">
        <ns0:v>1</ns0:v>
      </ns0:c>
    </ns0:row>
    <ns0:row r="65" ht="23" customHeight="1">
      <ns0:c r="B65" s="10" t="str">
        <ns0:v>000060</ns0:v>
      </ns0:c>
      <ns0:c r="C65" s="8" t="str">
        <ns0:v>가상사원60</ns0:v>
      </ns0:c>
      <ns0:c r="D65" s="8" t="str">
        <ns0:v>지원</ns0:v>
      </ns0:c>
      <ns0:c r="E65" s="8" t="str">
        <ns0:v>책임</ns0:v>
      </ns0:c>
      <ns0:c r="F65" s="8" t="n">
        <ns0:v>1</ns0:v>
      </ns0:c>
    </ns0:row>
    <ns0:row r="66" ht="23" customHeight="1">
      <ns0:c r="B66" s="10" t="str">
        <ns0:v>000061</ns0:v>
      </ns0:c>
      <ns0:c r="C66" s="8" t="str">
        <ns0:v>가상사원61</ns0:v>
      </ns0:c>
      <ns0:c r="D66" s="8" t="str">
        <ns0:v>개발</ns0:v>
      </ns0:c>
      <ns0:c r="E66" s="8" t="str">
        <ns0:v>사원</ns0:v>
      </ns0:c>
      <ns0:c r="F66" s="8" t="n">
        <ns0:v>1</ns0:v>
      </ns0:c>
    </ns0:row>
    <ns0:row r="67" ht="23" customHeight="1">
      <ns0:c r="B67" s="10" t="str">
        <ns0:v>000062</ns0:v>
      </ns0:c>
      <ns0:c r="C67" s="8" t="str">
        <ns0:v>가상사원62</ns0:v>
      </ns0:c>
      <ns0:c r="D67" s="8" t="str">
        <ns0:v>생산</ns0:v>
      </ns0:c>
      <ns0:c r="E67" s="8" t="str">
        <ns0:v>선임</ns0:v>
      </ns0:c>
      <ns0:c r="F67" s="8" t="n">
        <ns0:v>1</ns0:v>
      </ns0:c>
    </ns0:row>
    <ns0:row r="68" ht="23" customHeight="1">
      <ns0:c r="B68" s="10" t="str">
        <ns0:v>000063</ns0:v>
      </ns0:c>
      <ns0:c r="C68" s="8" t="str">
        <ns0:v>가상사원63</ns0:v>
      </ns0:c>
      <ns0:c r="D68" s="8" t="str">
        <ns0:v>품질</ns0:v>
      </ns0:c>
      <ns0:c r="E68" s="8" t="str">
        <ns0:v>책임</ns0:v>
      </ns0:c>
      <ns0:c r="F68" s="8" t="n">
        <ns0:v>1</ns0:v>
      </ns0:c>
    </ns0:row>
    <ns0:row r="69" ht="23" customHeight="1">
      <ns0:c r="B69" s="10" t="str">
        <ns0:v>000064</ns0:v>
      </ns0:c>
      <ns0:c r="C69" s="8" t="str">
        <ns0:v>가상사원64</ns0:v>
      </ns0:c>
      <ns0:c r="D69" s="8" t="str">
        <ns0:v>기획</ns0:v>
      </ns0:c>
      <ns0:c r="E69" s="8" t="str">
        <ns0:v>사원</ns0:v>
      </ns0:c>
      <ns0:c r="F69" s="8" t="n">
        <ns0:v>1</ns0:v>
      </ns0:c>
    </ns0:row>
    <ns0:row r="70" ht="23" customHeight="1">
      <ns0:c r="B70" s="10" t="str">
        <ns0:v>000065</ns0:v>
      </ns0:c>
      <ns0:c r="C70" s="8" t="str">
        <ns0:v>가상사원65</ns0:v>
      </ns0:c>
      <ns0:c r="D70" s="8" t="str">
        <ns0:v>영업</ns0:v>
      </ns0:c>
      <ns0:c r="E70" s="8" t="str">
        <ns0:v>선임</ns0:v>
      </ns0:c>
      <ns0:c r="F70" s="8" t="n">
        <ns0:v>1</ns0:v>
      </ns0:c>
    </ns0:row>
    <ns0:row r="71" ht="23" customHeight="1">
      <ns0:c r="B71" s="10" t="str">
        <ns0:v>000066</ns0:v>
      </ns0:c>
      <ns0:c r="C71" s="8" t="str">
        <ns0:v>가상사원66</ns0:v>
      </ns0:c>
      <ns0:c r="D71" s="8" t="str">
        <ns0:v>지원</ns0:v>
      </ns0:c>
      <ns0:c r="E71" s="8" t="str">
        <ns0:v>책임</ns0:v>
      </ns0:c>
      <ns0:c r="F71" s="8" t="n">
        <ns0:v>1</ns0:v>
      </ns0:c>
    </ns0:row>
    <ns0:row r="72" ht="23" customHeight="1">
      <ns0:c r="B72" s="10" t="str">
        <ns0:v>000067</ns0:v>
      </ns0:c>
      <ns0:c r="C72" s="8" t="str">
        <ns0:v>가상사원67</ns0:v>
      </ns0:c>
      <ns0:c r="D72" s="8" t="str">
        <ns0:v>개발</ns0:v>
      </ns0:c>
      <ns0:c r="E72" s="8" t="str">
        <ns0:v>사원</ns0:v>
      </ns0:c>
      <ns0:c r="F72" s="8" t="n">
        <ns0:v>1</ns0:v>
      </ns0:c>
    </ns0:row>
    <ns0:row r="73" ht="23" customHeight="1">
      <ns0:c r="B73" s="10" t="str">
        <ns0:v>000068</ns0:v>
      </ns0:c>
      <ns0:c r="C73" s="8" t="str">
        <ns0:v>가상사원68</ns0:v>
      </ns0:c>
      <ns0:c r="D73" s="8" t="str">
        <ns0:v>생산</ns0:v>
      </ns0:c>
      <ns0:c r="E73" s="8" t="str">
        <ns0:v>선임</ns0:v>
      </ns0:c>
      <ns0:c r="F73" s="8" t="n">
        <ns0:v>1</ns0:v>
      </ns0:c>
    </ns0:row>
    <ns0:row r="74" ht="23" customHeight="1">
      <ns0:c r="B74" s="10" t="str">
        <ns0:v>000069</ns0:v>
      </ns0:c>
      <ns0:c r="C74" s="8" t="str">
        <ns0:v>가상사원69</ns0:v>
      </ns0:c>
      <ns0:c r="D74" s="8" t="str">
        <ns0:v>품질</ns0:v>
      </ns0:c>
      <ns0:c r="E74" s="8" t="str">
        <ns0:v>책임</ns0:v>
      </ns0:c>
      <ns0:c r="F74" s="8" t="n">
        <ns0:v>0</ns0:v>
      </ns0:c>
    </ns0:row>
    <ns0:row r="75" ht="23" customHeight="1">
      <ns0:c r="B75" s="10" t="str">
        <ns0:v>000070</ns0:v>
      </ns0:c>
      <ns0:c r="C75" s="8" t="str">
        <ns0:v>가상사원70</ns0:v>
      </ns0:c>
      <ns0:c r="D75" s="8" t="str">
        <ns0:v>기획</ns0:v>
      </ns0:c>
      <ns0:c r="E75" s="8" t="str">
        <ns0:v>사원</ns0:v>
      </ns0:c>
      <ns0:c r="F75" s="8" t="n">
        <ns0:v>1</ns0:v>
      </ns0:c>
    </ns0:row>
    <ns0:row r="76" ht="23" customHeight="1">
      <ns0:c r="B76" s="10" t="str">
        <ns0:v>000071</ns0:v>
      </ns0:c>
      <ns0:c r="C76" s="8" t="str">
        <ns0:v>가상사원71</ns0:v>
      </ns0:c>
      <ns0:c r="D76" s="8" t="str">
        <ns0:v>영업</ns0:v>
      </ns0:c>
      <ns0:c r="E76" s="8" t="str">
        <ns0:v>선임</ns0:v>
      </ns0:c>
      <ns0:c r="F76" s="8" t="n">
        <ns0:v>1</ns0:v>
      </ns0:c>
    </ns0:row>
    <ns0:row r="77" ht="23" customHeight="1">
      <ns0:c r="B77" s="10" t="str">
        <ns0:v>000072</ns0:v>
      </ns0:c>
      <ns0:c r="C77" s="8" t="str">
        <ns0:v>가상사원72</ns0:v>
      </ns0:c>
      <ns0:c r="D77" s="8" t="str">
        <ns0:v>지원</ns0:v>
      </ns0:c>
      <ns0:c r="E77" s="8" t="str">
        <ns0:v>책임</ns0:v>
      </ns0:c>
      <ns0:c r="F77" s="8" t="n">
        <ns0:v>1</ns0:v>
      </ns0:c>
    </ns0:row>
    <ns0:row r="78" ht="23" customHeight="1">
      <ns0:c r="B78" s="10" t="str">
        <ns0:v>000073</ns0:v>
      </ns0:c>
      <ns0:c r="C78" s="8" t="str">
        <ns0:v>가상사원73</ns0:v>
      </ns0:c>
      <ns0:c r="D78" s="8" t="str">
        <ns0:v>개발</ns0:v>
      </ns0:c>
      <ns0:c r="E78" s="8" t="str">
        <ns0:v>사원</ns0:v>
      </ns0:c>
      <ns0:c r="F78" s="8" t="n">
        <ns0:v>1</ns0:v>
      </ns0:c>
    </ns0:row>
    <ns0:row r="79" ht="23" customHeight="1">
      <ns0:c r="B79" s="10" t="str">
        <ns0:v>000074</ns0:v>
      </ns0:c>
      <ns0:c r="C79" s="8" t="str">
        <ns0:v>가상사원74</ns0:v>
      </ns0:c>
      <ns0:c r="D79" s="8" t="str">
        <ns0:v>생산</ns0:v>
      </ns0:c>
      <ns0:c r="E79" s="8" t="str">
        <ns0:v>선임</ns0:v>
      </ns0:c>
      <ns0:c r="F79" s="8" t="n">
        <ns0:v>1</ns0:v>
      </ns0:c>
    </ns0:row>
    <ns0:row r="80" ht="23" customHeight="1">
      <ns0:c r="B80" s="10" t="str">
        <ns0:v>000075</ns0:v>
      </ns0:c>
      <ns0:c r="C80" s="8" t="str">
        <ns0:v>가상사원75</ns0:v>
      </ns0:c>
      <ns0:c r="D80" s="8" t="str">
        <ns0:v>품질</ns0:v>
      </ns0:c>
      <ns0:c r="E80" s="8" t="str">
        <ns0:v>책임</ns0:v>
      </ns0:c>
      <ns0:c r="F80" s="8" t="n">
        <ns0:v>1</ns0:v>
      </ns0:c>
    </ns0:row>
    <ns0:row r="81" ht="23" customHeight="1">
      <ns0:c r="B81" s="10" t="str">
        <ns0:v>000076</ns0:v>
      </ns0:c>
      <ns0:c r="C81" s="8" t="str">
        <ns0:v>가상사원76</ns0:v>
      </ns0:c>
      <ns0:c r="D81" s="8" t="str">
        <ns0:v>기획</ns0:v>
      </ns0:c>
      <ns0:c r="E81" s="8" t="str">
        <ns0:v>사원</ns0:v>
      </ns0:c>
      <ns0:c r="F81" s="8" t="n">
        <ns0:v>1</ns0:v>
      </ns0:c>
    </ns0:row>
    <ns0:row r="82" ht="23" customHeight="1">
      <ns0:c r="B82" s="10" t="str">
        <ns0:v>000077</ns0:v>
      </ns0:c>
      <ns0:c r="C82" s="8" t="str">
        <ns0:v>가상사원77</ns0:v>
      </ns0:c>
      <ns0:c r="D82" s="8" t="str">
        <ns0:v>영업</ns0:v>
      </ns0:c>
      <ns0:c r="E82" s="8" t="str">
        <ns0:v>선임</ns0:v>
      </ns0:c>
      <ns0:c r="F82" s="8" t="n">
        <ns0:v>1</ns0:v>
      </ns0:c>
    </ns0:row>
    <ns0:row r="83" ht="23" customHeight="1">
      <ns0:c r="B83" s="10" t="str">
        <ns0:v>000078</ns0:v>
      </ns0:c>
      <ns0:c r="C83" s="8" t="str">
        <ns0:v>가상사원78</ns0:v>
      </ns0:c>
      <ns0:c r="D83" s="8" t="str">
        <ns0:v>지원</ns0:v>
      </ns0:c>
      <ns0:c r="E83" s="8" t="str">
        <ns0:v>책임</ns0:v>
      </ns0:c>
      <ns0:c r="F83" s="8" t="n">
        <ns0:v>1</ns0:v>
      </ns0:c>
    </ns0:row>
    <ns0:row r="84" ht="23" customHeight="1">
      <ns0:c r="B84" s="10" t="str">
        <ns0:v>000079</ns0:v>
      </ns0:c>
      <ns0:c r="C84" s="8" t="str">
        <ns0:v>가상사원79</ns0:v>
      </ns0:c>
      <ns0:c r="D84" s="8" t="str">
        <ns0:v>개발</ns0:v>
      </ns0:c>
      <ns0:c r="E84" s="8" t="str">
        <ns0:v>사원</ns0:v>
      </ns0:c>
      <ns0:c r="F84" s="8" t="n">
        <ns0:v>1</ns0:v>
      </ns0:c>
    </ns0:row>
    <ns0:row r="85" ht="23" customHeight="1">
      <ns0:c r="B85" s="10" t="str">
        <ns0:v>000080</ns0:v>
      </ns0:c>
      <ns0:c r="C85" s="8" t="str">
        <ns0:v>가상사원80</ns0:v>
      </ns0:c>
      <ns0:c r="D85" s="8" t="str">
        <ns0:v>생산</ns0:v>
      </ns0:c>
      <ns0:c r="E85" s="8" t="str">
        <ns0:v>선임</ns0:v>
      </ns0:c>
      <ns0:c r="F85" s="8" t="n">
        <ns0:v>1</ns0:v>
      </ns0:c>
    </ns0:row>
    <ns0:row r="86" ht="23" customHeight="1">
      <ns0:c r="B86" s="10" t="str">
        <ns0:v>000081</ns0:v>
      </ns0:c>
      <ns0:c r="C86" s="8" t="str">
        <ns0:v>가상사원81</ns0:v>
      </ns0:c>
      <ns0:c r="D86" s="8" t="str">
        <ns0:v>품질</ns0:v>
      </ns0:c>
      <ns0:c r="E86" s="8" t="str">
        <ns0:v>책임</ns0:v>
      </ns0:c>
      <ns0:c r="F86" s="8" t="n">
        <ns0:v>1</ns0:v>
      </ns0:c>
    </ns0:row>
    <ns0:row r="87" ht="23" customHeight="1">
      <ns0:c r="B87" s="10" t="str">
        <ns0:v>000082</ns0:v>
      </ns0:c>
      <ns0:c r="C87" s="8" t="str">
        <ns0:v>가상사원82</ns0:v>
      </ns0:c>
      <ns0:c r="D87" s="8" t="str">
        <ns0:v>기획</ns0:v>
      </ns0:c>
      <ns0:c r="E87" s="8" t="str">
        <ns0:v>사원</ns0:v>
      </ns0:c>
      <ns0:c r="F87" s="8" t="n">
        <ns0:v>1</ns0:v>
      </ns0:c>
    </ns0:row>
    <ns0:row r="88" ht="23" customHeight="1">
      <ns0:c r="B88" s="10" t="str">
        <ns0:v>000083</ns0:v>
      </ns0:c>
      <ns0:c r="C88" s="8" t="str">
        <ns0:v>가상사원83</ns0:v>
      </ns0:c>
      <ns0:c r="D88" s="8" t="str">
        <ns0:v>영업</ns0:v>
      </ns0:c>
      <ns0:c r="E88" s="8" t="str">
        <ns0:v>선임</ns0:v>
      </ns0:c>
      <ns0:c r="F88" s="8" t="n">
        <ns0:v>1</ns0:v>
      </ns0:c>
    </ns0:row>
    <ns0:row r="89" ht="23" customHeight="1">
      <ns0:c r="B89" s="10" t="str">
        <ns0:v>000084</ns0:v>
      </ns0:c>
      <ns0:c r="C89" s="8" t="str">
        <ns0:v>가상사원84</ns0:v>
      </ns0:c>
      <ns0:c r="D89" s="8" t="str">
        <ns0:v>지원</ns0:v>
      </ns0:c>
      <ns0:c r="E89" s="8" t="str">
        <ns0:v>책임</ns0:v>
      </ns0:c>
      <ns0:c r="F89" s="8" t="n">
        <ns0:v>1</ns0:v>
      </ns0:c>
    </ns0:row>
    <ns0:row r="90" ht="23" customHeight="1">
      <ns0:c r="B90" s="10" t="str">
        <ns0:v>000085</ns0:v>
      </ns0:c>
      <ns0:c r="C90" s="8" t="str">
        <ns0:v>가상사원85</ns0:v>
      </ns0:c>
      <ns0:c r="D90" s="8" t="str">
        <ns0:v>개발</ns0:v>
      </ns0:c>
      <ns0:c r="E90" s="8" t="str">
        <ns0:v>사원</ns0:v>
      </ns0:c>
      <ns0:c r="F90" s="8" t="n">
        <ns0:v>1</ns0:v>
      </ns0:c>
    </ns0:row>
    <ns0:row r="91" ht="23" customHeight="1">
      <ns0:c r="B91" s="10" t="str">
        <ns0:v>000086</ns0:v>
      </ns0:c>
      <ns0:c r="C91" s="8" t="str">
        <ns0:v>가상사원86</ns0:v>
      </ns0:c>
      <ns0:c r="D91" s="8" t="str">
        <ns0:v>생산</ns0:v>
      </ns0:c>
      <ns0:c r="E91" s="8" t="str">
        <ns0:v>선임</ns0:v>
      </ns0:c>
      <ns0:c r="F91" s="8" t="n">
        <ns0:v>0</ns0:v>
      </ns0:c>
    </ns0:row>
    <ns0:row r="92" ht="23" customHeight="1">
      <ns0:c r="B92" s="10" t="str">
        <ns0:v>000087</ns0:v>
      </ns0:c>
      <ns0:c r="C92" s="8" t="str">
        <ns0:v>가상사원87</ns0:v>
      </ns0:c>
      <ns0:c r="D92" s="8" t="str">
        <ns0:v>품질</ns0:v>
      </ns0:c>
      <ns0:c r="E92" s="8" t="str">
        <ns0:v>책임</ns0:v>
      </ns0:c>
      <ns0:c r="F92" s="8" t="n">
        <ns0:v>1</ns0:v>
      </ns0:c>
    </ns0:row>
    <ns0:row r="93" ht="23" customHeight="1">
      <ns0:c r="B93" s="10" t="str">
        <ns0:v>000088</ns0:v>
      </ns0:c>
      <ns0:c r="C93" s="8" t="str">
        <ns0:v>가상사원88</ns0:v>
      </ns0:c>
      <ns0:c r="D93" s="8" t="str">
        <ns0:v>기획</ns0:v>
      </ns0:c>
      <ns0:c r="E93" s="8" t="str">
        <ns0:v>사원</ns0:v>
      </ns0:c>
      <ns0:c r="F93" s="8" t="n">
        <ns0:v>1</ns0:v>
      </ns0:c>
    </ns0:row>
    <ns0:row r="94" ht="23" customHeight="1">
      <ns0:c r="B94" s="10" t="str">
        <ns0:v>000089</ns0:v>
      </ns0:c>
      <ns0:c r="C94" s="8" t="str">
        <ns0:v>가상사원89</ns0:v>
      </ns0:c>
      <ns0:c r="D94" s="8" t="str">
        <ns0:v>영업</ns0:v>
      </ns0:c>
      <ns0:c r="E94" s="8" t="str">
        <ns0:v>선임</ns0:v>
      </ns0:c>
      <ns0:c r="F94" s="8" t="n">
        <ns0:v>1</ns0:v>
      </ns0:c>
    </ns0:row>
    <ns0:row r="95" ht="23" customHeight="1">
      <ns0:c r="B95" s="10" t="str">
        <ns0:v>000090</ns0:v>
      </ns0:c>
      <ns0:c r="C95" s="8" t="str">
        <ns0:v>가상사원90</ns0:v>
      </ns0:c>
      <ns0:c r="D95" s="8" t="str">
        <ns0:v>지원</ns0:v>
      </ns0:c>
      <ns0:c r="E95" s="8" t="str">
        <ns0:v>책임</ns0:v>
      </ns0:c>
      <ns0:c r="F95" s="8" t="n">
        <ns0:v>1</ns0:v>
      </ns0:c>
    </ns0:row>
    <ns0:row r="96" ht="23" customHeight="1">
      <ns0:c r="B96" s="10" t="str">
        <ns0:v>000091</ns0:v>
      </ns0:c>
      <ns0:c r="C96" s="8" t="str">
        <ns0:v>가상사원91</ns0:v>
      </ns0:c>
      <ns0:c r="D96" s="8" t="str">
        <ns0:v>개발</ns0:v>
      </ns0:c>
      <ns0:c r="E96" s="8" t="str">
        <ns0:v>사원</ns0:v>
      </ns0:c>
      <ns0:c r="F96" s="8" t="n">
        <ns0:v>1</ns0:v>
      </ns0:c>
    </ns0:row>
    <ns0:row r="97" ht="23" customHeight="1">
      <ns0:c r="B97" s="10" t="str">
        <ns0:v>000092</ns0:v>
      </ns0:c>
      <ns0:c r="C97" s="8" t="str">
        <ns0:v>가상사원92</ns0:v>
      </ns0:c>
      <ns0:c r="D97" s="8" t="str">
        <ns0:v>생산</ns0:v>
      </ns0:c>
      <ns0:c r="E97" s="8" t="str">
        <ns0:v>선임</ns0:v>
      </ns0:c>
      <ns0:c r="F97" s="8" t="n">
        <ns0:v>1</ns0:v>
      </ns0:c>
    </ns0:row>
    <ns0:row r="98" ht="23" customHeight="1">
      <ns0:c r="B98" s="10" t="str">
        <ns0:v>000093</ns0:v>
      </ns0:c>
      <ns0:c r="C98" s="8" t="str">
        <ns0:v>가상사원93</ns0:v>
      </ns0:c>
      <ns0:c r="D98" s="8" t="str">
        <ns0:v>품질</ns0:v>
      </ns0:c>
      <ns0:c r="E98" s="8" t="str">
        <ns0:v>책임</ns0:v>
      </ns0:c>
      <ns0:c r="F98" s="8" t="n">
        <ns0:v>1</ns0:v>
      </ns0:c>
    </ns0:row>
    <ns0:row r="99" ht="23" customHeight="1">
      <ns0:c r="B99" s="10" t="str">
        <ns0:v>000094</ns0:v>
      </ns0:c>
      <ns0:c r="C99" s="8" t="str">
        <ns0:v>가상사원94</ns0:v>
      </ns0:c>
      <ns0:c r="D99" s="8" t="str">
        <ns0:v>기획</ns0:v>
      </ns0:c>
      <ns0:c r="E99" s="8" t="str">
        <ns0:v>사원</ns0:v>
      </ns0:c>
      <ns0:c r="F99" s="8" t="n">
        <ns0:v>1</ns0:v>
      </ns0:c>
    </ns0:row>
    <ns0:row r="100" ht="23" customHeight="1">
      <ns0:c r="B100" s="10" t="str">
        <ns0:v>000095</ns0:v>
      </ns0:c>
      <ns0:c r="C100" s="8" t="str">
        <ns0:v>가상사원95</ns0:v>
      </ns0:c>
      <ns0:c r="D100" s="8" t="str">
        <ns0:v>영업</ns0:v>
      </ns0:c>
      <ns0:c r="E100" s="8" t="str">
        <ns0:v>선임</ns0:v>
      </ns0:c>
      <ns0:c r="F100" s="8" t="n">
        <ns0:v>1</ns0:v>
      </ns0:c>
    </ns0:row>
    <ns0:row r="101" ht="23" customHeight="1">
      <ns0:c r="B101" s="10" t="str">
        <ns0:v>000096</ns0:v>
      </ns0:c>
      <ns0:c r="C101" s="8" t="str">
        <ns0:v>가상사원96</ns0:v>
      </ns0:c>
      <ns0:c r="D101" s="8" t="str">
        <ns0:v>지원</ns0:v>
      </ns0:c>
      <ns0:c r="E101" s="8" t="str">
        <ns0:v>책임</ns0:v>
      </ns0:c>
      <ns0:c r="F101" s="8" t="n">
        <ns0:v>1</ns0:v>
      </ns0:c>
    </ns0:row>
    <ns0:row r="102" ht="23" customHeight="1">
      <ns0:c r="B102" s="10" t="str">
        <ns0:v>000097</ns0:v>
      </ns0:c>
      <ns0:c r="C102" s="8" t="str">
        <ns0:v>가상사원97</ns0:v>
      </ns0:c>
      <ns0:c r="D102" s="8" t="str">
        <ns0:v>개발</ns0:v>
      </ns0:c>
      <ns0:c r="E102" s="8" t="str">
        <ns0:v>사원</ns0:v>
      </ns0:c>
      <ns0:c r="F102" s="8" t="n">
        <ns0:v>1</ns0:v>
      </ns0:c>
    </ns0:row>
    <ns0:row r="103" ht="23" customHeight="1">
      <ns0:c r="B103" s="10" t="str">
        <ns0:v>000098</ns0:v>
      </ns0:c>
      <ns0:c r="C103" s="8" t="str">
        <ns0:v>가상사원98</ns0:v>
      </ns0:c>
      <ns0:c r="D103" s="8" t="str">
        <ns0:v>생산</ns0:v>
      </ns0:c>
      <ns0:c r="E103" s="8" t="str">
        <ns0:v>선임</ns0:v>
      </ns0:c>
      <ns0:c r="F103" s="8" t="n">
        <ns0:v>1</ns0:v>
      </ns0:c>
    </ns0:row>
    <ns0:row r="104" ht="23" customHeight="1">
      <ns0:c r="B104" s="10" t="str">
        <ns0:v>000099</ns0:v>
      </ns0:c>
      <ns0:c r="C104" s="8" t="str">
        <ns0:v>가상사원99</ns0:v>
      </ns0:c>
      <ns0:c r="D104" s="8" t="str">
        <ns0:v>품질</ns0:v>
      </ns0:c>
      <ns0:c r="E104" s="8" t="str">
        <ns0:v>책임</ns0:v>
      </ns0:c>
      <ns0:c r="F104" s="8" t="n">
        <ns0:v>1</ns0:v>
      </ns0:c>
    </ns0:row>
    <ns0:row r="105" ht="23" customHeight="1">
      <ns0:c r="B105" s="10" t="str">
        <ns0:v>000100</ns0:v>
      </ns0:c>
      <ns0:c r="C105" s="8" t="str">
        <ns0:v>가상사원100</ns0:v>
      </ns0:c>
      <ns0:c r="D105" s="8" t="str">
        <ns0:v>기획</ns0:v>
      </ns0:c>
      <ns0:c r="E105" s="8" t="str">
        <ns0:v>사원</ns0:v>
      </ns0:c>
      <ns0:c r="F105" s="8" t="n">
        <ns0:v>1</ns0:v>
      </ns0:c>
    </ns0:row>
    <ns0:row r="106" ht="23" customHeight="1">
      <ns0:c r="B106" s="10" t="str">
        <ns0:v>000101</ns0:v>
      </ns0:c>
      <ns0:c r="C106" s="8" t="str">
        <ns0:v>가상사원101</ns0:v>
      </ns0:c>
      <ns0:c r="D106" s="8" t="str">
        <ns0:v>영업</ns0:v>
      </ns0:c>
      <ns0:c r="E106" s="8" t="str">
        <ns0:v>선임</ns0:v>
      </ns0:c>
      <ns0:c r="F106" s="8" t="n">
        <ns0:v>1</ns0:v>
      </ns0:c>
    </ns0:row>
    <ns0:row r="107" ht="23" customHeight="1">
      <ns0:c r="B107" s="10" t="str">
        <ns0:v>000102</ns0:v>
      </ns0:c>
      <ns0:c r="C107" s="8" t="str">
        <ns0:v>가상사원102</ns0:v>
      </ns0:c>
      <ns0:c r="D107" s="8" t="str">
        <ns0:v>지원</ns0:v>
      </ns0:c>
      <ns0:c r="E107" s="8" t="str">
        <ns0:v>책임</ns0:v>
      </ns0:c>
      <ns0:c r="F107" s="8" t="n">
        <ns0:v>1</ns0:v>
      </ns0:c>
    </ns0:row>
    <ns0:row r="108" ht="23" customHeight="1">
      <ns0:c r="B108" s="10" t="str">
        <ns0:v>000103</ns0:v>
      </ns0:c>
      <ns0:c r="C108" s="8" t="str">
        <ns0:v>가상사원103</ns0:v>
      </ns0:c>
      <ns0:c r="D108" s="8" t="str">
        <ns0:v>개발</ns0:v>
      </ns0:c>
      <ns0:c r="E108" s="8" t="str">
        <ns0:v>사원</ns0:v>
      </ns0:c>
      <ns0:c r="F108" s="8" t="n">
        <ns0:v>0</ns0:v>
      </ns0:c>
    </ns0:row>
    <ns0:row r="109" ht="23" customHeight="1">
      <ns0:c r="B109" s="10" t="str">
        <ns0:v>000104</ns0:v>
      </ns0:c>
      <ns0:c r="C109" s="8" t="str">
        <ns0:v>가상사원104</ns0:v>
      </ns0:c>
      <ns0:c r="D109" s="8" t="str">
        <ns0:v>생산</ns0:v>
      </ns0:c>
      <ns0:c r="E109" s="8" t="str">
        <ns0:v>선임</ns0:v>
      </ns0:c>
      <ns0:c r="F109" s="8" t="n">
        <ns0:v>1</ns0:v>
      </ns0:c>
    </ns0:row>
    <ns0:row r="110" ht="23" customHeight="1">
      <ns0:c r="B110" s="10" t="str">
        <ns0:v>000105</ns0:v>
      </ns0:c>
      <ns0:c r="C110" s="8" t="str">
        <ns0:v>가상사원105</ns0:v>
      </ns0:c>
      <ns0:c r="D110" s="8" t="str">
        <ns0:v>품질</ns0:v>
      </ns0:c>
      <ns0:c r="E110" s="8" t="str">
        <ns0:v>책임</ns0:v>
      </ns0:c>
      <ns0:c r="F110" s="8" t="n">
        <ns0:v>1</ns0:v>
      </ns0:c>
    </ns0:row>
    <ns0:row r="111" ht="23" customHeight="1">
      <ns0:c r="B111" s="10" t="str">
        <ns0:v>000106</ns0:v>
      </ns0:c>
      <ns0:c r="C111" s="8" t="str">
        <ns0:v>가상사원106</ns0:v>
      </ns0:c>
      <ns0:c r="D111" s="8" t="str">
        <ns0:v>기획</ns0:v>
      </ns0:c>
      <ns0:c r="E111" s="8" t="str">
        <ns0:v>사원</ns0:v>
      </ns0:c>
      <ns0:c r="F111" s="8" t="n">
        <ns0:v>1</ns0:v>
      </ns0:c>
    </ns0:row>
    <ns0:row r="112" ht="23" customHeight="1">
      <ns0:c r="B112" s="10" t="str">
        <ns0:v>000107</ns0:v>
      </ns0:c>
      <ns0:c r="C112" s="8" t="str">
        <ns0:v>가상사원107</ns0:v>
      </ns0:c>
      <ns0:c r="D112" s="8" t="str">
        <ns0:v>영업</ns0:v>
      </ns0:c>
      <ns0:c r="E112" s="8" t="str">
        <ns0:v>선임</ns0:v>
      </ns0:c>
      <ns0:c r="F112" s="8" t="n">
        <ns0:v>1</ns0:v>
      </ns0:c>
    </ns0:row>
    <ns0:row r="113" ht="23" customHeight="1">
      <ns0:c r="B113" s="10" t="str">
        <ns0:v>000108</ns0:v>
      </ns0:c>
      <ns0:c r="C113" s="8" t="str">
        <ns0:v>가상사원108</ns0:v>
      </ns0:c>
      <ns0:c r="D113" s="8" t="str">
        <ns0:v>지원</ns0:v>
      </ns0:c>
      <ns0:c r="E113" s="8" t="str">
        <ns0:v>책임</ns0:v>
      </ns0:c>
      <ns0:c r="F113" s="8" t="n">
        <ns0:v>1</ns0:v>
      </ns0:c>
    </ns0:row>
    <ns0:row r="114" ht="23" customHeight="1">
      <ns0:c r="B114" s="10" t="str">
        <ns0:v>000109</ns0:v>
      </ns0:c>
      <ns0:c r="C114" s="8" t="str">
        <ns0:v>가상사원109</ns0:v>
      </ns0:c>
      <ns0:c r="D114" s="8" t="str">
        <ns0:v>개발</ns0:v>
      </ns0:c>
      <ns0:c r="E114" s="8" t="str">
        <ns0:v>사원</ns0:v>
      </ns0:c>
      <ns0:c r="F114" s="8" t="n">
        <ns0:v>1</ns0:v>
      </ns0:c>
    </ns0:row>
    <ns0:row r="115" ht="23" customHeight="1">
      <ns0:c r="B115" s="10" t="str">
        <ns0:v>000110</ns0:v>
      </ns0:c>
      <ns0:c r="C115" s="8" t="str">
        <ns0:v>가상사원110</ns0:v>
      </ns0:c>
      <ns0:c r="D115" s="8" t="str">
        <ns0:v>생산</ns0:v>
      </ns0:c>
      <ns0:c r="E115" s="8" t="str">
        <ns0:v>선임</ns0:v>
      </ns0:c>
      <ns0:c r="F115" s="8" t="n">
        <ns0:v>1</ns0:v>
      </ns0:c>
    </ns0:row>
    <ns0:row r="116" ht="23" customHeight="1">
      <ns0:c r="B116" s="10" t="str">
        <ns0:v>000111</ns0:v>
      </ns0:c>
      <ns0:c r="C116" s="8" t="str">
        <ns0:v>가상사원111</ns0:v>
      </ns0:c>
      <ns0:c r="D116" s="8" t="str">
        <ns0:v>품질</ns0:v>
      </ns0:c>
      <ns0:c r="E116" s="8" t="str">
        <ns0:v>책임</ns0:v>
      </ns0:c>
      <ns0:c r="F116" s="8" t="n">
        <ns0:v>1</ns0:v>
      </ns0:c>
    </ns0:row>
    <ns0:row r="117" ht="23" customHeight="1">
      <ns0:c r="B117" s="10" t="str">
        <ns0:v>000112</ns0:v>
      </ns0:c>
      <ns0:c r="C117" s="8" t="str">
        <ns0:v>가상사원112</ns0:v>
      </ns0:c>
      <ns0:c r="D117" s="8" t="str">
        <ns0:v>기획</ns0:v>
      </ns0:c>
      <ns0:c r="E117" s="8" t="str">
        <ns0:v>사원</ns0:v>
      </ns0:c>
      <ns0:c r="F117" s="8" t="n">
        <ns0:v>1</ns0:v>
      </ns0:c>
    </ns0:row>
    <ns0:row r="118" ht="23" customHeight="1">
      <ns0:c r="B118" s="10" t="str">
        <ns0:v>000113</ns0:v>
      </ns0:c>
      <ns0:c r="C118" s="8" t="str">
        <ns0:v>가상사원113</ns0:v>
      </ns0:c>
      <ns0:c r="D118" s="8" t="str">
        <ns0:v>영업</ns0:v>
      </ns0:c>
      <ns0:c r="E118" s="8" t="str">
        <ns0:v>선임</ns0:v>
      </ns0:c>
      <ns0:c r="F118" s="8" t="n">
        <ns0:v>1</ns0:v>
      </ns0:c>
    </ns0:row>
    <ns0:row r="119" ht="23" customHeight="1">
      <ns0:c r="B119" s="10" t="str">
        <ns0:v>000114</ns0:v>
      </ns0:c>
      <ns0:c r="C119" s="8" t="str">
        <ns0:v>가상사원114</ns0:v>
      </ns0:c>
      <ns0:c r="D119" s="8" t="str">
        <ns0:v>지원</ns0:v>
      </ns0:c>
      <ns0:c r="E119" s="8" t="str">
        <ns0:v>책임</ns0:v>
      </ns0:c>
      <ns0:c r="F119" s="8" t="n">
        <ns0:v>1</ns0:v>
      </ns0:c>
    </ns0:row>
    <ns0:row r="120" ht="23" customHeight="1">
      <ns0:c r="B120" s="10" t="str">
        <ns0:v>000115</ns0:v>
      </ns0:c>
      <ns0:c r="C120" s="8" t="str">
        <ns0:v>가상사원115</ns0:v>
      </ns0:c>
      <ns0:c r="D120" s="8" t="str">
        <ns0:v>개발</ns0:v>
      </ns0:c>
      <ns0:c r="E120" s="8" t="str">
        <ns0:v>사원</ns0:v>
      </ns0:c>
      <ns0:c r="F120" s="8" t="n">
        <ns0:v>1</ns0:v>
      </ns0:c>
    </ns0:row>
    <ns0:row r="121" ht="23" customHeight="1">
      <ns0:c r="B121" s="10" t="str">
        <ns0:v>000116</ns0:v>
      </ns0:c>
      <ns0:c r="C121" s="8" t="str">
        <ns0:v>가상사원116</ns0:v>
      </ns0:c>
      <ns0:c r="D121" s="8" t="str">
        <ns0:v>생산</ns0:v>
      </ns0:c>
      <ns0:c r="E121" s="8" t="str">
        <ns0:v>선임</ns0:v>
      </ns0:c>
      <ns0:c r="F121" s="8" t="n">
        <ns0:v>1</ns0:v>
      </ns0:c>
    </ns0:row>
    <ns0:row r="122" ht="23" customHeight="1">
      <ns0:c r="B122" s="10" t="str">
        <ns0:v>000117</ns0:v>
      </ns0:c>
      <ns0:c r="C122" s="8" t="str">
        <ns0:v>가상사원117</ns0:v>
      </ns0:c>
      <ns0:c r="D122" s="8" t="str">
        <ns0:v>품질</ns0:v>
      </ns0:c>
      <ns0:c r="E122" s="8" t="str">
        <ns0:v>책임</ns0:v>
      </ns0:c>
      <ns0:c r="F122" s="8" t="n">
        <ns0:v>1</ns0:v>
      </ns0:c>
    </ns0:row>
    <ns0:row r="123" ht="23" customHeight="1">
      <ns0:c r="B123" s="10" t="str">
        <ns0:v>000118</ns0:v>
      </ns0:c>
      <ns0:c r="C123" s="8" t="str">
        <ns0:v>가상사원118</ns0:v>
      </ns0:c>
      <ns0:c r="D123" s="8" t="str">
        <ns0:v>기획</ns0:v>
      </ns0:c>
      <ns0:c r="E123" s="8" t="str">
        <ns0:v>사원</ns0:v>
      </ns0:c>
      <ns0:c r="F123" s="8" t="n">
        <ns0:v>1</ns0:v>
      </ns0:c>
    </ns0:row>
    <ns0:row r="124" ht="23" customHeight="1">
      <ns0:c r="B124" s="10" t="str">
        <ns0:v>000119</ns0:v>
      </ns0:c>
      <ns0:c r="C124" s="8" t="str">
        <ns0:v>가상사원119</ns0:v>
      </ns0:c>
      <ns0:c r="D124" s="8" t="str">
        <ns0:v>영업</ns0:v>
      </ns0:c>
      <ns0:c r="E124" s="8" t="str">
        <ns0:v>선임</ns0:v>
      </ns0:c>
      <ns0:c r="F124" s="8" t="n">
        <ns0:v>1</ns0:v>
      </ns0:c>
    </ns0:row>
    <ns0:row r="125" ht="23" customHeight="1">
      <ns0:c r="B125" s="10" t="str">
        <ns0:v>000120</ns0:v>
      </ns0:c>
      <ns0:c r="C125" s="8" t="str">
        <ns0:v>가상사원120</ns0:v>
      </ns0:c>
      <ns0:c r="D125" s="8" t="str">
        <ns0:v>지원</ns0:v>
      </ns0:c>
      <ns0:c r="E125" s="8" t="str">
        <ns0:v>책임</ns0:v>
      </ns0:c>
      <ns0:c r="F125" s="8" t="n">
        <ns0:v>0</ns0:v>
      </ns0:c>
    </ns0:row>
    <ns0:row r="126" ht="23" customHeight="1">
      <ns0:c r="B126" s="10" t="str">
        <ns0:v>000121</ns0:v>
      </ns0:c>
      <ns0:c r="C126" s="8" t="str">
        <ns0:v>가상사원121</ns0:v>
      </ns0:c>
      <ns0:c r="D126" s="8" t="str">
        <ns0:v>개발</ns0:v>
      </ns0:c>
      <ns0:c r="E126" s="8" t="str">
        <ns0:v>사원</ns0:v>
      </ns0:c>
      <ns0:c r="F126" s="8" t="n">
        <ns0:v>1</ns0:v>
      </ns0:c>
    </ns0:row>
    <ns0:row r="127" ht="23" customHeight="1">
      <ns0:c r="B127" s="10" t="str">
        <ns0:v>000122</ns0:v>
      </ns0:c>
      <ns0:c r="C127" s="8" t="str">
        <ns0:v>가상사원122</ns0:v>
      </ns0:c>
      <ns0:c r="D127" s="8" t="str">
        <ns0:v>생산</ns0:v>
      </ns0:c>
      <ns0:c r="E127" s="8" t="str">
        <ns0:v>선임</ns0:v>
      </ns0:c>
      <ns0:c r="F127" s="8" t="n">
        <ns0:v>1</ns0:v>
      </ns0:c>
    </ns0:row>
    <ns0:row r="128" ht="23" customHeight="1">
      <ns0:c r="B128" s="10" t="str">
        <ns0:v>000123</ns0:v>
      </ns0:c>
      <ns0:c r="C128" s="8" t="str">
        <ns0:v>가상사원123</ns0:v>
      </ns0:c>
      <ns0:c r="D128" s="8" t="str">
        <ns0:v>품질</ns0:v>
      </ns0:c>
      <ns0:c r="E128" s="8" t="str">
        <ns0:v>책임</ns0:v>
      </ns0:c>
      <ns0:c r="F128" s="8" t="n">
        <ns0:v>1</ns0:v>
      </ns0:c>
    </ns0:row>
    <ns0:row r="129" ht="23" customHeight="1">
      <ns0:c r="B129" s="10" t="str">
        <ns0:v>000124</ns0:v>
      </ns0:c>
      <ns0:c r="C129" s="8" t="str">
        <ns0:v>가상사원124</ns0:v>
      </ns0:c>
      <ns0:c r="D129" s="8" t="str">
        <ns0:v>기획</ns0:v>
      </ns0:c>
      <ns0:c r="E129" s="8" t="str">
        <ns0:v>사원</ns0:v>
      </ns0:c>
      <ns0:c r="F129" s="8" t="n">
        <ns0:v>1</ns0:v>
      </ns0:c>
    </ns0:row>
    <ns0:row r="130" ht="23" customHeight="1">
      <ns0:c r="B130" s="10" t="str">
        <ns0:v>000125</ns0:v>
      </ns0:c>
      <ns0:c r="C130" s="8" t="str">
        <ns0:v>가상사원125</ns0:v>
      </ns0:c>
      <ns0:c r="D130" s="8" t="str">
        <ns0:v>영업</ns0:v>
      </ns0:c>
      <ns0:c r="E130" s="8" t="str">
        <ns0:v>선임</ns0:v>
      </ns0:c>
      <ns0:c r="F130" s="8" t="n">
        <ns0:v>1</ns0:v>
      </ns0:c>
    </ns0:row>
    <ns0:row r="131" ht="23" customHeight="1">
      <ns0:c r="B131" s="10" t="str">
        <ns0:v>000126</ns0:v>
      </ns0:c>
      <ns0:c r="C131" s="8" t="str">
        <ns0:v>가상사원126</ns0:v>
      </ns0:c>
      <ns0:c r="D131" s="8" t="str">
        <ns0:v>지원</ns0:v>
      </ns0:c>
      <ns0:c r="E131" s="8" t="str">
        <ns0:v>책임</ns0:v>
      </ns0:c>
      <ns0:c r="F131" s="8" t="n">
        <ns0:v>1</ns0:v>
      </ns0:c>
    </ns0:row>
    <ns0:row r="132" ht="23" customHeight="1">
      <ns0:c r="B132" s="10" t="str">
        <ns0:v>000127</ns0:v>
      </ns0:c>
      <ns0:c r="C132" s="8" t="str">
        <ns0:v>가상사원127</ns0:v>
      </ns0:c>
      <ns0:c r="D132" s="8" t="str">
        <ns0:v>개발</ns0:v>
      </ns0:c>
      <ns0:c r="E132" s="8" t="str">
        <ns0:v>사원</ns0:v>
      </ns0:c>
      <ns0:c r="F132" s="8" t="n">
        <ns0:v>1</ns0:v>
      </ns0:c>
    </ns0:row>
    <ns0:row r="133" ht="23" customHeight="1">
      <ns0:c r="B133" s="10" t="str">
        <ns0:v>000128</ns0:v>
      </ns0:c>
      <ns0:c r="C133" s="8" t="str">
        <ns0:v>가상사원128</ns0:v>
      </ns0:c>
      <ns0:c r="D133" s="8" t="str">
        <ns0:v>생산</ns0:v>
      </ns0:c>
      <ns0:c r="E133" s="8" t="str">
        <ns0:v>선임</ns0:v>
      </ns0:c>
      <ns0:c r="F133" s="8" t="n">
        <ns0:v>1</ns0:v>
      </ns0:c>
    </ns0:row>
    <ns0:row r="134" ht="23" customHeight="1">
      <ns0:c r="B134" s="10" t="str">
        <ns0:v>000129</ns0:v>
      </ns0:c>
      <ns0:c r="C134" s="8" t="str">
        <ns0:v>가상사원129</ns0:v>
      </ns0:c>
      <ns0:c r="D134" s="8" t="str">
        <ns0:v>품질</ns0:v>
      </ns0:c>
      <ns0:c r="E134" s="8" t="str">
        <ns0:v>책임</ns0:v>
      </ns0:c>
      <ns0:c r="F134" s="8" t="n">
        <ns0:v>1</ns0:v>
      </ns0:c>
    </ns0:row>
    <ns0:row r="135" ht="23" customHeight="1">
      <ns0:c r="B135" s="10" t="str">
        <ns0:v>000130</ns0:v>
      </ns0:c>
      <ns0:c r="C135" s="8" t="str">
        <ns0:v>가상사원130</ns0:v>
      </ns0:c>
      <ns0:c r="D135" s="8" t="str">
        <ns0:v>기획</ns0:v>
      </ns0:c>
      <ns0:c r="E135" s="8" t="str">
        <ns0:v>사원</ns0:v>
      </ns0:c>
      <ns0:c r="F135" s="8" t="n">
        <ns0:v>1</ns0:v>
      </ns0:c>
    </ns0:row>
    <ns0:row r="136" ht="23" customHeight="1">
      <ns0:c r="B136" s="10" t="str">
        <ns0:v>000131</ns0:v>
      </ns0:c>
      <ns0:c r="C136" s="8" t="str">
        <ns0:v>가상사원131</ns0:v>
      </ns0:c>
      <ns0:c r="D136" s="8" t="str">
        <ns0:v>영업</ns0:v>
      </ns0:c>
      <ns0:c r="E136" s="8" t="str">
        <ns0:v>선임</ns0:v>
      </ns0:c>
      <ns0:c r="F136" s="8" t="n">
        <ns0:v>1</ns0:v>
      </ns0:c>
    </ns0:row>
    <ns0:row r="137" ht="23" customHeight="1">
      <ns0:c r="B137" s="10" t="str">
        <ns0:v>000132</ns0:v>
      </ns0:c>
      <ns0:c r="C137" s="8" t="str">
        <ns0:v>가상사원132</ns0:v>
      </ns0:c>
      <ns0:c r="D137" s="8" t="str">
        <ns0:v>지원</ns0:v>
      </ns0:c>
      <ns0:c r="E137" s="8" t="str">
        <ns0:v>책임</ns0:v>
      </ns0:c>
      <ns0:c r="F137" s="8" t="n">
        <ns0:v>1</ns0:v>
      </ns0:c>
    </ns0:row>
    <ns0:row r="138" ht="23" customHeight="1">
      <ns0:c r="B138" s="10" t="str">
        <ns0:v>000133</ns0:v>
      </ns0:c>
      <ns0:c r="C138" s="8" t="str">
        <ns0:v>가상사원133</ns0:v>
      </ns0:c>
      <ns0:c r="D138" s="8" t="str">
        <ns0:v>개발</ns0:v>
      </ns0:c>
      <ns0:c r="E138" s="8" t="str">
        <ns0:v>사원</ns0:v>
      </ns0:c>
      <ns0:c r="F138" s="8" t="n">
        <ns0:v>1</ns0:v>
      </ns0:c>
    </ns0:row>
    <ns0:row r="139" ht="23" customHeight="1">
      <ns0:c r="B139" s="10" t="str">
        <ns0:v>000134</ns0:v>
      </ns0:c>
      <ns0:c r="C139" s="8" t="str">
        <ns0:v>가상사원134</ns0:v>
      </ns0:c>
      <ns0:c r="D139" s="8" t="str">
        <ns0:v>생산</ns0:v>
      </ns0:c>
      <ns0:c r="E139" s="8" t="str">
        <ns0:v>선임</ns0:v>
      </ns0:c>
      <ns0:c r="F139" s="8" t="n">
        <ns0:v>1</ns0:v>
      </ns0:c>
    </ns0:row>
    <ns0:row r="140" ht="23" customHeight="1">
      <ns0:c r="B140" s="10" t="str">
        <ns0:v>000135</ns0:v>
      </ns0:c>
      <ns0:c r="C140" s="8" t="str">
        <ns0:v>가상사원135</ns0:v>
      </ns0:c>
      <ns0:c r="D140" s="8" t="str">
        <ns0:v>품질</ns0:v>
      </ns0:c>
      <ns0:c r="E140" s="8" t="str">
        <ns0:v>책임</ns0:v>
      </ns0:c>
      <ns0:c r="F140" s="8" t="n">
        <ns0:v>1</ns0:v>
      </ns0:c>
    </ns0:row>
    <ns0:row r="141" ht="23" customHeight="1">
      <ns0:c r="B141" s="10" t="str">
        <ns0:v>000136</ns0:v>
      </ns0:c>
      <ns0:c r="C141" s="8" t="str">
        <ns0:v>가상사원136</ns0:v>
      </ns0:c>
      <ns0:c r="D141" s="8" t="str">
        <ns0:v>기획</ns0:v>
      </ns0:c>
      <ns0:c r="E141" s="8" t="str">
        <ns0:v>사원</ns0:v>
      </ns0:c>
      <ns0:c r="F141" s="8" t="n">
        <ns0:v>1</ns0:v>
      </ns0:c>
    </ns0:row>
    <ns0:row r="142" ht="23" customHeight="1">
      <ns0:c r="B142" s="10" t="str">
        <ns0:v>000137</ns0:v>
      </ns0:c>
      <ns0:c r="C142" s="8" t="str">
        <ns0:v>가상사원137</ns0:v>
      </ns0:c>
      <ns0:c r="D142" s="8" t="str">
        <ns0:v>영업</ns0:v>
      </ns0:c>
      <ns0:c r="E142" s="8" t="str">
        <ns0:v>선임</ns0:v>
      </ns0:c>
      <ns0:c r="F142" s="8" t="n">
        <ns0:v>0</ns0:v>
      </ns0:c>
    </ns0:row>
    <ns0:row r="143" ht="23" customHeight="1">
      <ns0:c r="B143" s="10" t="str">
        <ns0:v>000138</ns0:v>
      </ns0:c>
      <ns0:c r="C143" s="8" t="str">
        <ns0:v>가상사원138</ns0:v>
      </ns0:c>
      <ns0:c r="D143" s="8" t="str">
        <ns0:v>지원</ns0:v>
      </ns0:c>
      <ns0:c r="E143" s="8" t="str">
        <ns0:v>책임</ns0:v>
      </ns0:c>
      <ns0:c r="F143" s="8" t="n">
        <ns0:v>1</ns0:v>
      </ns0:c>
    </ns0:row>
    <ns0:row r="144" ht="23" customHeight="1">
      <ns0:c r="B144" s="10" t="str">
        <ns0:v>000139</ns0:v>
      </ns0:c>
      <ns0:c r="C144" s="8" t="str">
        <ns0:v>가상사원139</ns0:v>
      </ns0:c>
      <ns0:c r="D144" s="8" t="str">
        <ns0:v>개발</ns0:v>
      </ns0:c>
      <ns0:c r="E144" s="8" t="str">
        <ns0:v>사원</ns0:v>
      </ns0:c>
      <ns0:c r="F144" s="8" t="n">
        <ns0:v>1</ns0:v>
      </ns0:c>
    </ns0:row>
    <ns0:row r="145" ht="23" customHeight="1">
      <ns0:c r="B145" s="10" t="str">
        <ns0:v>000140</ns0:v>
      </ns0:c>
      <ns0:c r="C145" s="8" t="str">
        <ns0:v>가상사원140</ns0:v>
      </ns0:c>
      <ns0:c r="D145" s="8" t="str">
        <ns0:v>생산</ns0:v>
      </ns0:c>
      <ns0:c r="E145" s="8" t="str">
        <ns0:v>선임</ns0:v>
      </ns0:c>
      <ns0:c r="F145" s="8" t="n">
        <ns0:v>1</ns0:v>
      </ns0:c>
    </ns0:row>
    <ns0:row r="146" ht="23" customHeight="1">
      <ns0:c r="B146" s="10" t="str">
        <ns0:v>000141</ns0:v>
      </ns0:c>
      <ns0:c r="C146" s="8" t="str">
        <ns0:v>가상사원141</ns0:v>
      </ns0:c>
      <ns0:c r="D146" s="8" t="str">
        <ns0:v>품질</ns0:v>
      </ns0:c>
      <ns0:c r="E146" s="8" t="str">
        <ns0:v>책임</ns0:v>
      </ns0:c>
      <ns0:c r="F146" s="8" t="n">
        <ns0:v>1</ns0:v>
      </ns0:c>
    </ns0:row>
    <ns0:row r="147" ht="23" customHeight="1">
      <ns0:c r="B147" s="10" t="str">
        <ns0:v>000142</ns0:v>
      </ns0:c>
      <ns0:c r="C147" s="8" t="str">
        <ns0:v>가상사원142</ns0:v>
      </ns0:c>
      <ns0:c r="D147" s="8" t="str">
        <ns0:v>기획</ns0:v>
      </ns0:c>
      <ns0:c r="E147" s="8" t="str">
        <ns0:v>사원</ns0:v>
      </ns0:c>
      <ns0:c r="F147" s="8" t="n">
        <ns0:v>1</ns0:v>
      </ns0:c>
    </ns0:row>
    <ns0:row r="148" ht="23" customHeight="1">
      <ns0:c r="B148" s="10" t="str">
        <ns0:v>000143</ns0:v>
      </ns0:c>
      <ns0:c r="C148" s="8" t="str">
        <ns0:v>가상사원143</ns0:v>
      </ns0:c>
      <ns0:c r="D148" s="8" t="str">
        <ns0:v>영업</ns0:v>
      </ns0:c>
      <ns0:c r="E148" s="8" t="str">
        <ns0:v>선임</ns0:v>
      </ns0:c>
      <ns0:c r="F148" s="8" t="n">
        <ns0:v>1</ns0:v>
      </ns0:c>
    </ns0:row>
    <ns0:row r="149" ht="23" customHeight="1">
      <ns0:c r="B149" s="10" t="str">
        <ns0:v>000144</ns0:v>
      </ns0:c>
      <ns0:c r="C149" s="8" t="str">
        <ns0:v>가상사원144</ns0:v>
      </ns0:c>
      <ns0:c r="D149" s="8" t="str">
        <ns0:v>지원</ns0:v>
      </ns0:c>
      <ns0:c r="E149" s="8" t="str">
        <ns0:v>책임</ns0:v>
      </ns0:c>
      <ns0:c r="F149" s="8" t="n">
        <ns0:v>1</ns0:v>
      </ns0:c>
    </ns0:row>
    <ns0:row r="150" ht="23" customHeight="1">
      <ns0:c r="B150" s="10" t="str">
        <ns0:v>000145</ns0:v>
      </ns0:c>
      <ns0:c r="C150" s="8" t="str">
        <ns0:v>가상사원145</ns0:v>
      </ns0:c>
      <ns0:c r="D150" s="8" t="str">
        <ns0:v>개발</ns0:v>
      </ns0:c>
      <ns0:c r="E150" s="8" t="str">
        <ns0:v>사원</ns0:v>
      </ns0:c>
      <ns0:c r="F150" s="8" t="n">
        <ns0:v>1</ns0:v>
      </ns0:c>
    </ns0:row>
    <ns0:row r="151" ht="23" customHeight="1">
      <ns0:c r="B151" s="10" t="str">
        <ns0:v>000146</ns0:v>
      </ns0:c>
      <ns0:c r="C151" s="8" t="str">
        <ns0:v>가상사원146</ns0:v>
      </ns0:c>
      <ns0:c r="D151" s="8" t="str">
        <ns0:v>생산</ns0:v>
      </ns0:c>
      <ns0:c r="E151" s="8" t="str">
        <ns0:v>선임</ns0:v>
      </ns0:c>
      <ns0:c r="F151" s="8" t="n">
        <ns0:v>1</ns0:v>
      </ns0:c>
    </ns0:row>
    <ns0:row r="152" ht="23" customHeight="1">
      <ns0:c r="B152" s="10" t="str">
        <ns0:v>000147</ns0:v>
      </ns0:c>
      <ns0:c r="C152" s="8" t="str">
        <ns0:v>가상사원147</ns0:v>
      </ns0:c>
      <ns0:c r="D152" s="8" t="str">
        <ns0:v>품질</ns0:v>
      </ns0:c>
      <ns0:c r="E152" s="8" t="str">
        <ns0:v>책임</ns0:v>
      </ns0:c>
      <ns0:c r="F152" s="8" t="n">
        <ns0:v>1</ns0:v>
      </ns0:c>
    </ns0:row>
    <ns0:row r="153" ht="23" customHeight="1">
      <ns0:c r="B153" s="10" t="str">
        <ns0:v>000148</ns0:v>
      </ns0:c>
      <ns0:c r="C153" s="8" t="str">
        <ns0:v>가상사원148</ns0:v>
      </ns0:c>
      <ns0:c r="D153" s="8" t="str">
        <ns0:v>기획</ns0:v>
      </ns0:c>
      <ns0:c r="E153" s="8" t="str">
        <ns0:v>사원</ns0:v>
      </ns0:c>
      <ns0:c r="F153" s="8" t="n">
        <ns0:v>1</ns0:v>
      </ns0:c>
    </ns0:row>
    <ns0:row r="154" ht="23" customHeight="1">
      <ns0:c r="B154" s="10" t="str">
        <ns0:v>000149</ns0:v>
      </ns0:c>
      <ns0:c r="C154" s="8" t="str">
        <ns0:v>가상사원149</ns0:v>
      </ns0:c>
      <ns0:c r="D154" s="8" t="str">
        <ns0:v>영업</ns0:v>
      </ns0:c>
      <ns0:c r="E154" s="8" t="str">
        <ns0:v>선임</ns0:v>
      </ns0:c>
      <ns0:c r="F154" s="8" t="n">
        <ns0:v>1</ns0:v>
      </ns0:c>
    </ns0:row>
    <ns0:row r="155" ht="23" customHeight="1">
      <ns0:c r="B155" s="10" t="str">
        <ns0:v>000150</ns0:v>
      </ns0:c>
      <ns0:c r="C155" s="8" t="str">
        <ns0:v>가상사원150</ns0:v>
      </ns0:c>
      <ns0:c r="D155" s="8" t="str">
        <ns0:v>지원</ns0:v>
      </ns0:c>
      <ns0:c r="E155" s="8" t="str">
        <ns0:v>책임</ns0:v>
      </ns0:c>
      <ns0:c r="F155" s="8" t="n">
        <ns0:v>1</ns0:v>
      </ns0:c>
    </ns0:row>
    <ns0:row r="156" ht="23" customHeight="1">
      <ns0:c r="B156" s="10" t="str">
        <ns0:v>000151</ns0:v>
      </ns0:c>
      <ns0:c r="C156" s="8" t="str">
        <ns0:v>가상사원151</ns0:v>
      </ns0:c>
      <ns0:c r="D156" s="8" t="str">
        <ns0:v>개발</ns0:v>
      </ns0:c>
      <ns0:c r="E156" s="8" t="str">
        <ns0:v>사원</ns0:v>
      </ns0:c>
      <ns0:c r="F156" s="8" t="n">
        <ns0:v>1</ns0:v>
      </ns0:c>
    </ns0:row>
    <ns0:row r="157" ht="23" customHeight="1">
      <ns0:c r="B157" s="10" t="str">
        <ns0:v>000152</ns0:v>
      </ns0:c>
      <ns0:c r="C157" s="8" t="str">
        <ns0:v>가상사원152</ns0:v>
      </ns0:c>
      <ns0:c r="D157" s="8" t="str">
        <ns0:v>생산</ns0:v>
      </ns0:c>
      <ns0:c r="E157" s="8" t="str">
        <ns0:v>선임</ns0:v>
      </ns0:c>
      <ns0:c r="F157" s="8" t="n">
        <ns0:v>1</ns0:v>
      </ns0:c>
    </ns0:row>
    <ns0:row r="158" ht="23" customHeight="1">
      <ns0:c r="B158" s="10" t="str">
        <ns0:v>000153</ns0:v>
      </ns0:c>
      <ns0:c r="C158" s="8" t="str">
        <ns0:v>가상사원153</ns0:v>
      </ns0:c>
      <ns0:c r="D158" s="8" t="str">
        <ns0:v>품질</ns0:v>
      </ns0:c>
      <ns0:c r="E158" s="8" t="str">
        <ns0:v>책임</ns0:v>
      </ns0:c>
      <ns0:c r="F158" s="8" t="n">
        <ns0:v>1</ns0:v>
      </ns0:c>
    </ns0:row>
    <ns0:row r="159" ht="23" customHeight="1">
      <ns0:c r="B159" s="10" t="str">
        <ns0:v>000154</ns0:v>
      </ns0:c>
      <ns0:c r="C159" s="8" t="str">
        <ns0:v>가상사원154</ns0:v>
      </ns0:c>
      <ns0:c r="D159" s="8" t="str">
        <ns0:v>기획</ns0:v>
      </ns0:c>
      <ns0:c r="E159" s="8" t="str">
        <ns0:v>사원</ns0:v>
      </ns0:c>
      <ns0:c r="F159" s="8" t="n">
        <ns0:v>0</ns0:v>
      </ns0:c>
    </ns0:row>
    <ns0:row r="160" ht="23" customHeight="1">
      <ns0:c r="B160" s="10" t="str">
        <ns0:v>000155</ns0:v>
      </ns0:c>
      <ns0:c r="C160" s="8" t="str">
        <ns0:v>가상사원155</ns0:v>
      </ns0:c>
      <ns0:c r="D160" s="8" t="str">
        <ns0:v>영업</ns0:v>
      </ns0:c>
      <ns0:c r="E160" s="8" t="str">
        <ns0:v>선임</ns0:v>
      </ns0:c>
      <ns0:c r="F160" s="8" t="n">
        <ns0:v>1</ns0:v>
      </ns0:c>
    </ns0:row>
    <ns0:row r="161" ht="23" customHeight="1">
      <ns0:c r="B161" s="10" t="str">
        <ns0:v>000156</ns0:v>
      </ns0:c>
      <ns0:c r="C161" s="8" t="str">
        <ns0:v>가상사원156</ns0:v>
      </ns0:c>
      <ns0:c r="D161" s="8" t="str">
        <ns0:v>지원</ns0:v>
      </ns0:c>
      <ns0:c r="E161" s="8" t="str">
        <ns0:v>책임</ns0:v>
      </ns0:c>
      <ns0:c r="F161" s="8" t="n">
        <ns0:v>1</ns0:v>
      </ns0:c>
    </ns0:row>
    <ns0:row r="162" ht="23" customHeight="1">
      <ns0:c r="B162" s="10" t="str">
        <ns0:v>000157</ns0:v>
      </ns0:c>
      <ns0:c r="C162" s="8" t="str">
        <ns0:v>가상사원157</ns0:v>
      </ns0:c>
      <ns0:c r="D162" s="8" t="str">
        <ns0:v>개발</ns0:v>
      </ns0:c>
      <ns0:c r="E162" s="8" t="str">
        <ns0:v>사원</ns0:v>
      </ns0:c>
      <ns0:c r="F162" s="8" t="n">
        <ns0:v>1</ns0:v>
      </ns0:c>
    </ns0:row>
    <ns0:row r="163" ht="23" customHeight="1">
      <ns0:c r="B163" s="10" t="str">
        <ns0:v>000158</ns0:v>
      </ns0:c>
      <ns0:c r="C163" s="8" t="str">
        <ns0:v>가상사원158</ns0:v>
      </ns0:c>
      <ns0:c r="D163" s="8" t="str">
        <ns0:v>생산</ns0:v>
      </ns0:c>
      <ns0:c r="E163" s="8" t="str">
        <ns0:v>선임</ns0:v>
      </ns0:c>
      <ns0:c r="F163" s="8" t="n">
        <ns0:v>1</ns0:v>
      </ns0:c>
    </ns0:row>
    <ns0:row r="164" ht="23" customHeight="1">
      <ns0:c r="B164" s="10" t="str">
        <ns0:v>000159</ns0:v>
      </ns0:c>
      <ns0:c r="C164" s="8" t="str">
        <ns0:v>가상사원159</ns0:v>
      </ns0:c>
      <ns0:c r="D164" s="8" t="str">
        <ns0:v>품질</ns0:v>
      </ns0:c>
      <ns0:c r="E164" s="8" t="str">
        <ns0:v>책임</ns0:v>
      </ns0:c>
      <ns0:c r="F164" s="8" t="n">
        <ns0:v>1</ns0:v>
      </ns0:c>
    </ns0:row>
    <ns0:row r="165" ht="23" customHeight="1">
      <ns0:c r="B165" s="10" t="str">
        <ns0:v>000160</ns0:v>
      </ns0:c>
      <ns0:c r="C165" s="8" t="str">
        <ns0:v>가상사원160</ns0:v>
      </ns0:c>
      <ns0:c r="D165" s="8" t="str">
        <ns0:v>기획</ns0:v>
      </ns0:c>
      <ns0:c r="E165" s="8" t="str">
        <ns0:v>사원</ns0:v>
      </ns0:c>
      <ns0:c r="F165" s="8" t="n">
        <ns0:v>1</ns0:v>
      </ns0:c>
    </ns0:row>
  </ns0:sheetData>
  <ns0:pageMargins left="0.7" right="0.7" top="0.75" bottom="0.75" header="0.3" footer="0.3"/>
  <ns0:tableParts count="1">
    <ns0:tablePart ns1:id="R1f18d854ef29404a"/>
  </ns0:tableParts>
</ns0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교육기준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과정코드</x:v>
      </x:c>
      <x:c r="C5" s="6" t="str">
        <x:v>과정명</x:v>
      </x:c>
      <x:c r="D5" s="6" t="str">
        <x:v>단가</x:v>
      </x:c>
      <x:c r="E5" s="6" t="str">
        <x:v>교육시간</x:v>
      </x:c>
      <x:c r="F5" s="6" t="str">
        <x:v>수료점수</x:v>
      </x:c>
      <x:c r="G5" s="2"/>
      <x:c r="H5" s="6" t="str">
        <x:v>부서</x:v>
      </x:c>
      <x:c r="I5" s="6" t="str">
        <x:v>예산</x:v>
      </x:c>
      <x:c r="J5" s="6" t="str">
        <x:v>담당</x:v>
      </x:c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C01</x:v>
      </x:c>
      <x:c r="C6" s="2" t="str">
        <x:v>가상 AI 과정 1</x:v>
      </x:c>
      <x:c r="D6" s="15" t="n">
        <x:v>100005</x:v>
      </x:c>
      <x:c r="E6" s="2" t="n">
        <x:v>6</x:v>
      </x:c>
      <x:c r="F6" s="2" t="n">
        <x:v>60</x:v>
      </x:c>
      <x:c r="G6" s="2"/>
      <x:c r="H6" s="2" t="str">
        <x:v>개발</x:v>
      </x:c>
      <x:c r="I6" s="15" t="n">
        <x:v>20000000</x:v>
      </x:c>
      <x:c r="J6" s="2" t="str">
        <x:v>가상담당1</x:v>
      </x:c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C02</x:v>
      </x:c>
      <x:c r="C7" s="2" t="str">
        <x:v>가상 AI 과정 2</x:v>
      </x:c>
      <x:c r="D7" s="15" t="n">
        <x:v>117506</x:v>
      </x:c>
      <x:c r="E7" s="2" t="n">
        <x:v>9</x:v>
      </x:c>
      <x:c r="F7" s="2" t="n">
        <x:v>70</x:v>
      </x:c>
      <x:c r="G7" s="2"/>
      <x:c r="H7" s="2" t="str">
        <x:v>생산</x:v>
      </x:c>
      <x:c r="I7" s="15" t="n">
        <x:v>22000000</x:v>
      </x:c>
      <x:c r="J7" s="2" t="str">
        <x:v>가상담당2</x:v>
      </x:c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C03</x:v>
      </x:c>
      <x:c r="C8" s="2" t="str">
        <x:v>가상 AI 과정 3</x:v>
      </x:c>
      <x:c r="D8" s="15" t="n">
        <x:v>135007</x:v>
      </x:c>
      <x:c r="E8" s="2" t="n">
        <x:v>12</x:v>
      </x:c>
      <x:c r="F8" s="2" t="n">
        <x:v>80</x:v>
      </x:c>
      <x:c r="G8" s="2"/>
      <x:c r="H8" s="2" t="str">
        <x:v>품질</x:v>
      </x:c>
      <x:c r="I8" s="15" t="n">
        <x:v>24000000</x:v>
      </x:c>
      <x:c r="J8" s="2" t="str">
        <x:v>가상담당3</x:v>
      </x:c>
      <x:c r="K8" s="2"/>
      <x:c r="L8" s="2"/>
      <x:c r="M8" s="2"/>
      <x:c r="N8" s="2"/>
      <x:c r="O8" s="2"/>
      <x:c r="P8" s="2"/>
    </x:row>
    <x:row r="9" ht="23" customHeight="1">
      <x:c r="A9" s="2"/>
      <x:c r="B9" s="2" t="str">
        <x:v>C04</x:v>
      </x:c>
      <x:c r="C9" s="2" t="str">
        <x:v>가상 AI 과정 4</x:v>
      </x:c>
      <x:c r="D9" s="15" t="n">
        <x:v>152508</x:v>
      </x:c>
      <x:c r="E9" s="2" t="n">
        <x:v>6</x:v>
      </x:c>
      <x:c r="F9" s="2" t="n">
        <x:v>60</x:v>
      </x:c>
      <x:c r="G9" s="2"/>
      <x:c r="H9" s="2" t="str">
        <x:v>기획</x:v>
      </x:c>
      <x:c r="I9" s="15" t="n">
        <x:v>26000000</x:v>
      </x:c>
      <x:c r="J9" s="2" t="str">
        <x:v>가상담당4</x:v>
      </x:c>
      <x:c r="K9" s="2"/>
      <x:c r="L9" s="2"/>
      <x:c r="M9" s="2"/>
      <x:c r="N9" s="2"/>
      <x:c r="O9" s="2"/>
      <x:c r="P9" s="2"/>
    </x:row>
    <x:row r="10" ht="23" customHeight="1">
      <x:c r="A10" s="2"/>
      <x:c r="B10" s="2" t="str">
        <x:v>C05</x:v>
      </x:c>
      <x:c r="C10" s="2" t="str">
        <x:v>가상 AI 과정 5</x:v>
      </x:c>
      <x:c r="D10" s="15" t="n">
        <x:v>170009</x:v>
      </x:c>
      <x:c r="E10" s="2" t="n">
        <x:v>9</x:v>
      </x:c>
      <x:c r="F10" s="2" t="n">
        <x:v>70</x:v>
      </x:c>
      <x:c r="G10" s="2"/>
      <x:c r="H10" s="2" t="str">
        <x:v>영업</x:v>
      </x:c>
      <x:c r="I10" s="15" t="n">
        <x:v>28000000</x:v>
      </x:c>
      <x:c r="J10" s="2" t="str">
        <x:v>가상담당5</x:v>
      </x:c>
      <x:c r="K10" s="2"/>
      <x:c r="L10" s="2"/>
      <x:c r="M10" s="2"/>
      <x:c r="N10" s="2"/>
      <x:c r="O10" s="2"/>
      <x:c r="P10" s="2"/>
    </x:row>
    <x:row r="11" ht="23" customHeight="1">
      <x:c r="A11" s="2"/>
      <x:c r="B11" s="2" t="str">
        <x:v>C06</x:v>
      </x:c>
      <x:c r="C11" s="2" t="str">
        <x:v>가상 AI 과정 6</x:v>
      </x:c>
      <x:c r="D11" s="15" t="n">
        <x:v>187510</x:v>
      </x:c>
      <x:c r="E11" s="2" t="n">
        <x:v>12</x:v>
      </x:c>
      <x:c r="F11" s="2" t="n">
        <x:v>80</x:v>
      </x:c>
      <x:c r="G11" s="2"/>
      <x:c r="H11" s="2" t="str">
        <x:v>지원</x:v>
      </x:c>
      <x:c r="I11" s="15" t="n">
        <x:v>30000000</x:v>
      </x:c>
      <x:c r="J11" s="2" t="str">
        <x:v>가상담당6</x:v>
      </x:c>
      <x:c r="K11" s="2"/>
      <x:c r="L11" s="2"/>
      <x:c r="M11" s="2"/>
      <x:c r="N11" s="2"/>
      <x:c r="O11" s="2"/>
      <x:c r="P11" s="2"/>
    </x:row>
    <x:row r="12" ht="23" customHeight="1">
      <x:c r="A12" s="2"/>
      <x:c r="B12" s="2" t="str">
        <x:v>C07</x:v>
      </x:c>
      <x:c r="C12" s="2" t="str">
        <x:v>가상 AI 과정 7</x:v>
      </x:c>
      <x:c r="D12" s="15" t="n">
        <x:v>205011</x:v>
      </x:c>
      <x:c r="E12" s="2" t="n">
        <x:v>6</x:v>
      </x:c>
      <x:c r="F12" s="2" t="n">
        <x:v>60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3" customHeight="1">
      <x:c r="A13" s="2"/>
      <x:c r="B13" s="2" t="str">
        <x:v>C08</x:v>
      </x:c>
      <x:c r="C13" s="2" t="str">
        <x:v>가상 AI 과정 8</x:v>
      </x:c>
      <x:c r="D13" s="15" t="n">
        <x:v>222512</x:v>
      </x:c>
      <x:c r="E13" s="2" t="n">
        <x:v>9</x:v>
      </x:c>
      <x:c r="F13" s="2" t="n">
        <x:v>70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3" customHeight="1">
      <x:c r="A14" s="2"/>
      <x:c r="B14" s="2" t="str">
        <x:v>C09</x:v>
      </x:c>
      <x:c r="C14" s="2" t="str">
        <x:v>가상 AI 과정 9</x:v>
      </x:c>
      <x:c r="D14" s="15" t="n">
        <x:v>240013</x:v>
      </x:c>
      <x:c r="E14" s="2" t="n">
        <x:v>12</x:v>
      </x:c>
      <x:c r="F14" s="2" t="n">
        <x:v>80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3" customHeight="1">
      <x:c r="A15" s="2"/>
      <x:c r="B15" s="2" t="str">
        <x:v>C10</x:v>
      </x:c>
      <x:c r="C15" s="2" t="str">
        <x:v>가상 AI 과정 10</x:v>
      </x:c>
      <x:c r="D15" s="15" t="n">
        <x:v>257514</x:v>
      </x:c>
      <x:c r="E15" s="2" t="n">
        <x:v>6</x:v>
      </x:c>
      <x:c r="F15" s="2" t="n">
        <x:v>60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3" customHeight="1">
      <x:c r="A16" s="2"/>
      <x:c r="B16" s="2" t="str">
        <x:v>C11</x:v>
      </x:c>
      <x:c r="C16" s="2" t="str">
        <x:v>가상 AI 과정 11</x:v>
      </x:c>
      <x:c r="D16" s="15" t="n">
        <x:v>275015</x:v>
      </x:c>
      <x:c r="E16" s="2" t="n">
        <x:v>9</x:v>
      </x:c>
      <x:c r="F16" s="2" t="n">
        <x:v>70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3" customHeight="1">
      <x:c r="A17" s="2"/>
      <x:c r="B17" s="2" t="str">
        <x:v>C12</x:v>
      </x:c>
      <x:c r="C17" s="2" t="str">
        <x:v>가상 AI 과정 12</x:v>
      </x:c>
      <x:c r="D17" s="15" t="n">
        <x:v>292516</x:v>
      </x:c>
      <x:c r="E17" s="2" t="n">
        <x:v>12</x:v>
      </x:c>
      <x:c r="F17" s="2" t="n">
        <x:v>80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  <x:tableParts count="2">
    <x:tablePart xmlns:r="http://schemas.openxmlformats.org/officeDocument/2006/relationships" r:id="R6fe333715a664afa"/>
    <x:tablePart xmlns:r="http://schemas.openxmlformats.org/officeDocument/2006/relationships" r:id="R28d4aec1bf2d4e9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정책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항목</x:v>
      </x:c>
      <x:c r="C5" s="6" t="str">
        <x:v>값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3" customHeight="1">
      <x:c r="A6" s="2"/>
      <x:c r="B6" s="2" t="str">
        <x:v>필수참석차시</x:v>
      </x:c>
      <x:c r="C6" s="2" t="n">
        <x:v>3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3" customHeight="1">
      <x:c r="A7" s="2"/>
      <x:c r="B7" s="2" t="str">
        <x:v>기본수료점수</x:v>
      </x:c>
      <x:c r="C7" s="2" t="n">
        <x:v>60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금액소수자리</x:v>
      </x:c>
      <x:c r="C8" s="2" t="n">
        <x:v>0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  <x:tableParts count="1">
    <x:tablePart xmlns:r="http://schemas.openxmlformats.org/officeDocument/2006/relationships" r:id="R2150028f40a14a7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" hidden="0" customWidth="1"/>
    <x:col min="8" max="8" width="16" hidden="0" customWidth="1"/>
    <x:col min="9" max="9" width="16" hidden="0" customWidth="1"/>
    <x:col min="10" max="10" width="2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비정형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부서</x:v>
      </x:c>
      <x:c r="C5" s="6" t="str">
        <x:v>교육 성과</x:v>
      </x:c>
      <x:c r="D5" s="6"/>
      <x:c r="E5" s="6"/>
      <x:c r="F5" s="6"/>
      <x:c r="G5" s="2"/>
      <x:c r="H5" s="6" t="str">
        <x:v>항목</x:v>
      </x:c>
      <x:c r="I5" s="6" t="str">
        <x:v>금액</x:v>
      </x:c>
      <x:c r="J5" s="6" t="str">
        <x:v>메모</x:v>
      </x:c>
      <x:c r="K5" s="2"/>
      <x:c r="L5" s="2"/>
      <x:c r="M5" s="2"/>
      <x:c r="N5" s="2"/>
      <x:c r="O5" s="2"/>
      <x:c r="P5" s="2"/>
    </x:row>
    <x:row r="6" ht="23" customHeight="1">
      <x:c r="A6" s="2"/>
      <x:c r="B6" s="6"/>
      <x:c r="C6" s="6" t="str">
        <x:v>참여</x:v>
      </x:c>
      <x:c r="D6" s="6"/>
      <x:c r="E6" s="6" t="str">
        <x:v>평가</x:v>
      </x:c>
      <x:c r="F6" s="6"/>
      <x:c r="G6" s="2"/>
      <x:c r="H6" s="2" t="str">
        <x:v>A</x:v>
      </x:c>
      <x:c r="I6" s="2" t="n">
        <x:v>0</x:v>
      </x:c>
      <x:c r="J6" s="2" t="str">
        <x:v>실제 0</x:v>
      </x:c>
      <x:c r="K6" s="2"/>
      <x:c r="L6" s="2"/>
      <x:c r="M6" s="2"/>
      <x:c r="N6" s="2"/>
      <x:c r="O6" s="2"/>
      <x:c r="P6" s="2"/>
    </x:row>
    <x:row r="7" ht="23" customHeight="1">
      <x:c r="A7" s="2"/>
      <x:c r="B7" s="6"/>
      <x:c r="C7" s="6" t="str">
        <x:v>신청</x:v>
      </x:c>
      <x:c r="D7" s="6" t="str">
        <x:v>수료</x:v>
      </x:c>
      <x:c r="E7" s="6" t="str">
        <x:v>평균점수</x:v>
      </x:c>
      <x:c r="F7" s="6" t="str">
        <x:v>응시율</x:v>
      </x:c>
      <x:c r="G7" s="2"/>
      <x:c r="H7" s="2" t="str">
        <x:v>B</x:v>
      </x:c>
      <x:c r="I7" s="2"/>
      <x:c r="J7" s="2" t="str">
        <x:v>미입력</x:v>
      </x:c>
      <x:c r="K7" s="2"/>
      <x:c r="L7" s="2"/>
      <x:c r="M7" s="2"/>
      <x:c r="N7" s="2"/>
      <x:c r="O7" s="2"/>
      <x:c r="P7" s="2"/>
    </x:row>
    <x:row r="8" ht="23" customHeight="1">
      <x:c r="A8" s="2"/>
      <x:c r="B8" s="2" t="str">
        <x:v>개발</x:v>
      </x:c>
      <x:c r="C8" s="2" t="n">
        <x:v>80</x:v>
      </x:c>
      <x:c r="D8" s="2" t="n">
        <x:v>40</x:v>
      </x:c>
      <x:c r="E8" s="2" t="n">
        <x:v>72</x:v>
      </x:c>
      <x:c r="F8" s="13" t="n">
        <x:v>0.75</x:v>
      </x:c>
      <x:c r="G8" s="2"/>
      <x:c r="H8" s="2" t="str">
        <x:v>항목</x:v>
      </x:c>
      <x:c r="I8" s="2" t="str">
        <x:v>금액</x:v>
      </x:c>
      <x:c r="J8" s="2" t="str">
        <x:v>메모</x:v>
      </x:c>
      <x:c r="K8" s="2"/>
      <x:c r="L8" s="2"/>
      <x:c r="M8" s="2"/>
      <x:c r="N8" s="2"/>
      <x:c r="O8" s="2"/>
      <x:c r="P8" s="2"/>
    </x:row>
    <x:row r="9" ht="23" customHeight="1">
      <x:c r="A9" s="2"/>
      <x:c r="B9" s="2" t="str">
        <x:v>생산</x:v>
      </x:c>
      <x:c r="C9" s="2" t="n">
        <x:v>80</x:v>
      </x:c>
      <x:c r="D9" s="2" t="n">
        <x:v>41</x:v>
      </x:c>
      <x:c r="E9" s="2" t="n">
        <x:v>73</x:v>
      </x:c>
      <x:c r="F9" s="13" t="n">
        <x:v>0.775</x:v>
      </x:c>
      <x:c r="G9" s="2"/>
      <x:c r="H9" s="2" t="str">
        <x:v>C</x:v>
      </x:c>
      <x:c r="I9" s="2" t="n">
        <x:v>1200</x:v>
      </x:c>
      <x:c r="J9" s="2" t="str">
        <x:v>반복 머리글</x:v>
      </x:c>
      <x:c r="K9" s="2"/>
      <x:c r="L9" s="2"/>
      <x:c r="M9" s="2"/>
      <x:c r="N9" s="2"/>
      <x:c r="O9" s="2"/>
      <x:c r="P9" s="2"/>
    </x:row>
    <x:row r="10" ht="23" customHeight="1">
      <x:c r="A10" s="2"/>
      <x:c r="B10" s="2" t="str">
        <x:v>품질</x:v>
      </x:c>
      <x:c r="C10" s="2" t="n">
        <x:v>80</x:v>
      </x:c>
      <x:c r="D10" s="2" t="n">
        <x:v>42</x:v>
      </x:c>
      <x:c r="E10" s="2" t="n">
        <x:v>74</x:v>
      </x:c>
      <x:c r="F10" s="13" t="n">
        <x:v>0.8</x:v>
      </x:c>
      <x:c r="G10" s="2"/>
      <x:c r="H10" s="2" t="str">
        <x:v>소계</x:v>
      </x:c>
      <x:c r="I10" s="2" t="n">
        <x:v>1200</x:v>
      </x:c>
      <x:c r="J10" s="2" t="str">
        <x:v>소계 보존</x:v>
      </x:c>
      <x:c r="K10" s="2"/>
      <x:c r="L10" s="2"/>
      <x:c r="M10" s="2"/>
      <x:c r="N10" s="2"/>
      <x:c r="O10" s="2"/>
      <x:c r="P10" s="2"/>
    </x:row>
    <x:row r="11" ht="24" customHeight="1">
      <x:c r="A11" s="2"/>
      <x:c r="B11" s="2" t="str">
        <x:v>기획</x:v>
      </x:c>
      <x:c r="C11" s="2" t="n">
        <x:v>80</x:v>
      </x:c>
      <x:c r="D11" s="2" t="n">
        <x:v>43</x:v>
      </x:c>
      <x:c r="E11" s="2" t="n">
        <x:v>75</x:v>
      </x:c>
      <x:c r="F11" s="13" t="n">
        <x:v>0.825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 t="str">
        <x:v>영업</x:v>
      </x:c>
      <x:c r="C12" s="2" t="n">
        <x:v>80</x:v>
      </x:c>
      <x:c r="D12" s="2" t="n">
        <x:v>44</x:v>
      </x:c>
      <x:c r="E12" s="2" t="n">
        <x:v>76</x:v>
      </x:c>
      <x:c r="F12" s="13" t="n">
        <x:v>0.85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 t="str">
        <x:v>지원</x:v>
      </x:c>
      <x:c r="C13" s="2" t="n">
        <x:v>80</x:v>
      </x:c>
      <x:c r="D13" s="2" t="n">
        <x:v>45</x:v>
      </x:c>
      <x:c r="E13" s="2" t="n">
        <x:v>77</x:v>
      </x:c>
      <x:c r="F13" s="13" t="n">
        <x:v>0.875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3" customHeight="1">
      <x:c r="A17" s="2"/>
      <x:c r="B17" s="6" t="str">
        <x:v>분류</x:v>
      </x:c>
      <x:c r="C17" s="6" t="str">
        <x:v>세부</x:v>
      </x:c>
      <x:c r="D17" s="6" t="str">
        <x:v>값</x:v>
      </x:c>
      <x:c r="E17" s="6" t="str">
        <x:v>설명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3" customHeight="1">
      <x:c r="A18" s="2"/>
      <x:c r="B18" s="2" t="str">
        <x:v>실습</x:v>
      </x:c>
      <x:c r="C18" s="2" t="str">
        <x:v>1차</x:v>
      </x:c>
      <x:c r="D18" s="2" t="n">
        <x:v>10</x:v>
      </x:c>
      <x:c r="E18" s="2" t="str">
        <x:v>빈 분류 다음 행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3" customHeight="1">
      <x:c r="A19" s="2"/>
      <x:c r="B19" s="2"/>
      <x:c r="C19" s="2" t="str">
        <x:v>2차</x:v>
      </x:c>
      <x:c r="D19" s="2" t="n">
        <x:v>20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3" customHeight="1">
      <x:c r="A20" s="2"/>
      <x:c r="B20" s="2" t="str">
        <x:v>검토</x:v>
      </x:c>
      <x:c r="C20" s="2" t="str">
        <x:v>1차</x:v>
      </x:c>
      <x:c r="D20" s="2" t="n">
        <x:v>30</x:v>
      </x:c>
      <x:c r="E20" s="2" t="str">
        <x:v>빈 행 다음 구역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3" customHeight="1">
      <x:c r="A22" s="2"/>
      <x:c r="B22" s="2" t="str">
        <x:v>검토</x:v>
      </x:c>
      <x:c r="C22" s="2" t="str">
        <x:v>2차</x:v>
      </x:c>
      <x:c r="D22" s="2" t="n">
        <x:v>0</x:v>
      </x:c>
      <x:c r="E22" s="2" t="str">
        <x:v>0 보존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3" customHeight="1">
      <x:c r="A23" s="2"/>
      <x:c r="B23" s="2" t="str">
        <x:v>합계</x:v>
      </x:c>
      <x:c r="C23" s="2"/>
      <x:c r="D23" s="2" t="n">
        <x:v>60</x:v>
      </x:c>
      <x:c r="E23" s="2" t="str">
        <x:v>소계 보존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mergeCells>
    <x:mergeCell ref="B5:B7"/>
    <x:mergeCell ref="C5:F5"/>
    <x:mergeCell ref="C6:D6"/>
    <x:mergeCell ref="E6:F6"/>
  </x:mergeCells>
  <x:pageMargins left="0.7" right="0.7" top="0.75" bottom="0.75" header="0.3" footer="0.3"/>
  <x:tableParts count="1">
    <x:tablePart xmlns:r="http://schemas.openxmlformats.org/officeDocument/2006/relationships" r:id="R6b4b48f25b72497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예외신청 (가상 시험 자료)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"/>
      <x:c r="B5" s="6" t="str">
        <x:v>신청ID</x:v>
      </x:c>
      <x:c r="C5" s="6" t="str">
        <x:v>사번</x:v>
      </x:c>
      <x:c r="D5" s="6" t="str">
        <x:v>부서</x:v>
      </x:c>
      <x:c r="E5" s="6" t="str">
        <x:v>과정코드</x:v>
      </x:c>
      <x:c r="F5" s="6" t="str">
        <x:v>교육일</x:v>
      </x:c>
      <x:c r="G5" s="6" t="str">
        <x:v>수량</x:v>
      </x:c>
      <x:c r="H5" s="6" t="str">
        <x:v>상태</x:v>
      </x:c>
      <x:c r="I5" s="6" t="str">
        <x:v>할인율</x:v>
      </x:c>
      <x:c r="J5" s="6" t="str">
        <x:v>수동금액</x:v>
      </x:c>
      <x:c r="K5" s="6" t="str">
        <x:v>갱신순번</x:v>
      </x:c>
      <x:c r="L5" s="6" t="str">
        <x:v>메모</x:v>
      </x:c>
      <x:c r="M5" s="6" t="str">
        <x:v>회차</x:v>
      </x:c>
      <x:c r="N5" s="2"/>
      <x:c r="O5" s="2"/>
      <x:c r="P5" s="2"/>
    </x:row>
    <x:row r="6" ht="23" customHeight="1">
      <x:c r="A6" s="2"/>
      <x:c r="B6" s="9" t="str">
        <x:v>APP000010</x:v>
      </x:c>
      <x:c r="C6" s="9" t="str">
        <x:v>000010</x:v>
      </x:c>
      <x:c r="D6" s="2" t="str">
        <x:v>기획</x:v>
      </x:c>
      <x:c r="E6" s="2" t="str">
        <x:v>C04</x:v>
      </x:c>
      <x:c r="F6" s="11" t="d">
        <x:v>2026-10-10T00:00:00.000Z</x:v>
      </x:c>
      <x:c r="G6" s="2" t="n">
        <x:v>3</x:v>
      </x:c>
      <x:c r="H6" s="2" t="str">
        <x:v>승인</x:v>
      </x:c>
      <x:c r="I6" s="2" t="n">
        <x:v>0</x:v>
      </x:c>
      <x:c r="J6" s="2" t="n">
        <x:v>0</x:v>
      </x:c>
      <x:c r="K6" s="2" t="n">
        <x:v>2</x:v>
      </x:c>
      <x:c r="L6" s="2" t="str">
        <x:v>중복 첫 갱신</x:v>
      </x:c>
      <x:c r="M6" s="2" t="str">
        <x:v>A</x:v>
      </x:c>
      <x:c r="N6" s="2"/>
      <x:c r="O6" s="2"/>
      <x:c r="P6" s="2"/>
    </x:row>
    <x:row r="7" ht="23" customHeight="1">
      <x:c r="A7" s="2"/>
      <x:c r="B7" s="9" t="str">
        <x:v>APP000010</x:v>
      </x:c>
      <x:c r="C7" s="9" t="str">
        <x:v>000010</x:v>
      </x:c>
      <x:c r="D7" s="2" t="str">
        <x:v>기획</x:v>
      </x:c>
      <x:c r="E7" s="2" t="str">
        <x:v>C04</x:v>
      </x:c>
      <x:c r="F7" s="11" t="d">
        <x:v>2026-10-10T00:00:00.000Z</x:v>
      </x:c>
      <x:c r="G7" s="2" t="n">
        <x:v>4</x:v>
      </x:c>
      <x:c r="H7" s="2" t="str">
        <x:v>승인</x:v>
      </x:c>
      <x:c r="I7" s="2" t="n">
        <x:v>0</x:v>
      </x:c>
      <x:c r="J7" s="2" t="n">
        <x:v>45000</x:v>
      </x:c>
      <x:c r="K7" s="2" t="n">
        <x:v>2</x:v>
      </x:c>
      <x:c r="L7" s="2" t="str">
        <x:v>같은 순번 뒤 행 우선</x:v>
      </x:c>
      <x:c r="M7" s="2" t="str">
        <x:v>A</x:v>
      </x:c>
      <x:c r="N7" s="2"/>
      <x:c r="O7" s="2"/>
      <x:c r="P7" s="2"/>
    </x:row>
    <x:row r="8" ht="23" customHeight="1">
      <x:c r="A8" s="2"/>
      <x:c r="B8" s="9" t="str">
        <x:v>APP000021</x:v>
      </x:c>
      <x:c r="C8" s="9" t="str">
        <x:v>000021</x:v>
      </x:c>
      <x:c r="D8" s="2" t="str">
        <x:v>품질</x:v>
      </x:c>
      <x:c r="E8" s="2" t="str">
        <x:v>C09</x:v>
      </x:c>
      <x:c r="F8" s="11" t="d">
        <x:v>2026-10-21T00:00:00.000Z</x:v>
      </x:c>
      <x:c r="G8" s="2" t="n">
        <x:v>99</x:v>
      </x:c>
      <x:c r="H8" s="2" t="str">
        <x:v>승인</x:v>
      </x:c>
      <x:c r="I8" s="2" t="n">
        <x:v>0</x:v>
      </x:c>
      <x:c r="J8" s="2"/>
      <x:c r="K8" s="2" t="n">
        <x:v>0</x:v>
      </x:c>
      <x:c r="L8" s="2" t="str">
        <x:v>이전 갱신 버림</x:v>
      </x:c>
      <x:c r="M8" s="2" t="str">
        <x:v>A</x:v>
      </x:c>
      <x:c r="N8" s="2"/>
      <x:c r="O8" s="2"/>
      <x:c r="P8" s="2"/>
    </x:row>
    <x:row r="9" ht="23" customHeight="1">
      <x:c r="A9" s="2"/>
      <x:c r="B9" s="9" t="str">
        <x:v>EX000001</x:v>
      </x:c>
      <x:c r="C9" s="9"/>
      <x:c r="D9" s="2" t="str">
        <x:v>생산</x:v>
      </x:c>
      <x:c r="E9" s="2" t="str">
        <x:v>C03</x:v>
      </x:c>
      <x:c r="F9" s="11" t="d">
        <x:v>2026-10-22T00:00:00.000Z</x:v>
      </x:c>
      <x:c r="G9" s="2" t="n">
        <x:v>2</x:v>
      </x:c>
      <x:c r="H9" s="2" t="str">
        <x:v>승인</x:v>
      </x:c>
      <x:c r="I9" s="2" t="n">
        <x:v>0.1</x:v>
      </x:c>
      <x:c r="J9" s="2"/>
      <x:c r="K9" s="2" t="n">
        <x:v>1</x:v>
      </x:c>
      <x:c r="L9" s="2" t="str">
        <x:v>예외 시험 1</x:v>
      </x:c>
      <x:c r="M9" s="2" t="str">
        <x:v>D</x:v>
      </x:c>
      <x:c r="N9" s="2"/>
      <x:c r="O9" s="2"/>
      <x:c r="P9" s="2"/>
    </x:row>
    <x:row r="10" ht="23" customHeight="1">
      <x:c r="A10" s="2"/>
      <x:c r="B10" s="9" t="str">
        <x:v>EX000002</x:v>
      </x:c>
      <x:c r="C10" s="9" t="str">
        <x:v>000003</x:v>
      </x:c>
      <x:c r="D10" s="2" t="str">
        <x:v>품질</x:v>
      </x:c>
      <x:c r="E10" s="2" t="str">
        <x:v>UNKNOWN</x:v>
      </x:c>
      <x:c r="F10" s="11" t="d">
        <x:v>2026-10-22T00:00:00.000Z</x:v>
      </x:c>
      <x:c r="G10" s="2" t="n">
        <x:v>2</x:v>
      </x:c>
      <x:c r="H10" s="2" t="str">
        <x:v>승인</x:v>
      </x:c>
      <x:c r="I10" s="2" t="n">
        <x:v>0.1</x:v>
      </x:c>
      <x:c r="J10" s="2"/>
      <x:c r="K10" s="2" t="n">
        <x:v>1</x:v>
      </x:c>
      <x:c r="L10" s="2" t="str">
        <x:v>예외 시험 2</x:v>
      </x:c>
      <x:c r="M10" s="2" t="str">
        <x:v>D</x:v>
      </x:c>
      <x:c r="N10" s="2"/>
      <x:c r="O10" s="2"/>
      <x:c r="P10" s="2"/>
    </x:row>
    <x:row r="11" ht="23" customHeight="1">
      <x:c r="A11" s="2"/>
      <x:c r="B11" s="9" t="str">
        <x:v>EX000003</x:v>
      </x:c>
      <x:c r="C11" s="9" t="str">
        <x:v>000004</x:v>
      </x:c>
      <x:c r="D11" s="2" t="str">
        <x:v>기획</x:v>
      </x:c>
      <x:c r="E11" s="2" t="str">
        <x:v>C03</x:v>
      </x:c>
      <x:c r="F11" s="11" t="d">
        <x:v>2026-10-22T00:00:00.000Z</x:v>
      </x:c>
      <x:c r="G11" s="2" t="n">
        <x:v>-1</x:v>
      </x:c>
      <x:c r="H11" s="2" t="str">
        <x:v>승인</x:v>
      </x:c>
      <x:c r="I11" s="2" t="n">
        <x:v>0.1</x:v>
      </x:c>
      <x:c r="J11" s="2"/>
      <x:c r="K11" s="2" t="n">
        <x:v>1</x:v>
      </x:c>
      <x:c r="L11" s="2" t="str">
        <x:v>예외 시험 3</x:v>
      </x:c>
      <x:c r="M11" s="2" t="str">
        <x:v>D</x:v>
      </x:c>
      <x:c r="N11" s="2"/>
      <x:c r="O11" s="2"/>
      <x:c r="P11" s="2"/>
    </x:row>
    <x:row r="12" ht="23" customHeight="1">
      <x:c r="A12" s="2"/>
      <x:c r="B12" s="9" t="str">
        <x:v>EX000004</x:v>
      </x:c>
      <x:c r="C12" s="9" t="str">
        <x:v>000005</x:v>
      </x:c>
      <x:c r="D12" s="2" t="str">
        <x:v>영업</x:v>
      </x:c>
      <x:c r="E12" s="2" t="str">
        <x:v>C03</x:v>
      </x:c>
      <x:c r="F12" s="11" t="str">
        <x:v>2026-99-99</x:v>
      </x:c>
      <x:c r="G12" s="2" t="n">
        <x:v>2</x:v>
      </x:c>
      <x:c r="H12" s="2" t="str">
        <x:v>승인</x:v>
      </x:c>
      <x:c r="I12" s="2" t="n">
        <x:v>0.1</x:v>
      </x:c>
      <x:c r="J12" s="2"/>
      <x:c r="K12" s="2" t="n">
        <x:v>1</x:v>
      </x:c>
      <x:c r="L12" s="2" t="str">
        <x:v>예외 시험 4</x:v>
      </x:c>
      <x:c r="M12" s="2" t="str">
        <x:v>D</x:v>
      </x:c>
      <x:c r="N12" s="2"/>
      <x:c r="O12" s="2"/>
      <x:c r="P12" s="2"/>
    </x:row>
    <x:row r="13" ht="23" customHeight="1">
      <x:c r="A13" s="2"/>
      <x:c r="B13" s="9" t="str">
        <x:v>EX000005</x:v>
      </x:c>
      <x:c r="C13" s="9" t="str">
        <x:v>000006</x:v>
      </x:c>
      <x:c r="D13" s="2" t="str">
        <x:v>지원</x:v>
      </x:c>
      <x:c r="E13" s="2" t="str">
        <x:v>C03</x:v>
      </x:c>
      <x:c r="F13" s="11" t="d">
        <x:v>2026-10-22T00:00:00.000Z</x:v>
      </x:c>
      <x:c r="G13" s="2" t="n">
        <x:v>2</x:v>
      </x:c>
      <x:c r="H13" s="2" t="str">
        <x:v>승인</x:v>
      </x:c>
      <x:c r="I13" s="2" t="n">
        <x:v>1.2</x:v>
      </x:c>
      <x:c r="J13" s="2"/>
      <x:c r="K13" s="2" t="n">
        <x:v>1</x:v>
      </x:c>
      <x:c r="L13" s="2" t="str">
        <x:v>예외 시험 5</x:v>
      </x:c>
      <x:c r="M13" s="2" t="str">
        <x:v>D</x:v>
      </x:c>
      <x:c r="N13" s="2"/>
      <x:c r="O13" s="2"/>
      <x:c r="P13" s="2"/>
    </x:row>
    <x:row r="14" ht="23" customHeight="1">
      <x:c r="A14" s="2"/>
      <x:c r="B14" s="9" t="str">
        <x:v>EX000006</x:v>
      </x:c>
      <x:c r="C14" s="9" t="str">
        <x:v>000007</x:v>
      </x:c>
      <x:c r="D14" s="2" t="str">
        <x:v>개발</x:v>
      </x:c>
      <x:c r="E14" s="2" t="str">
        <x:v>C03</x:v>
      </x:c>
      <x:c r="F14" s="11" t="d">
        <x:v>2026-10-22T00:00:00.000Z</x:v>
      </x:c>
      <x:c r="G14" s="2" t="n">
        <x:v>2</x:v>
      </x:c>
      <x:c r="H14" s="2" t="str">
        <x:v>승인</x:v>
      </x:c>
      <x:c r="I14" s="2" t="n">
        <x:v>0.1</x:v>
      </x:c>
      <x:c r="J14" s="2" t="n">
        <x:v>0</x:v>
      </x:c>
      <x:c r="K14" s="2" t="n">
        <x:v>1</x:v>
      </x:c>
      <x:c r="L14" s="2" t="str">
        <x:v>예외 시험 6</x:v>
      </x:c>
      <x:c r="M14" s="2" t="str">
        <x:v>D</x:v>
      </x:c>
      <x:c r="N14" s="2"/>
      <x:c r="O14" s="2"/>
      <x:c r="P14" s="2"/>
    </x:row>
    <x:row r="15" ht="23" customHeight="1">
      <x:c r="A15" s="2"/>
      <x:c r="B15" s="9" t="str">
        <x:v>EX000007</x:v>
      </x:c>
      <x:c r="C15" s="9" t="str">
        <x:v>000008</x:v>
      </x:c>
      <x:c r="D15" s="2" t="str">
        <x:v>생산</x:v>
      </x:c>
      <x:c r="E15" s="2" t="str">
        <x:v> c03 </x:v>
      </x:c>
      <x:c r="F15" s="11" t="d">
        <x:v>2026-10-22T00:00:00.000Z</x:v>
      </x:c>
      <x:c r="G15" s="2" t="n">
        <x:v>2</x:v>
      </x:c>
      <x:c r="H15" s="2" t="str">
        <x:v>승인</x:v>
      </x:c>
      <x:c r="I15" s="2" t="n">
        <x:v>0.1</x:v>
      </x:c>
      <x:c r="J15" s="2"/>
      <x:c r="K15" s="2" t="n">
        <x:v>1</x:v>
      </x:c>
      <x:c r="L15" s="2" t="str">
        <x:v>예외 시험 7</x:v>
      </x:c>
      <x:c r="M15" s="2" t="str">
        <x:v>D</x:v>
      </x:c>
      <x:c r="N15" s="2"/>
      <x:c r="O15" s="2"/>
      <x:c r="P15" s="2"/>
    </x:row>
    <x:row r="16" ht="23" customHeight="1">
      <x:c r="A16" s="2"/>
      <x:c r="B16" s="9" t="str">
        <x:v>EX000008</x:v>
      </x:c>
      <x:c r="C16" s="9" t="str">
        <x:v>000009</x:v>
      </x:c>
      <x:c r="D16" s="2" t="str">
        <x:v>품질</x:v>
      </x:c>
      <x:c r="E16" s="2" t="str">
        <x:v>C03</x:v>
      </x:c>
      <x:c r="F16" s="11" t="d">
        <x:v>2026-10-22T00:00:00.000Z</x:v>
      </x:c>
      <x:c r="G16" s="2" t="n">
        <x:v>1.5</x:v>
      </x:c>
      <x:c r="H16" s="2" t="str">
        <x:v>승인</x:v>
      </x:c>
      <x:c r="I16" s="2" t="n">
        <x:v>0.1</x:v>
      </x:c>
      <x:c r="J16" s="2"/>
      <x:c r="K16" s="2" t="n">
        <x:v>1</x:v>
      </x:c>
      <x:c r="L16" s="2" t="str">
        <x:v>예외 시험 8</x:v>
      </x:c>
      <x:c r="M16" s="2" t="str">
        <x:v>D</x:v>
      </x:c>
      <x:c r="N16" s="2"/>
      <x:c r="O16" s="2"/>
      <x:c r="P16" s="2"/>
    </x:row>
    <x:row r="17" ht="23" customHeight="1">
      <x:c r="A17" s="2"/>
      <x:c r="B17" s="9" t="str">
        <x:v>EX000009</x:v>
      </x:c>
      <x:c r="C17" s="9" t="str">
        <x:v>000010</x:v>
      </x:c>
      <x:c r="D17" s="2" t="str">
        <x:v>기획</x:v>
      </x:c>
      <x:c r="E17" s="2" t="str">
        <x:v>C03</x:v>
      </x:c>
      <x:c r="F17" s="11" t="d">
        <x:v>2026-10-22T00:00:00.000Z</x:v>
      </x:c>
      <x:c r="G17" s="2" t="n">
        <x:v>2</x:v>
      </x:c>
      <x:c r="H17" s="2" t="str">
        <x:v>승인</x:v>
      </x:c>
      <x:c r="I17" s="2" t="n">
        <x:v>0.1</x:v>
      </x:c>
      <x:c r="J17" s="2" t="n">
        <x:v>-5</x:v>
      </x:c>
      <x:c r="K17" s="2" t="n">
        <x:v>1</x:v>
      </x:c>
      <x:c r="L17" s="2" t="str">
        <x:v>예외 시험 9</x:v>
      </x:c>
      <x:c r="M17" s="2" t="str">
        <x:v>D</x:v>
      </x:c>
      <x:c r="N17" s="2"/>
      <x:c r="O17" s="2"/>
      <x:c r="P17" s="2"/>
    </x:row>
    <x:row r="18" ht="23" customHeight="1">
      <x:c r="A18" s="2"/>
      <x:c r="B18" s="9" t="str">
        <x:v>EX000010</x:v>
      </x:c>
      <x:c r="C18" s="9" t="str">
        <x:v>000011</x:v>
      </x:c>
      <x:c r="D18" s="2" t="str">
        <x:v>영업</x:v>
      </x:c>
      <x:c r="E18" s="2" t="str">
        <x:v>C03</x:v>
      </x:c>
      <x:c r="F18" s="11" t="d">
        <x:v>2026-10-22T00:00:00.000Z</x:v>
      </x:c>
      <x:c r="G18" s="2" t="n">
        <x:v>2</x:v>
      </x:c>
      <x:c r="H18" s="2" t="str">
        <x:v>대기</x:v>
      </x:c>
      <x:c r="I18" s="2" t="n">
        <x:v>0.1</x:v>
      </x:c>
      <x:c r="J18" s="2"/>
      <x:c r="K18" s="2" t="n">
        <x:v>1</x:v>
      </x:c>
      <x:c r="L18" s="2" t="str">
        <x:v>예외 시험 10</x:v>
      </x:c>
      <x:c r="M18" s="2" t="str">
        <x:v>D</x:v>
      </x:c>
      <x:c r="N18" s="2"/>
      <x:c r="O18" s="2"/>
      <x:c r="P18" s="2"/>
    </x:row>
    <x:row r="19" ht="23" customHeight="1">
      <x:c r="A19" s="2"/>
      <x:c r="B19" s="9" t="str">
        <x:v>EX000011</x:v>
      </x:c>
      <x:c r="C19" s="9" t="str">
        <x:v>999999</x:v>
      </x:c>
      <x:c r="D19" s="2" t="str">
        <x:v>지원</x:v>
      </x:c>
      <x:c r="E19" s="2" t="str">
        <x:v>C03</x:v>
      </x:c>
      <x:c r="F19" s="11" t="d">
        <x:v>2026-10-22T00:00:00.000Z</x:v>
      </x:c>
      <x:c r="G19" s="2" t="n">
        <x:v>2</x:v>
      </x:c>
      <x:c r="H19" s="2" t="str">
        <x:v>승인</x:v>
      </x:c>
      <x:c r="I19" s="2" t="n">
        <x:v>0.1</x:v>
      </x:c>
      <x:c r="J19" s="2"/>
      <x:c r="K19" s="2" t="n">
        <x:v>1</x:v>
      </x:c>
      <x:c r="L19" s="2" t="str">
        <x:v>예외 시험 11</x:v>
      </x:c>
      <x:c r="M19" s="2" t="str">
        <x:v>D</x:v>
      </x:c>
      <x:c r="N19" s="2"/>
      <x:c r="O19" s="2"/>
      <x:c r="P19" s="2"/>
    </x:row>
    <x:row r="20" ht="23" customHeight="1">
      <x:c r="A20" s="2"/>
      <x:c r="B20" s="9" t="str">
        <x:v>EX000012</x:v>
      </x:c>
      <x:c r="C20" s="9" t="str">
        <x:v>000013</x:v>
      </x:c>
      <x:c r="D20" s="2" t="str">
        <x:v>개발</x:v>
      </x:c>
      <x:c r="E20" s="2" t="str">
        <x:v>C03</x:v>
      </x:c>
      <x:c r="F20" s="11" t="str">
        <x:v>2026-11-01</x:v>
      </x:c>
      <x:c r="G20" s="2" t="n">
        <x:v>2</x:v>
      </x:c>
      <x:c r="H20" s="2" t="str">
        <x:v>승인</x:v>
      </x:c>
      <x:c r="I20" s="2" t="n">
        <x:v>0.1</x:v>
      </x:c>
      <x:c r="J20" s="2"/>
      <x:c r="K20" s="2" t="n">
        <x:v>1</x:v>
      </x:c>
      <x:c r="L20" s="2" t="str">
        <x:v>예외 시험 12</x:v>
      </x:c>
      <x:c r="M20" s="2" t="str">
        <x:v>D</x:v>
      </x:c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  <x:tableParts count="1">
    <x:tablePart xmlns:r="http://schemas.openxmlformats.org/officeDocument/2006/relationships" r:id="Rfb94b77fbd084a42"/>
  </x:tableParts>
</x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3" hidden="0" customWidth="1"/>
    <ns0:col min="2" max="2" width="28" hidden="0" customWidth="1"/>
    <ns0:col min="3" max="3" width="28" hidden="0" customWidth="1"/>
    <ns0:col min="4" max="4" width="28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6" hidden="0" customWidth="1"/>
  </ns0:cols>
  <ns0:sheetData>
    <ns0:row r="1" ht="24" customHeight="1">
      <ns0:c r="A1" s="2"/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  <ns0:c r="O1" s="2"/>
      <ns0:c r="P1" s="2"/>
    </ns0:row>
    <ns0:row r="2" ht="24" customHeight="1">
      <ns0:c r="A2" s="2"/>
      <ns0:c r="B2" s="3" t="str">
        <ns0:v>오류수식 (가상 시험 자료)</ns0:v>
      </ns0:c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  <ns0:c r="M2" s="2"/>
      <ns0:c r="N2" s="2"/>
      <ns0:c r="O2" s="2"/>
      <ns0:c r="P2" s="2"/>
    </ns0:row>
    <ns0:row r="3" ht="24" customHeight="1">
      <ns0:c r="A3" s="2"/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  <ns0:c r="O3" s="2"/>
      <ns0:c r="P3" s="2"/>
    </ns0:row>
    <ns0:row r="4" ht="24" customHeight="1">
      <ns0:c r="A4" s="2"/>
      <ns0:c r="B4" s="2"/>
      <ns0:c r="C4" s="2"/>
      <ns0:c r="D4" s="2"/>
      <ns0:c r="E4" s="2"/>
      <ns0:c r="F4" s="2"/>
      <ns0:c r="G4" s="2"/>
      <ns0:c r="H4" s="2"/>
      <ns0:c r="I4" s="2"/>
      <ns0:c r="J4" s="2"/>
      <ns0:c r="K4" s="2"/>
      <ns0:c r="L4" s="2"/>
      <ns0:c r="M4" s="2"/>
      <ns0:c r="N4" s="2"/>
      <ns0:c r="O4" s="2"/>
      <ns0:c r="P4" s="2"/>
    </ns0:row>
    <ns0:row r="5" ht="23" customHeight="1">
      <ns0:c r="A5" s="2"/>
      <ns0:c r="B5" s="6" t="str">
        <ns0:v>사례</ns0:v>
      </ns0:c>
      <ns0:c r="C5" s="6" t="str">
        <ns0:v>결과</ns0:v>
      </ns0:c>
      <ns0:c r="D5" s="6" t="str">
        <ns0:v>기대 처리</ns0:v>
      </ns0:c>
      <ns0:c r="E5" s="2"/>
      <ns0:c r="F5" s="2"/>
      <ns0:c r="G5" s="2"/>
      <ns0:c r="H5" s="2"/>
      <ns0:c r="I5" s="2"/>
      <ns0:c r="J5" s="2"/>
      <ns0:c r="K5" s="2"/>
      <ns0:c r="L5" s="2"/>
      <ns0:c r="M5" s="2"/>
      <ns0:c r="N5" s="2"/>
      <ns0:c r="O5" s="2"/>
      <ns0:c r="P5" s="2"/>
    </ns0:row>
    <ns0:row r="6" ht="23" customHeight="1">
      <ns0:c r="A6" s="2"/>
      <ns0:c r="B6" s="2" t="str">
        <ns0:v>동적 참조</ns0:v>
      </ns0:c>
      <ns0:c r="C6" s="2">
        <ns0:f>INDIRECT("신청원본!G6")</ns0:f>
      </ns0:c>
      <ns0:c r="D6" s="2" t="str">
        <ns0:v>INDIRECT 보류</ns0:v>
      </ns0:c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</ns0:row>
    <ns0:row r="7" ht="23" customHeight="1">
      <ns0:c r="A7" s="2"/>
      <ns0:c r="B7" s="2" t="str">
        <ns0:v>외부 통합문서</ns0:v>
      </ns0:c>
      <ns0:c r="C7" s="2">
        <ns0:f>'[missing.xlsx]Sheet1'!A1</ns0:f>
      </ns0:c>
      <ns0:c r="D7" s="2" t="str">
        <ns0:v>외부 파일 미실행</ns0:v>
      </ns0:c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</ns0:row>
    <ns0:row r="8" ht="23" customHeight="1">
      <ns0:c r="A8" s="2"/>
      <ns0:c r="B8" s="2" t="str">
        <ns0:v>순환 A</ns0:v>
      </ns0:c>
      <ns0:c r="C8" s="2">
        <ns0:f>C9+1</ns0:f>
      </ns0:c>
      <ns0:c r="D8" s="2" t="str">
        <ns0:v>순환 참조 탐지</ns0:v>
      </ns0:c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</ns0:row>
    <ns0:row r="9" ht="23" customHeight="1">
      <ns0:c r="A9" s="2"/>
      <ns0:c r="B9" s="2" t="str">
        <ns0:v>순환 B</ns0:v>
      </ns0:c>
      <ns0:c r="C9" s="2">
        <ns0:f>C8+1</ns0:f>
      </ns0:c>
      <ns0:c r="D9" s="2" t="str">
        <ns0:v>순환 참조 탐지</ns0:v>
      </ns0:c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</ns0:row>
    <ns0:row r="10" ht="23" customHeight="1">
      <ns0:c r="A10" s="2"/>
      <ns0:c r="B10" s="2" t="str">
        <ns0:v>0으로 나눔</ns0:v>
      </ns0:c>
      <ns0:c r="C10" s="2" t="e">
        <ns0:f>1/0</ns0:f>
        <ns0:v>#DIV/0!</ns0:v>
      </ns0:c>
      <ns0:c r="D10" s="2" t="str">
        <ns0:v>오류 보존</ns0:v>
      </ns0:c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</ns0:row>
    <ns0:row r="11" ht="23" customHeight="1">
      <ns0:c r="A11" s="2"/>
      <ns0:c r="B11" s="2" t="str">
        <ns0:v>조회 실패</ns0:v>
      </ns0:c>
      <ns0:c r="C11" s="2" t="e">
        <ns0:f>VLOOKUP("UNKNOWN",교육기준!B6:F17,3,FALSE)</ns0:f>
        <ns0:v>#N/A</ns0:v>
      </ns0:c>
      <ns0:c r="D11" s="2" t="str">
        <ns0:v>오류 보존</ns0:v>
      </ns0:c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</ns0:row>
    <ns0:row r="12" ht="23" customHeight="1">
      <ns0:c r="A12" s="2"/>
      <ns0:c r="B12" s="2" t="str">
        <ns0:v>캐시 없는 정상</ns0:v>
      </ns0:c>
      <ns0:c r="C12" s="2">
        <ns0:f>10+20</ns0:f>
      </ns0:c>
      <ns0:c r="D12" s="2" t="str">
        <ns0:v>30으로 재계산</ns0:v>
      </ns0:c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</ns0:row>
    <ns0:row r="13" ht="23" customHeight="1">
      <ns0:c r="A13" s="2"/>
      <ns0:c r="B13" s="2" t="str">
        <ns0:v>구조화 참조</ns0:v>
      </ns0:c>
      <ns0:c r="C13" s="2">
        <ns0:f>SUM(RawApplications[수량])</ns0:f>
      </ns0:c>
      <ns0:c r="D13" s="2" t="str">
        <ns0:v>미지원 보류</ns0:v>
      </ns0:c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</ns0:row>
    <ns0:row r="14" ht="23" customHeight="1">
      <ns0:c r="A14" s="2"/>
      <ns0:c r="B14" s="2" t="str">
        <ns0:v>배열 함수</ns0:v>
      </ns0:c>
      <ns0:c r="C14" s="2">
        <ns0:f>_xlfn.FILTER(신청원본!B6:B485,신청원본!H6:H485="승인")</ns0:f>
      </ns0:c>
      <ns0:c r="D14" s="2" t="str">
        <ns0:v>미지원 보류</ns0:v>
      </ns0:c>
      <ns0:c r="E14" s="2"/>
      <ns0:c r="F14" s="2"/>
      <ns0:c r="G14" s="2"/>
      <ns0:c r="H14" s="2"/>
      <ns0:c r="I14" s="2"/>
      <ns0:c r="J14" s="2"/>
      <ns0:c r="K14" s="2"/>
      <ns0:c r="L14" s="2"/>
      <ns0:c r="M14" s="2"/>
      <ns0:c r="N14" s="2"/>
      <ns0:c r="O14" s="2"/>
      <ns0:c r="P14" s="2"/>
    </ns0:row>
    <ns0:row r="15" ht="24" customHeight="1">
      <ns0:c r="A15" s="2"/>
      <ns0:c r="B15" s="2"/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2"/>
      <ns0:c r="O15" s="2"/>
      <ns0:c r="P15" s="2"/>
    </ns0:row>
    <ns0:row r="16" ht="24" customHeight="1">
      <ns0:c r="A16" s="2"/>
      <ns0:c r="B16" s="2"/>
      <ns0:c r="C16" s="2"/>
      <ns0:c r="D16" s="2"/>
      <ns0:c r="E16" s="2"/>
      <ns0:c r="F16" s="2"/>
      <ns0:c r="G16" s="2"/>
      <ns0:c r="H16" s="2"/>
      <ns0:c r="I16" s="2"/>
      <ns0:c r="J16" s="2"/>
      <ns0:c r="K16" s="2"/>
      <ns0:c r="L16" s="2"/>
      <ns0:c r="M16" s="2"/>
      <ns0:c r="N16" s="2"/>
      <ns0:c r="O16" s="2"/>
      <ns0:c r="P16" s="2"/>
    </ns0:row>
    <ns0:row r="17" ht="24" customHeight="1">
      <ns0:c r="A17" s="2"/>
      <ns0:c r="B17" s="2"/>
      <ns0:c r="C17" s="2"/>
      <ns0:c r="D17" s="2"/>
      <ns0:c r="E17" s="2"/>
      <ns0:c r="F17" s="2"/>
      <ns0:c r="G17" s="2"/>
      <ns0:c r="H17" s="2"/>
      <ns0:c r="I17" s="2"/>
      <ns0:c r="J17" s="2"/>
      <ns0:c r="K17" s="2"/>
      <ns0:c r="L17" s="2"/>
      <ns0:c r="M17" s="2"/>
      <ns0:c r="N17" s="2"/>
      <ns0:c r="O17" s="2"/>
      <ns0:c r="P17" s="2"/>
    </ns0:row>
    <ns0:row r="18" ht="24" customHeight="1">
      <ns0:c r="A18" s="2"/>
      <ns0:c r="B18" s="2"/>
      <ns0:c r="C18" s="2"/>
      <ns0:c r="D18" s="2"/>
      <ns0:c r="E18" s="2"/>
      <ns0:c r="F18" s="2"/>
      <ns0:c r="G18" s="2"/>
      <ns0:c r="H18" s="2"/>
      <ns0:c r="I18" s="2"/>
      <ns0:c r="J18" s="2"/>
      <ns0:c r="K18" s="2"/>
      <ns0:c r="L18" s="2"/>
      <ns0:c r="M18" s="2"/>
      <ns0:c r="N18" s="2"/>
      <ns0:c r="O18" s="2"/>
      <ns0:c r="P18" s="2"/>
    </ns0:row>
    <ns0:row r="19" ht="24" customHeight="1">
      <ns0:c r="A19" s="2"/>
      <ns0:c r="B19" s="2"/>
      <ns0:c r="C19" s="2"/>
      <ns0:c r="D19" s="2"/>
      <ns0:c r="E19" s="2"/>
      <ns0:c r="F19" s="2"/>
      <ns0:c r="G19" s="2"/>
      <ns0:c r="H19" s="2"/>
      <ns0:c r="I19" s="2"/>
      <ns0:c r="J19" s="2"/>
      <ns0:c r="K19" s="2"/>
      <ns0:c r="L19" s="2"/>
      <ns0:c r="M19" s="2"/>
      <ns0:c r="N19" s="2"/>
      <ns0:c r="O19" s="2"/>
      <ns0:c r="P19" s="2"/>
    </ns0:row>
    <ns0:row r="20" ht="24" customHeight="1">
      <ns0:c r="A20" s="2"/>
      <ns0:c r="B20" s="2"/>
      <ns0:c r="C20" s="2"/>
      <ns0:c r="D20" s="2"/>
      <ns0:c r="E20" s="2"/>
      <ns0:c r="F20" s="2"/>
      <ns0:c r="G20" s="2"/>
      <ns0:c r="H20" s="2"/>
      <ns0:c r="I20" s="2"/>
      <ns0:c r="J20" s="2"/>
      <ns0:c r="K20" s="2"/>
      <ns0:c r="L20" s="2"/>
      <ns0:c r="M20" s="2"/>
      <ns0:c r="N20" s="2"/>
      <ns0:c r="O20" s="2"/>
      <ns0:c r="P20" s="2"/>
    </ns0:row>
    <ns0:row r="21" ht="24" customHeight="1">
      <ns0:c r="A21" s="2"/>
      <ns0:c r="B21" s="2"/>
      <ns0:c r="C21" s="2"/>
      <ns0:c r="D21" s="2"/>
      <ns0:c r="E21" s="2"/>
      <ns0:c r="F21" s="2"/>
      <ns0:c r="G21" s="2"/>
      <ns0:c r="H21" s="2"/>
      <ns0:c r="I21" s="2"/>
      <ns0:c r="J21" s="2"/>
      <ns0:c r="K21" s="2"/>
      <ns0:c r="L21" s="2"/>
      <ns0:c r="M21" s="2"/>
      <ns0:c r="N21" s="2"/>
      <ns0:c r="O21" s="2"/>
      <ns0:c r="P21" s="2"/>
    </ns0:row>
    <ns0:row r="22" ht="24" customHeight="1">
      <ns0:c r="A22" s="2"/>
      <ns0:c r="B22" s="2"/>
      <ns0:c r="C22" s="2"/>
      <ns0:c r="D22" s="2"/>
      <ns0:c r="E22" s="2"/>
      <ns0:c r="F22" s="2"/>
      <ns0:c r="G22" s="2"/>
      <ns0:c r="H22" s="2"/>
      <ns0:c r="I22" s="2"/>
      <ns0:c r="J22" s="2"/>
      <ns0:c r="K22" s="2"/>
      <ns0:c r="L22" s="2"/>
      <ns0:c r="M22" s="2"/>
      <ns0:c r="N22" s="2"/>
      <ns0:c r="O22" s="2"/>
      <ns0:c r="P22" s="2"/>
    </ns0:row>
    <ns0:row r="23" ht="24" customHeight="1">
      <ns0:c r="A23" s="2"/>
      <ns0:c r="B23" s="2"/>
      <ns0:c r="C23" s="2"/>
      <ns0:c r="D23" s="2"/>
      <ns0:c r="E23" s="2"/>
      <ns0:c r="F23" s="2"/>
      <ns0:c r="G23" s="2"/>
      <ns0:c r="H23" s="2"/>
      <ns0:c r="I23" s="2"/>
      <ns0:c r="J23" s="2"/>
      <ns0:c r="K23" s="2"/>
      <ns0:c r="L23" s="2"/>
      <ns0:c r="M23" s="2"/>
      <ns0:c r="N23" s="2"/>
      <ns0:c r="O23" s="2"/>
      <ns0:c r="P23" s="2"/>
    </ns0:row>
    <ns0:row r="24" ht="24" customHeight="1">
      <ns0:c r="A24" s="2"/>
      <ns0:c r="B24" s="2"/>
      <ns0:c r="C24" s="2"/>
      <ns0:c r="D24" s="2"/>
      <ns0:c r="E24" s="2"/>
      <ns0:c r="F24" s="2"/>
      <ns0:c r="G24" s="2"/>
      <ns0:c r="H24" s="2"/>
      <ns0:c r="I24" s="2"/>
      <ns0:c r="J24" s="2"/>
      <ns0:c r="K24" s="2"/>
      <ns0:c r="L24" s="2"/>
      <ns0:c r="M24" s="2"/>
      <ns0:c r="N24" s="2"/>
      <ns0:c r="O24" s="2"/>
      <ns0:c r="P24" s="2"/>
    </ns0:row>
  </ns0:sheetData>
  <ns0:pageMargins left="0.7" right="0.7" top="0.75" bottom="0.75" header="0.3" footer="0.3"/>
</ns0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/>
      <x:c r="B2" s="3" t="str">
        <x:v>매크로 결과 입력 자리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 t="str">
        <x:v>미실행. 매크로 원문은 별도 .bas 예제로 제공하며, 이 .xlsx에는 VBA가 없습니다.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2"/>
      <x:c r="B6" s="6" t="str">
        <x:v>부서</x:v>
      </x:c>
      <x:c r="C6" s="6" t="str">
        <x:v>승인건수</x:v>
      </x:c>
      <x:c r="D6" s="6" t="str">
        <x:v>총액</x:v>
      </x:c>
      <x:c r="E6" s="6" t="str">
        <x:v>수료건수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</x:sheetData>
  <x:pageMargins left="0.7" right="0.7" top="0.75" bottom="0.75" header="0.3" footer="0.3"/>
</x:worksheet>
</file>