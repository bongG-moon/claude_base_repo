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f01d82d4ac42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집계" sheetId="1" r:id="Rea4d2fd9e08048d2"/>
    <x:sheet xmlns:r="http://schemas.openxmlformats.org/officeDocument/2006/relationships" name="정산" sheetId="2" r:id="Rc4abbc8ce3ec4098"/>
    <x:sheet xmlns:r="http://schemas.openxmlformats.org/officeDocument/2006/relationships" name="신청" sheetId="3" r:id="Rd010ade1e3ad4794"/>
    <x:sheet xmlns:r="http://schemas.openxmlformats.org/officeDocument/2006/relationships" name="기준표" sheetId="4" r:id="R0d2e1afbd134451d"/>
    <x:sheet xmlns:r="http://schemas.openxmlformats.org/officeDocument/2006/relationships" name="실적" sheetId="5" r:id="R37a3c084c0cf4c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"/>
    <x:numFmt numFmtId="202" formatCode="0.0%"/>
    <x:numFmt numFmtId="203" formatCode="#,##0"/>
    <x:numFmt numFmtId="204" formatCode="0.0"/>
  </x:numFmts>
  <x:fonts count="5">
    <x:font>
      <x:sz val="11"/>
      <x:name val="Carlito"/>
    </x:font>
    <x:font>
      <x:sz val="10"/>
      <x:color rgb="FF23374D"/>
      <x:name val="Noto Sans KR"/>
    </x:font>
    <x:font>
      <x:b/>
      <x:sz val="15"/>
      <x:color rgb="FF23374D"/>
      <x:name val="Noto Sans KR"/>
    </x:font>
    <x:font>
      <x:b/>
      <x:sz val="10"/>
      <x:color rgb="FFFFFFFF"/>
      <x:name val="Noto Sans KR"/>
    </x:font>
    <x:font>
      <x:b/>
      <x:sz val="10"/>
      <x:color rgb="FF23374D"/>
      <x:name val="Noto Sans KR"/>
    </x:font>
  </x:fonts>
  <x:fills count="4">
    <x:fill>
      <x:patternFill patternType="none"/>
    </x:fill>
    <x:fill>
      <x:patternFill patternType="gray125"/>
    </x:fill>
    <x:fill>
      <x:patternFill patternType="solid">
        <x:fgColor rgb="FF2E5077"/>
      </x:patternFill>
    </x:fill>
    <x:fill>
      <x:patternFill patternType="solid">
        <x:fgColor rgb="FFEDF3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3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a1af4c680544a8" /><Relationship Type="http://schemas.openxmlformats.org/officeDocument/2006/relationships/theme" Target="/xl/theme/theme1.xml" Id="R4934da24beee48c5" /><Relationship Type="http://schemas.openxmlformats.org/officeDocument/2006/relationships/sharedStrings" Target="/xl/sharedStrings.xml" Id="Rf38a62f5160545fd" /><Relationship Type="http://schemas.openxmlformats.org/officeDocument/2006/relationships/worksheet" Target="/xl/worksheets/sheet1.xml" Id="Rea4d2fd9e08048d2" /><Relationship Type="http://schemas.openxmlformats.org/officeDocument/2006/relationships/worksheet" Target="/xl/worksheets/sheet2.xml" Id="Rc4abbc8ce3ec4098" /><Relationship Type="http://schemas.openxmlformats.org/officeDocument/2006/relationships/worksheet" Target="/xl/worksheets/sheet3.xml" Id="Rd010ade1e3ad4794" /><Relationship Type="http://schemas.openxmlformats.org/officeDocument/2006/relationships/worksheet" Target="/xl/worksheets/sheet4.xml" Id="R0d2e1afbd134451d" /><Relationship Type="http://schemas.openxmlformats.org/officeDocument/2006/relationships/worksheet" Target="/xl/worksheets/sheet5.xml" Id="R37a3c084c0cf4cb4" /></Relationships>
</file>

<file path=xl/tables/table1.xml><?xml version="1.0" encoding="utf-8"?>
<x:table xmlns:x="http://schemas.openxmlformats.org/spreadsheetml/2006/main" id="1" name="Applicants" displayName="Applicants" ref="B5:J17" headerRowCount="1" totalsRowCount="0" totalsRowShown="0">
  <x:tableColumns count="9">
    <x:tableColumn id="1" name="사번"/>
    <x:tableColumn id="2" name="성명"/>
    <x:tableColumn id="3" name="부서"/>
    <x:tableColumn id="4" name="과정코드"/>
    <x:tableColumn id="5" name="신청일"/>
    <x:tableColumn id="6" name="수량"/>
    <x:tableColumn id="7" name="상태"/>
    <x:tableColumn id="8" name="감면율"/>
    <x:tableColumn id="9" name="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066b87084c248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2"/>
      <x:c r="B2" s="3" t="str">
        <x:v>11월 부서별 승인 현황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2"/>
      <x:c r="B4" s="6" t="str">
        <x:v>부서</x:v>
      </x:c>
      <x:c r="C4" s="6" t="str">
        <x:v>승인인원</x:v>
      </x:c>
      <x:c r="D4" s="6" t="str">
        <x:v>승인금액</x:v>
      </x:c>
      <x:c r="E4" s="6" t="str">
        <x:v>평균금액</x:v>
      </x:c>
      <x:c r="F4" s="2"/>
      <x:c r="G4" s="2"/>
      <x:c r="H4" s="2"/>
      <x:c r="I4" s="2"/>
      <x:c r="J4" s="2"/>
      <x:c r="K4" s="2"/>
    </x:row>
    <x:row r="5" ht="25" customHeight="1">
      <x:c r="A5" s="2"/>
      <x:c r="B5" s="2" t="str">
        <x:v>개발</x:v>
      </x:c>
      <x:c r="C5" s="2" t="n">
        <x:f>COUNTIFS('정산'!$C$6:$C$16,B5,'정산'!$D$6:$D$16,"승인")</x:f>
        <x:v>4</x:v>
      </x:c>
      <x:c r="D5" s="10" t="n">
        <x:f>SUMIFS('정산'!$H$6:$H$16,'정산'!$C$6:$C$16,B5,'정산'!$D$6:$D$16,"승인")</x:f>
        <x:v>628000</x:v>
      </x:c>
      <x:c r="E5" s="10" t="n">
        <x:f>IF(C5=0,0,ROUND(D5/C5,0))</x:f>
        <x:v>157000</x:v>
      </x:c>
      <x:c r="F5" s="2"/>
      <x:c r="G5" s="2"/>
      <x:c r="H5" s="2"/>
      <x:c r="I5" s="2"/>
      <x:c r="J5" s="2"/>
      <x:c r="K5" s="2"/>
    </x:row>
    <x:row r="6" ht="25" customHeight="1">
      <x:c r="A6" s="2"/>
      <x:c r="B6" s="2" t="str">
        <x:v>생산</x:v>
      </x:c>
      <x:c r="C6" s="2" t="n">
        <x:f>COUNTIFS('정산'!$C$6:$C$16,B6,'정산'!$D$6:$D$16,"승인")</x:f>
        <x:v>3</x:v>
      </x:c>
      <x:c r="D6" s="10" t="n">
        <x:f>SUMIFS('정산'!$H$6:$H$16,'정산'!$C$6:$C$16,B6,'정산'!$D$6:$D$16,"승인")</x:f>
        <x:v>948000</x:v>
      </x:c>
      <x:c r="E6" s="10" t="n">
        <x:f>IF(C6=0,0,ROUND(D6/C6,0))</x:f>
        <x:v>316000</x:v>
      </x:c>
      <x:c r="F6" s="2"/>
      <x:c r="G6" s="2"/>
      <x:c r="H6" s="2"/>
      <x:c r="I6" s="2"/>
      <x:c r="J6" s="2"/>
      <x:c r="K6" s="2"/>
    </x:row>
    <x:row r="7" ht="25" customHeight="1">
      <x:c r="A7" s="2"/>
      <x:c r="B7" s="2" t="str">
        <x:v>품질</x:v>
      </x:c>
      <x:c r="C7" s="2" t="n">
        <x:f>COUNTIFS('정산'!$C$6:$C$16,B7,'정산'!$D$6:$D$16,"승인")</x:f>
        <x:v>2</x:v>
      </x:c>
      <x:c r="D7" s="10" t="n">
        <x:f>SUMIFS('정산'!$H$6:$H$16,'정산'!$C$6:$C$16,B7,'정산'!$D$6:$D$16,"승인")</x:f>
        <x:v>295000</x:v>
      </x:c>
      <x:c r="E7" s="10" t="n">
        <x:f>IF(C7=0,0,ROUND(D7/C7,0))</x:f>
        <x:v>147500</x:v>
      </x:c>
      <x:c r="F7" s="2"/>
      <x:c r="G7" s="2"/>
      <x:c r="H7" s="2"/>
      <x:c r="I7" s="2"/>
      <x:c r="J7" s="2"/>
      <x:c r="K7" s="2"/>
    </x:row>
    <x:row r="8" ht="25" customHeight="1">
      <x:c r="A8" s="2"/>
      <x:c r="B8" s="11" t="str">
        <x:v>합계</x:v>
      </x:c>
      <x:c r="C8" s="11" t="n">
        <x:f>SUM(C5:C7)</x:f>
        <x:v>9</x:v>
      </x:c>
      <x:c r="D8" s="15" t="n">
        <x:f>SUM(D5:D7)</x:f>
        <x:v>1871000</x:v>
      </x:c>
      <x:c r="E8" s="15"/>
      <x:c r="F8" s="2"/>
      <x:c r="G8" s="2"/>
      <x:c r="H8" s="2"/>
      <x:c r="I8" s="2"/>
      <x:c r="J8" s="2"/>
      <x:c r="K8" s="2"/>
    </x:row>
    <x:row r="9" ht="25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</x:row>
    <x:row r="10" ht="2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2"/>
      <x:c r="B2" s="3" t="str">
        <x:v>신청별 예상 정산 (원)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5" customHeight="1">
      <x:c r="A5" s="2"/>
      <x:c r="B5" s="6" t="str">
        <x:v>사번</x:v>
      </x:c>
      <x:c r="C5" s="6" t="str">
        <x:v>부서</x:v>
      </x:c>
      <x:c r="D5" s="6" t="str">
        <x:v>상태</x:v>
      </x:c>
      <x:c r="E5" s="6" t="str">
        <x:v>단가</x:v>
      </x:c>
      <x:c r="F5" s="6" t="str">
        <x:v>수량</x:v>
      </x:c>
      <x:c r="G5" s="6" t="str">
        <x:v>감면율</x:v>
      </x:c>
      <x:c r="H5" s="6" t="str">
        <x:v>청구액</x:v>
      </x:c>
      <x:c r="I5" s="2"/>
      <x:c r="J5" s="2"/>
      <x:c r="K5" s="2"/>
    </x:row>
    <x:row r="6" ht="25" customHeight="1">
      <x:c r="A6" s="2"/>
      <x:c r="B6" s="7" t="str">
        <x:f>'신청'!B6</x:f>
        <x:v>00101</x:v>
      </x:c>
      <x:c r="C6" s="2" t="str">
        <x:f>'신청'!D6</x:f>
        <x:v>개발</x:v>
      </x:c>
      <x:c r="D6" s="2" t="str">
        <x:f>'신청'!H6</x:f>
        <x:v>승인</x:v>
      </x:c>
      <x:c r="E6" s="10" t="n">
        <x:f>VLOOKUP('신청'!E6,'기준표'!$B$5:$E$7,3,FALSE)</x:f>
        <x:v>100000</x:v>
      </x:c>
      <x:c r="F6" s="10" t="n">
        <x:f>'신청'!G6</x:f>
        <x:v>2</x:v>
      </x:c>
      <x:c r="G6" s="9" t="n">
        <x:f>'신청'!I6</x:f>
        <x:v>0</x:v>
      </x:c>
      <x:c r="H6" s="10" t="n">
        <x:f>IF(D6="승인",ROUND(E6*F6*(1-G6),0),0)</x:f>
        <x:v>200000</x:v>
      </x:c>
      <x:c r="I6" s="2"/>
      <x:c r="J6" s="2"/>
      <x:c r="K6" s="2"/>
    </x:row>
    <x:row r="7" ht="25" customHeight="1">
      <x:c r="A7" s="2"/>
      <x:c r="B7" s="7" t="str">
        <x:f>'신청'!B7</x:f>
        <x:v>00102</x:v>
      </x:c>
      <x:c r="C7" s="2" t="str">
        <x:f>'신청'!D7</x:f>
        <x:v>생산</x:v>
      </x:c>
      <x:c r="D7" s="2" t="str">
        <x:f>'신청'!H7</x:f>
        <x:v>승인</x:v>
      </x:c>
      <x:c r="E7" s="10" t="n">
        <x:f>VLOOKUP('신청'!E7,'기준표'!$B$5:$E$7,3,FALSE)</x:f>
        <x:v>160000</x:v>
      </x:c>
      <x:c r="F7" s="10" t="n">
        <x:f>'신청'!G7</x:f>
        <x:v>2</x:v>
      </x:c>
      <x:c r="G7" s="9" t="n">
        <x:f>'신청'!I7</x:f>
        <x:v>0.1</x:v>
      </x:c>
      <x:c r="H7" s="10" t="n">
        <x:f>IF(D7="승인",ROUND(E7*F7*(1-G7),0),0)</x:f>
        <x:v>288000</x:v>
      </x:c>
      <x:c r="I7" s="2"/>
      <x:c r="J7" s="2"/>
      <x:c r="K7" s="2"/>
    </x:row>
    <x:row r="8" ht="25" customHeight="1">
      <x:c r="A8" s="2"/>
      <x:c r="B8" s="7" t="str">
        <x:f>'신청'!B8</x:f>
        <x:v>00103</x:v>
      </x:c>
      <x:c r="C8" s="2" t="str">
        <x:f>'신청'!D8</x:f>
        <x:v>개발</x:v>
      </x:c>
      <x:c r="D8" s="2" t="str">
        <x:f>'신청'!H8</x:f>
        <x:v>승인</x:v>
      </x:c>
      <x:c r="E8" s="10" t="n">
        <x:f>VLOOKUP('신청'!E8,'기준표'!$B$5:$E$7,3,FALSE)</x:f>
        <x:v>200000</x:v>
      </x:c>
      <x:c r="F8" s="10" t="n">
        <x:f>'신청'!G8</x:f>
        <x:v>1</x:v>
      </x:c>
      <x:c r="G8" s="9" t="n">
        <x:f>'신청'!I8</x:f>
        <x:v>0</x:v>
      </x:c>
      <x:c r="H8" s="10" t="n">
        <x:f>IF(D8="승인",ROUND(E8*F8*(1-G8),0),0)</x:f>
        <x:v>200000</x:v>
      </x:c>
      <x:c r="I8" s="2"/>
      <x:c r="J8" s="2"/>
      <x:c r="K8" s="2"/>
    </x:row>
    <x:row r="9" ht="25" customHeight="1">
      <x:c r="A9" s="2"/>
      <x:c r="B9" s="7" t="str">
        <x:f>'신청'!B9</x:f>
        <x:v>00104</x:v>
      </x:c>
      <x:c r="C9" s="2" t="str">
        <x:f>'신청'!D9</x:f>
        <x:v>품질</x:v>
      </x:c>
      <x:c r="D9" s="2" t="str">
        <x:f>'신청'!H9</x:f>
        <x:v>승인</x:v>
      </x:c>
      <x:c r="E9" s="10" t="n">
        <x:f>VLOOKUP('신청'!E9,'기준표'!$B$5:$E$7,3,FALSE)</x:f>
        <x:v>100000</x:v>
      </x:c>
      <x:c r="F9" s="10" t="n">
        <x:f>'신청'!G9</x:f>
        <x:v>1</x:v>
      </x:c>
      <x:c r="G9" s="9" t="n">
        <x:f>'신청'!I9</x:f>
        <x:v>0.05</x:v>
      </x:c>
      <x:c r="H9" s="10" t="n">
        <x:f>IF(D9="승인",ROUND(E9*F9*(1-G9),0),0)</x:f>
        <x:v>95000</x:v>
      </x:c>
      <x:c r="I9" s="2"/>
      <x:c r="J9" s="2"/>
      <x:c r="K9" s="2"/>
    </x:row>
    <x:row r="10" ht="25" customHeight="1">
      <x:c r="A10" s="2"/>
      <x:c r="B10" s="7" t="str">
        <x:f>'신청'!B10</x:f>
        <x:v>00105</x:v>
      </x:c>
      <x:c r="C10" s="2" t="str">
        <x:f>'신청'!D10</x:f>
        <x:v>생산</x:v>
      </x:c>
      <x:c r="D10" s="2" t="str">
        <x:f>'신청'!H10</x:f>
        <x:v>취소</x:v>
      </x:c>
      <x:c r="E10" s="10" t="n">
        <x:f>VLOOKUP('신청'!E10,'기준표'!$B$5:$E$7,3,FALSE)</x:f>
        <x:v>160000</x:v>
      </x:c>
      <x:c r="F10" s="10" t="n">
        <x:f>'신청'!G10</x:f>
        <x:v>0</x:v>
      </x:c>
      <x:c r="G10" s="9" t="n">
        <x:f>'신청'!I10</x:f>
        <x:v>0</x:v>
      </x:c>
      <x:c r="H10" s="10" t="n">
        <x:f>IF(D10="승인",ROUND(E10*F10*(1-G10),0),0)</x:f>
        <x:v>0</x:v>
      </x:c>
      <x:c r="I10" s="2"/>
      <x:c r="J10" s="2"/>
      <x:c r="K10" s="2"/>
    </x:row>
    <x:row r="11" ht="25" customHeight="1">
      <x:c r="A11" s="2"/>
      <x:c r="B11" s="7" t="str">
        <x:f>'신청'!B12</x:f>
        <x:v>00106</x:v>
      </x:c>
      <x:c r="C11" s="2" t="str">
        <x:f>'신청'!D12</x:f>
        <x:v>품질</x:v>
      </x:c>
      <x:c r="D11" s="2" t="str">
        <x:f>'신청'!H12</x:f>
        <x:v>승인</x:v>
      </x:c>
      <x:c r="E11" s="10" t="n">
        <x:f>VLOOKUP('신청'!E12,'기준표'!$B$5:$E$7,3,FALSE)</x:f>
        <x:v>200000</x:v>
      </x:c>
      <x:c r="F11" s="10" t="n">
        <x:f>'신청'!G12</x:f>
        <x:v>1</x:v>
      </x:c>
      <x:c r="G11" s="9" t="n">
        <x:f>'신청'!I12</x:f>
        <x:v>0</x:v>
      </x:c>
      <x:c r="H11" s="10" t="n">
        <x:f>IF(D11="승인",ROUND(E11*F11*(1-G11),0),0)</x:f>
        <x:v>200000</x:v>
      </x:c>
      <x:c r="I11" s="2"/>
      <x:c r="J11" s="2"/>
      <x:c r="K11" s="2"/>
    </x:row>
    <x:row r="12" ht="25" customHeight="1">
      <x:c r="A12" s="2"/>
      <x:c r="B12" s="7" t="str">
        <x:f>'신청'!B13</x:f>
        <x:v>00107</x:v>
      </x:c>
      <x:c r="C12" s="2" t="str">
        <x:f>'신청'!D13</x:f>
        <x:v>개발</x:v>
      </x:c>
      <x:c r="D12" s="2" t="str">
        <x:f>'신청'!H13</x:f>
        <x:v>승인</x:v>
      </x:c>
      <x:c r="E12" s="10" t="n">
        <x:f>VLOOKUP('신청'!E13,'기준표'!$B$5:$E$7,3,FALSE)</x:f>
        <x:v>160000</x:v>
      </x:c>
      <x:c r="F12" s="10" t="n">
        <x:f>'신청'!G13</x:f>
        <x:v>1</x:v>
      </x:c>
      <x:c r="G12" s="9" t="n">
        <x:f>'신청'!I13</x:f>
        <x:v>0.2</x:v>
      </x:c>
      <x:c r="H12" s="10" t="n">
        <x:f>IF(D12="승인",ROUND(E12*F12*(1-G12),0),0)</x:f>
        <x:v>128000</x:v>
      </x:c>
      <x:c r="I12" s="2"/>
      <x:c r="J12" s="2"/>
      <x:c r="K12" s="2"/>
    </x:row>
    <x:row r="13" ht="25" customHeight="1">
      <x:c r="A13" s="2"/>
      <x:c r="B13" s="7" t="str">
        <x:f>'신청'!B14</x:f>
        <x:v>00108</x:v>
      </x:c>
      <x:c r="C13" s="2" t="str">
        <x:f>'신청'!D14</x:f>
        <x:v>생산</x:v>
      </x:c>
      <x:c r="D13" s="2" t="str">
        <x:f>'신청'!H14</x:f>
        <x:v>승인</x:v>
      </x:c>
      <x:c r="E13" s="10" t="n">
        <x:f>VLOOKUP('신청'!E14,'기준표'!$B$5:$E$7,3,FALSE)</x:f>
        <x:v>100000</x:v>
      </x:c>
      <x:c r="F13" s="10" t="n">
        <x:f>'신청'!G14</x:f>
        <x:v>3</x:v>
      </x:c>
      <x:c r="G13" s="9" t="n">
        <x:f>'신청'!I14</x:f>
        <x:v>0</x:v>
      </x:c>
      <x:c r="H13" s="10" t="n">
        <x:f>IF(D13="승인",ROUND(E13*F13*(1-G13),0),0)</x:f>
        <x:v>300000</x:v>
      </x:c>
      <x:c r="I13" s="2"/>
      <x:c r="J13" s="2"/>
      <x:c r="K13" s="2"/>
    </x:row>
    <x:row r="14" ht="25" customHeight="1">
      <x:c r="A14" s="2"/>
      <x:c r="B14" s="7" t="str">
        <x:f>'신청'!B15</x:f>
        <x:v>00109</x:v>
      </x:c>
      <x:c r="C14" s="2" t="str">
        <x:f>'신청'!D15</x:f>
        <x:v>품질</x:v>
      </x:c>
      <x:c r="D14" s="2" t="str">
        <x:f>'신청'!H15</x:f>
        <x:v>대기</x:v>
      </x:c>
      <x:c r="E14" s="10" t="n">
        <x:f>VLOOKUP('신청'!E15,'기준표'!$B$5:$E$7,3,FALSE)</x:f>
        <x:v>200000</x:v>
      </x:c>
      <x:c r="F14" s="10" t="n">
        <x:f>'신청'!G15</x:f>
        <x:v>1</x:v>
      </x:c>
      <x:c r="G14" s="9" t="n">
        <x:f>'신청'!I15</x:f>
        <x:v>0.1</x:v>
      </x:c>
      <x:c r="H14" s="10" t="n">
        <x:f>IF(D14="승인",ROUND(E14*F14*(1-G14),0),0)</x:f>
        <x:v>0</x:v>
      </x:c>
      <x:c r="I14" s="2"/>
      <x:c r="J14" s="2"/>
      <x:c r="K14" s="2"/>
    </x:row>
    <x:row r="15" ht="25" customHeight="1">
      <x:c r="A15" s="2"/>
      <x:c r="B15" s="7" t="str">
        <x:f>'신청'!B16</x:f>
        <x:v>00110</x:v>
      </x:c>
      <x:c r="C15" s="2" t="str">
        <x:f>'신청'!D16</x:f>
        <x:v>개발</x:v>
      </x:c>
      <x:c r="D15" s="2" t="str">
        <x:f>'신청'!H16</x:f>
        <x:v>승인</x:v>
      </x:c>
      <x:c r="E15" s="10" t="n">
        <x:f>VLOOKUP('신청'!E16,'기준표'!$B$5:$E$7,3,FALSE)</x:f>
        <x:v>100000</x:v>
      </x:c>
      <x:c r="F15" s="10" t="n">
        <x:f>'신청'!G16</x:f>
        <x:v>1</x:v>
      </x:c>
      <x:c r="G15" s="9" t="n">
        <x:f>'신청'!I16</x:f>
        <x:v>0</x:v>
      </x:c>
      <x:c r="H15" s="10" t="n">
        <x:f>IF(D15="승인",ROUND(E15*F15*(1-G15),0),0)</x:f>
        <x:v>100000</x:v>
      </x:c>
      <x:c r="I15" s="2"/>
      <x:c r="J15" s="2"/>
      <x:c r="K15" s="2"/>
    </x:row>
    <x:row r="16" ht="25" customHeight="1">
      <x:c r="A16" s="2"/>
      <x:c r="B16" s="7" t="str">
        <x:f>'신청'!B17</x:f>
        <x:v>00111</x:v>
      </x:c>
      <x:c r="C16" s="2" t="str">
        <x:f>'신청'!D17</x:f>
        <x:v>생산</x:v>
      </x:c>
      <x:c r="D16" s="2" t="str">
        <x:f>'신청'!H17</x:f>
        <x:v>승인</x:v>
      </x:c>
      <x:c r="E16" s="10" t="n">
        <x:f>VLOOKUP('신청'!E17,'기준표'!$B$5:$E$7,3,FALSE)</x:f>
        <x:v>200000</x:v>
      </x:c>
      <x:c r="F16" s="10" t="n">
        <x:f>'신청'!G17</x:f>
        <x:v>2</x:v>
      </x:c>
      <x:c r="G16" s="9" t="n">
        <x:f>'신청'!I17</x:f>
        <x:v>0.1</x:v>
      </x:c>
      <x:c r="H16" s="10" t="n">
        <x:f>IF(D16="승인",ROUND(E16*F16*(1-G16),0),0)</x:f>
        <x:v>360000</x:v>
      </x:c>
      <x:c r="I16" s="2"/>
      <x:c r="J16" s="2"/>
      <x:c r="K16" s="2"/>
    </x:row>
    <x:row r="17" ht="25" customHeight="1">
      <x:c r="A17" s="2"/>
      <x:c r="B17" s="14" t="str">
        <x:v>합계</x:v>
      </x:c>
      <x:c r="C17" s="12"/>
      <x:c r="D17" s="12"/>
      <x:c r="E17" s="13"/>
      <x:c r="F17" s="13"/>
      <x:c r="G17" s="12"/>
      <x:c r="H17" s="13" t="n">
        <x:f>SUM(H6:H16)</x:f>
        <x:v>1871000</x:v>
      </x:c>
      <x:c r="I17" s="2"/>
      <x:c r="J17" s="2"/>
      <x:c r="K17" s="2"/>
    </x:row>
    <x:row r="18" ht="25" customHeight="1">
      <x:c r="A18" s="2"/>
      <x:c r="B18" s="7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25" customHeight="1">
      <x:c r="A19" s="2"/>
      <x:c r="B19" s="7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25" customHeight="1">
      <x:c r="A20" s="2"/>
      <x:c r="B20" s="7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25" customHeight="1">
      <x:c r="A21" s="2"/>
      <x:c r="B21" s="7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5" customHeight="1">
      <x:c r="A22" s="2"/>
      <x:c r="B22" s="7"/>
      <x:c r="C22" s="2"/>
      <x:c r="D22" s="2"/>
      <x:c r="E22" s="2"/>
      <x:c r="F22" s="2"/>
      <x:c r="G22" s="2"/>
      <x:c r="H22" s="2"/>
      <x:c r="I22" s="2"/>
      <x:c r="J22" s="2"/>
      <x:c r="K22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23" hidden="0" customWidth="1"/>
    <x:col min="11" max="11" width="1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2"/>
      <x:c r="B2" s="3" t="str">
        <x:v>11월 교육 신청 (가상 자료)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5" customHeight="1">
      <x:c r="A5" s="2"/>
      <x:c r="B5" s="6" t="str">
        <x:v>사번</x:v>
      </x:c>
      <x:c r="C5" s="6" t="str">
        <x:v>성명</x:v>
      </x:c>
      <x:c r="D5" s="6" t="str">
        <x:v>부서</x:v>
      </x:c>
      <x:c r="E5" s="6" t="str">
        <x:v>과정코드</x:v>
      </x:c>
      <x:c r="F5" s="6" t="str">
        <x:v>신청일</x:v>
      </x:c>
      <x:c r="G5" s="6" t="str">
        <x:v>수량</x:v>
      </x:c>
      <x:c r="H5" s="6" t="str">
        <x:v>상태</x:v>
      </x:c>
      <x:c r="I5" s="6" t="str">
        <x:v>감면율</x:v>
      </x:c>
      <x:c r="J5" s="6" t="str">
        <x:v>메모</x:v>
      </x:c>
      <x:c r="K5" s="2"/>
    </x:row>
    <x:row r="6" ht="25" customHeight="1">
      <x:c r="A6" s="2"/>
      <x:c r="B6" s="7" t="str">
        <x:v>00101</x:v>
      </x:c>
      <x:c r="C6" s="2" t="str">
        <x:v>김하나</x:v>
      </x:c>
      <x:c r="D6" s="2" t="str">
        <x:v>개발</x:v>
      </x:c>
      <x:c r="E6" s="2" t="str">
        <x:v>C01</x:v>
      </x:c>
      <x:c r="F6" s="8" t="d">
        <x:v>2026-11-01T00:00:00.000Z</x:v>
      </x:c>
      <x:c r="G6" s="2" t="n">
        <x:v>2</x:v>
      </x:c>
      <x:c r="H6" s="2" t="str">
        <x:v>승인</x:v>
      </x:c>
      <x:c r="I6" s="9" t="n">
        <x:v>0</x:v>
      </x:c>
      <x:c r="J6" s="2"/>
      <x:c r="K6" s="2"/>
    </x:row>
    <x:row r="7" ht="25" customHeight="1">
      <x:c r="A7" s="2"/>
      <x:c r="B7" s="7" t="str">
        <x:v>00102</x:v>
      </x:c>
      <x:c r="C7" s="2" t="str">
        <x:v>이둘</x:v>
      </x:c>
      <x:c r="D7" s="2" t="str">
        <x:v>생산</x:v>
      </x:c>
      <x:c r="E7" s="2" t="str">
        <x:v>C02</x:v>
      </x:c>
      <x:c r="F7" s="8" t="d">
        <x:v>2026-11-02T00:00:00.000Z</x:v>
      </x:c>
      <x:c r="G7" s="2" t="n">
        <x:v>2</x:v>
      </x:c>
      <x:c r="H7" s="2" t="str">
        <x:v>승인</x:v>
      </x:c>
      <x:c r="I7" s="9" t="n">
        <x:v>0.1</x:v>
      </x:c>
      <x:c r="J7" s="2" t="str">
        <x:v>단체 신청</x:v>
      </x:c>
      <x:c r="K7" s="2"/>
    </x:row>
    <x:row r="8" ht="25" customHeight="1">
      <x:c r="A8" s="2"/>
      <x:c r="B8" s="7" t="str">
        <x:v>00103</x:v>
      </x:c>
      <x:c r="C8" s="2" t="str">
        <x:v>박셋</x:v>
      </x:c>
      <x:c r="D8" s="2" t="str">
        <x:v>개발</x:v>
      </x:c>
      <x:c r="E8" s="2" t="str">
        <x:v>C03</x:v>
      </x:c>
      <x:c r="F8" s="8" t="d">
        <x:v>2026-11-03T00:00:00.000Z</x:v>
      </x:c>
      <x:c r="G8" s="2" t="n">
        <x:v>1</x:v>
      </x:c>
      <x:c r="H8" s="2" t="str">
        <x:v>승인</x:v>
      </x:c>
      <x:c r="I8" s="9" t="n">
        <x:v>0</x:v>
      </x:c>
      <x:c r="J8" s="2"/>
      <x:c r="K8" s="2"/>
    </x:row>
    <x:row r="9" ht="25" customHeight="1">
      <x:c r="A9" s="2"/>
      <x:c r="B9" s="7" t="str">
        <x:v>00104</x:v>
      </x:c>
      <x:c r="C9" s="2" t="str">
        <x:v>최넷</x:v>
      </x:c>
      <x:c r="D9" s="2" t="str">
        <x:v>품질</x:v>
      </x:c>
      <x:c r="E9" s="2" t="str">
        <x:v>C01</x:v>
      </x:c>
      <x:c r="F9" s="8" t="d">
        <x:v>2026-11-04T00:00:00.000Z</x:v>
      </x:c>
      <x:c r="G9" s="2" t="n">
        <x:v>1</x:v>
      </x:c>
      <x:c r="H9" s="2" t="str">
        <x:v>승인</x:v>
      </x:c>
      <x:c r="I9" s="9" t="n">
        <x:v>0.05</x:v>
      </x:c>
      <x:c r="J9" s="2"/>
      <x:c r="K9" s="2"/>
    </x:row>
    <x:row r="10" ht="25" customHeight="1">
      <x:c r="A10" s="2"/>
      <x:c r="B10" s="7" t="str">
        <x:v>00105</x:v>
      </x:c>
      <x:c r="C10" s="2" t="str">
        <x:v>정다섯</x:v>
      </x:c>
      <x:c r="D10" s="2" t="str">
        <x:v>생산</x:v>
      </x:c>
      <x:c r="E10" s="2" t="str">
        <x:v>C02</x:v>
      </x:c>
      <x:c r="F10" s="8" t="d">
        <x:v>2026-11-05T00:00:00.000Z</x:v>
      </x:c>
      <x:c r="G10" s="2" t="n">
        <x:v>0</x:v>
      </x:c>
      <x:c r="H10" s="2" t="str">
        <x:v>취소</x:v>
      </x:c>
      <x:c r="I10" s="9" t="n">
        <x:v>0</x:v>
      </x:c>
      <x:c r="J10" s="2" t="str">
        <x:v>수량 0 보존</x:v>
      </x:c>
      <x:c r="K10" s="2"/>
    </x:row>
    <x:row r="11" ht="25" customHeight="1">
      <x:c r="A11" s="2"/>
      <x:c r="B11" s="7"/>
      <x:c r="C11" s="2"/>
      <x:c r="D11" s="2"/>
      <x:c r="E11" s="2"/>
      <x:c r="F11" s="8"/>
      <x:c r="G11" s="2"/>
      <x:c r="H11" s="2"/>
      <x:c r="I11" s="9"/>
      <x:c r="J11" s="2"/>
      <x:c r="K11" s="2"/>
    </x:row>
    <x:row r="12" ht="25" customHeight="1">
      <x:c r="A12" s="2"/>
      <x:c r="B12" s="7" t="str">
        <x:v>00106</x:v>
      </x:c>
      <x:c r="C12" s="2" t="str">
        <x:v>문여섯</x:v>
      </x:c>
      <x:c r="D12" s="2" t="str">
        <x:v>품질</x:v>
      </x:c>
      <x:c r="E12" s="2" t="str">
        <x:v>C03</x:v>
      </x:c>
      <x:c r="F12" s="8" t="d">
        <x:v>2026-11-06T00:00:00.000Z</x:v>
      </x:c>
      <x:c r="G12" s="2" t="n">
        <x:v>1</x:v>
      </x:c>
      <x:c r="H12" s="2" t="str">
        <x:v>승인</x:v>
      </x:c>
      <x:c r="I12" s="9" t="n">
        <x:v>0</x:v>
      </x:c>
      <x:c r="J12" s="2"/>
      <x:c r="K12" s="2"/>
    </x:row>
    <x:row r="13" ht="25" customHeight="1">
      <x:c r="A13" s="2"/>
      <x:c r="B13" s="7" t="str">
        <x:v>00107</x:v>
      </x:c>
      <x:c r="C13" s="2" t="str">
        <x:v>한일곱</x:v>
      </x:c>
      <x:c r="D13" s="2" t="str">
        <x:v>개발</x:v>
      </x:c>
      <x:c r="E13" s="2" t="str">
        <x:v>C02</x:v>
      </x:c>
      <x:c r="F13" s="8" t="d">
        <x:v>2026-11-07T00:00:00.000Z</x:v>
      </x:c>
      <x:c r="G13" s="2" t="n">
        <x:v>1</x:v>
      </x:c>
      <x:c r="H13" s="2" t="str">
        <x:v>승인</x:v>
      </x:c>
      <x:c r="I13" s="9" t="n">
        <x:v>0.2</x:v>
      </x:c>
      <x:c r="J13" s="2"/>
      <x:c r="K13" s="2"/>
    </x:row>
    <x:row r="14" ht="25" customHeight="1">
      <x:c r="A14" s="2"/>
      <x:c r="B14" s="7" t="str">
        <x:v>00108</x:v>
      </x:c>
      <x:c r="C14" s="2" t="str">
        <x:v>오여덟</x:v>
      </x:c>
      <x:c r="D14" s="2" t="str">
        <x:v>생산</x:v>
      </x:c>
      <x:c r="E14" s="2" t="str">
        <x:v>C01</x:v>
      </x:c>
      <x:c r="F14" s="8" t="d">
        <x:v>2026-11-08T00:00:00.000Z</x:v>
      </x:c>
      <x:c r="G14" s="2" t="n">
        <x:v>3</x:v>
      </x:c>
      <x:c r="H14" s="2" t="str">
        <x:v>승인</x:v>
      </x:c>
      <x:c r="I14" s="9" t="n">
        <x:v>0</x:v>
      </x:c>
      <x:c r="J14" s="2"/>
      <x:c r="K14" s="2"/>
    </x:row>
    <x:row r="15" ht="25" customHeight="1">
      <x:c r="A15" s="2"/>
      <x:c r="B15" s="7" t="str">
        <x:v>00109</x:v>
      </x:c>
      <x:c r="C15" s="2" t="str">
        <x:v>윤아홉</x:v>
      </x:c>
      <x:c r="D15" s="2" t="str">
        <x:v>품질</x:v>
      </x:c>
      <x:c r="E15" s="2" t="str">
        <x:v>C03</x:v>
      </x:c>
      <x:c r="F15" s="8" t="d">
        <x:v>2026-11-09T00:00:00.000Z</x:v>
      </x:c>
      <x:c r="G15" s="2" t="n">
        <x:v>1</x:v>
      </x:c>
      <x:c r="H15" s="2" t="str">
        <x:v>대기</x:v>
      </x:c>
      <x:c r="I15" s="9" t="n">
        <x:v>0.1</x:v>
      </x:c>
      <x:c r="J15" s="2"/>
      <x:c r="K15" s="2"/>
    </x:row>
    <x:row r="16" ht="25" customHeight="1">
      <x:c r="A16" s="2"/>
      <x:c r="B16" s="7" t="str">
        <x:v>00110</x:v>
      </x:c>
      <x:c r="C16" s="2" t="str">
        <x:v>강열</x:v>
      </x:c>
      <x:c r="D16" s="2" t="str">
        <x:v>개발</x:v>
      </x:c>
      <x:c r="E16" s="2" t="str">
        <x:v>C01</x:v>
      </x:c>
      <x:c r="F16" s="8" t="d">
        <x:v>2026-11-10T00:00:00.000Z</x:v>
      </x:c>
      <x:c r="G16" s="2" t="n">
        <x:v>1</x:v>
      </x:c>
      <x:c r="H16" s="2" t="str">
        <x:v>승인</x:v>
      </x:c>
      <x:c r="I16" s="9" t="n">
        <x:v>0</x:v>
      </x:c>
      <x:c r="J16" s="2"/>
      <x:c r="K16" s="2"/>
    </x:row>
    <x:row r="17" ht="25" customHeight="1">
      <x:c r="A17" s="2"/>
      <x:c r="B17" s="7" t="str">
        <x:v>00111</x:v>
      </x:c>
      <x:c r="C17" s="2" t="str">
        <x:v>서열하나</x:v>
      </x:c>
      <x:c r="D17" s="2" t="str">
        <x:v>생산</x:v>
      </x:c>
      <x:c r="E17" s="2" t="str">
        <x:v>C03</x:v>
      </x:c>
      <x:c r="F17" s="8" t="d">
        <x:v>2026-11-11T00:00:00.000Z</x:v>
      </x:c>
      <x:c r="G17" s="2" t="n">
        <x:v>2</x:v>
      </x:c>
      <x:c r="H17" s="2" t="str">
        <x:v>승인</x:v>
      </x:c>
      <x:c r="I17" s="9" t="n">
        <x:v>0.1</x:v>
      </x:c>
      <x:c r="J17" s="2" t="str">
        <x:v>신규</x:v>
      </x:c>
      <x:c r="K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</x:sheetData>
  <x:pageMargins left="0.7" right="0.7" top="0.75" bottom="0.75" header="0.3" footer="0.3"/>
  <x:tableParts count="1">
    <x:tablePart xmlns:r="http://schemas.openxmlformats.org/officeDocument/2006/relationships" r:id="R5066b87084c248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5" hidden="0" customWidth="1"/>
    <x:col min="3" max="3" width="22" hidden="0" customWidth="1"/>
    <x:col min="4" max="4" width="15" hidden="0" customWidth="1"/>
    <x:col min="5" max="5" width="15" hidden="0" customWidth="1"/>
    <x:col min="6" max="6" width="4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2"/>
      <x:c r="B2" s="3" t="str">
        <x:v>과정과 부서 기준 (가상 자료)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2"/>
      <x:c r="B4" s="6" t="str">
        <x:v>과정코드</x:v>
      </x:c>
      <x:c r="C4" s="6" t="str">
        <x:v>과정명</x:v>
      </x:c>
      <x:c r="D4" s="6" t="str">
        <x:v>단가</x:v>
      </x:c>
      <x:c r="E4" s="6" t="str">
        <x:v>시간</x:v>
      </x:c>
      <x:c r="F4" s="2"/>
      <x:c r="G4" s="6" t="str">
        <x:v>부서</x:v>
      </x:c>
      <x:c r="H4" s="6" t="str">
        <x:v>예산</x:v>
      </x:c>
      <x:c r="I4" s="6" t="str">
        <x:v>담당</x:v>
      </x:c>
      <x:c r="J4" s="2"/>
      <x:c r="K4" s="2"/>
    </x:row>
    <x:row r="5" ht="25" customHeight="1">
      <x:c r="A5" s="2"/>
      <x:c r="B5" s="2" t="str">
        <x:v>C01</x:v>
      </x:c>
      <x:c r="C5" s="2" t="str">
        <x:v>AI 기초</x:v>
      </x:c>
      <x:c r="D5" s="10" t="n">
        <x:v>100000</x:v>
      </x:c>
      <x:c r="E5" s="2" t="n">
        <x:v>4</x:v>
      </x:c>
      <x:c r="F5" s="2"/>
      <x:c r="G5" s="2" t="str">
        <x:v>개발</x:v>
      </x:c>
      <x:c r="H5" s="10" t="n">
        <x:v>700000</x:v>
      </x:c>
      <x:c r="I5" s="2" t="str">
        <x:v>가상 담당1</x:v>
      </x:c>
      <x:c r="J5" s="2"/>
      <x:c r="K5" s="2"/>
    </x:row>
    <x:row r="6" ht="25" customHeight="1">
      <x:c r="A6" s="2"/>
      <x:c r="B6" s="2" t="str">
        <x:v>C02</x:v>
      </x:c>
      <x:c r="C6" s="2" t="str">
        <x:v>Python 실습</x:v>
      </x:c>
      <x:c r="D6" s="10" t="n">
        <x:v>160000</x:v>
      </x:c>
      <x:c r="E6" s="2" t="n">
        <x:v>8</x:v>
      </x:c>
      <x:c r="F6" s="2"/>
      <x:c r="G6" s="2" t="str">
        <x:v>생산</x:v>
      </x:c>
      <x:c r="H6" s="10" t="n">
        <x:v>1000000</x:v>
      </x:c>
      <x:c r="I6" s="2" t="str">
        <x:v>가상 담당2</x:v>
      </x:c>
      <x:c r="J6" s="2"/>
      <x:c r="K6" s="2"/>
    </x:row>
    <x:row r="7" ht="25" customHeight="1">
      <x:c r="A7" s="2"/>
      <x:c r="B7" s="2" t="str">
        <x:v>C03</x:v>
      </x:c>
      <x:c r="C7" s="2" t="str">
        <x:v>데이터 분석</x:v>
      </x:c>
      <x:c r="D7" s="10" t="n">
        <x:v>200000</x:v>
      </x:c>
      <x:c r="E7" s="2" t="n">
        <x:v>12</x:v>
      </x:c>
      <x:c r="F7" s="2"/>
      <x:c r="G7" s="2" t="str">
        <x:v>품질</x:v>
      </x:c>
      <x:c r="H7" s="10" t="n">
        <x:v>400000</x:v>
      </x:c>
      <x:c r="I7" s="2" t="str">
        <x:v>가상 담당3</x:v>
      </x:c>
      <x:c r="J7" s="2"/>
      <x:c r="K7" s="2"/>
    </x:row>
    <x:row r="8" ht="25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  <x:row r="9" ht="25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</x:row>
    <x:row r="10" ht="2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25" customHeight="1">
      <x:c r="A11" s="2"/>
      <x:c r="B11" s="6" t="str">
        <x:v>회차</x:v>
      </x:c>
      <x:c r="C11" s="6" t="str">
        <x:v>시작일</x:v>
      </x:c>
      <x:c r="D11" s="6" t="str">
        <x:v>정원</x:v>
      </x:c>
      <x:c r="E11" s="2"/>
      <x:c r="F11" s="2"/>
      <x:c r="G11" s="2"/>
      <x:c r="H11" s="2"/>
      <x:c r="I11" s="2"/>
      <x:c r="J11" s="2"/>
      <x:c r="K11" s="2"/>
    </x:row>
    <x:row r="12" ht="25" customHeight="1">
      <x:c r="A12" s="2"/>
      <x:c r="B12" s="2" t="str">
        <x:v>A</x:v>
      </x:c>
      <x:c r="C12" s="8" t="d">
        <x:v>2026-10-20T00:00:00.000Z</x:v>
      </x:c>
      <x:c r="D12" s="2" t="n">
        <x:v>20</x:v>
      </x:c>
      <x:c r="E12" s="2"/>
      <x:c r="F12" s="2"/>
      <x:c r="G12" s="2"/>
      <x:c r="H12" s="2"/>
      <x:c r="I12" s="2"/>
      <x:c r="J12" s="2"/>
      <x:c r="K12" s="2"/>
    </x:row>
    <x:row r="13" ht="25" customHeight="1">
      <x:c r="A13" s="2"/>
      <x:c r="B13" s="2" t="str">
        <x:v>B</x:v>
      </x:c>
      <x:c r="C13" s="8" t="d">
        <x:v>2026-11-03T00:00:00.000Z</x:v>
      </x:c>
      <x:c r="D13" s="2" t="n">
        <x:v>25</x:v>
      </x:c>
      <x:c r="E13" s="2"/>
      <x:c r="F13" s="2"/>
      <x:c r="G13" s="2"/>
      <x:c r="H13" s="2"/>
      <x:c r="I13" s="2"/>
      <x:c r="J13" s="2"/>
      <x:c r="K13" s="2"/>
    </x:row>
    <x:row r="14" ht="25" customHeight="1">
      <x:c r="A14" s="2"/>
      <x:c r="B14" s="2" t="str">
        <x:v>C</x:v>
      </x:c>
      <x:c r="C14" s="8" t="d">
        <x:v>2026-11-17T00:00:00.000Z</x:v>
      </x:c>
      <x:c r="D14" s="2" t="n">
        <x:v>30</x:v>
      </x:c>
      <x:c r="E14" s="2"/>
      <x:c r="F14" s="2"/>
      <x:c r="G14" s="2"/>
      <x:c r="H14" s="2"/>
      <x:c r="I14" s="2"/>
      <x:c r="J14" s="2"/>
      <x:c r="K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2"/>
      <x:c r="B2" s="3" t="str">
        <x:v>병합 머리글 실적 예시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2"/>
      <x:c r="B4" s="6" t="str">
        <x:v>부서</x:v>
      </x:c>
      <x:c r="C4" s="6" t="str">
        <x:v>월</x:v>
      </x:c>
      <x:c r="D4" s="6" t="str">
        <x:v>교육</x:v>
      </x:c>
      <x:c r="E4" s="6"/>
      <x:c r="F4" s="6" t="str">
        <x:v>성과</x:v>
      </x:c>
      <x:c r="G4" s="6"/>
      <x:c r="H4" s="2"/>
      <x:c r="I4" s="2"/>
      <x:c r="J4" s="2"/>
      <x:c r="K4" s="2"/>
    </x:row>
    <x:row r="5" ht="25" customHeight="1">
      <x:c r="A5" s="2"/>
      <x:c r="B5" s="6"/>
      <x:c r="C5" s="6"/>
      <x:c r="D5" s="6" t="str">
        <x:v>신청</x:v>
      </x:c>
      <x:c r="E5" s="6" t="str">
        <x:v>수료</x:v>
      </x:c>
      <x:c r="F5" s="6" t="str">
        <x:v>만족도</x:v>
      </x:c>
      <x:c r="G5" s="6" t="str">
        <x:v>달성률</x:v>
      </x:c>
      <x:c r="H5" s="2"/>
      <x:c r="I5" s="2"/>
      <x:c r="J5" s="2"/>
      <x:c r="K5" s="2"/>
    </x:row>
    <x:row r="6" ht="25" customHeight="1">
      <x:c r="A6" s="2"/>
      <x:c r="B6" s="2" t="str">
        <x:v>개발</x:v>
      </x:c>
      <x:c r="C6" s="2" t="str">
        <x:v>2026-09</x:v>
      </x:c>
      <x:c r="D6" s="2" t="n">
        <x:v>12</x:v>
      </x:c>
      <x:c r="E6" s="2" t="n">
        <x:v>10</x:v>
      </x:c>
      <x:c r="F6" s="16" t="n">
        <x:v>4.4</x:v>
      </x:c>
      <x:c r="G6" s="9" t="n">
        <x:v>0.8333</x:v>
      </x:c>
      <x:c r="H6" s="2"/>
      <x:c r="I6" s="2"/>
      <x:c r="J6" s="2"/>
      <x:c r="K6" s="2"/>
    </x:row>
    <x:row r="7" ht="25" customHeight="1">
      <x:c r="A7" s="2"/>
      <x:c r="B7" s="2" t="str">
        <x:v>생산</x:v>
      </x:c>
      <x:c r="C7" s="2" t="str">
        <x:v>2026-09</x:v>
      </x:c>
      <x:c r="D7" s="2" t="n">
        <x:v>15</x:v>
      </x:c>
      <x:c r="E7" s="2" t="n">
        <x:v>13</x:v>
      </x:c>
      <x:c r="F7" s="16" t="n">
        <x:v>4.1</x:v>
      </x:c>
      <x:c r="G7" s="9" t="n">
        <x:v>0.8667</x:v>
      </x:c>
      <x:c r="H7" s="2"/>
      <x:c r="I7" s="2"/>
      <x:c r="J7" s="2"/>
      <x:c r="K7" s="2"/>
    </x:row>
    <x:row r="8" ht="25" customHeight="1">
      <x:c r="A8" s="2"/>
      <x:c r="B8" s="2" t="str">
        <x:v>품질</x:v>
      </x:c>
      <x:c r="C8" s="2" t="str">
        <x:v>2026-09</x:v>
      </x:c>
      <x:c r="D8" s="2" t="n">
        <x:v>8</x:v>
      </x:c>
      <x:c r="E8" s="2" t="n">
        <x:v>8</x:v>
      </x:c>
      <x:c r="F8" s="16" t="n">
        <x:v>4.8</x:v>
      </x:c>
      <x:c r="G8" s="9" t="n">
        <x:v>1</x:v>
      </x:c>
      <x:c r="H8" s="2"/>
      <x:c r="I8" s="2"/>
      <x:c r="J8" s="2"/>
      <x:c r="K8" s="2"/>
    </x:row>
    <x:row r="9" ht="25" customHeight="1">
      <x:c r="A9" s="2"/>
      <x:c r="B9" s="2" t="str">
        <x:v>개발</x:v>
      </x:c>
      <x:c r="C9" s="2" t="str">
        <x:v>2026-10</x:v>
      </x:c>
      <x:c r="D9" s="2" t="n">
        <x:v>10</x:v>
      </x:c>
      <x:c r="E9" s="2" t="n">
        <x:v>0</x:v>
      </x:c>
      <x:c r="F9" s="16"/>
      <x:c r="G9" s="9" t="n">
        <x:v>0</x:v>
      </x:c>
      <x:c r="H9" s="2"/>
      <x:c r="I9" s="2"/>
      <x:c r="J9" s="2"/>
      <x:c r="K9" s="2"/>
    </x:row>
    <x:row r="10" ht="2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</x:sheetData>
  <x:mergeCells>
    <x:mergeCell ref="B4:B5"/>
    <x:mergeCell ref="C4:C5"/>
    <x:mergeCell ref="D4:E4"/>
    <x:mergeCell ref="F4:G4"/>
  </x:mergeCells>
  <x:pageMargins left="0.7" right="0.7" top="0.75" bottom="0.75" header="0.3" footer="0.3"/>
</x:worksheet>
</file>